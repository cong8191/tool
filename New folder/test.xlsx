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単体テスト仕様書兼成績書_E304_RFSH0116" sheetId="1" state="visible" r:id="rId1"/>
    <sheet name="単体テスト仕様書兼成績書_E304_RFSH0175" sheetId="2" state="visible" r:id="rId2"/>
    <sheet name="単体テスト仕様書兼成績書_E304_RFSH0203" sheetId="3" state="visible" r:id="rId3"/>
    <sheet name="単体テスト仕様書兼成績書_E304_RFSH0206" sheetId="4" state="visible" r:id="rId4"/>
    <sheet name="単体テスト仕様書兼成績書_E304_RFSH0220" sheetId="5" state="visible" r:id="rId5"/>
    <sheet name="単体テスト仕様書兼成績書_E304_RFSH0226" sheetId="6" state="visible" r:id="rId6"/>
    <sheet name="単体テスト仕様書兼成績書_E304_RFSH0229" sheetId="7" state="visible" r:id="rId7"/>
    <sheet name="単体テスト仕様書兼成績書_E304_RFSH0239" sheetId="8" state="visible" r:id="rId8"/>
    <sheet name="単体テスト仕様書兼成績書_E304_RFSH0274" sheetId="9" state="visible" r:id="rId9"/>
    <sheet name="単体テスト仕様書兼成績書_E304_RFSH0609" sheetId="10" state="visible" r:id="rId10"/>
    <sheet name="単体テスト仕様書兼成績書_E304_RFSH0616" sheetId="11" state="visible" r:id="rId11"/>
    <sheet name="単体テスト仕様書兼成績書_E304_RFSH0622" sheetId="12" state="visible" r:id="rId12"/>
    <sheet name="単体テスト仕様書兼成績書_E304_RFSH0677" sheetId="13" state="visible" r:id="rId13"/>
    <sheet name="単体テスト仕様書兼成績書_E304_WMSH0022" sheetId="14" state="visible" r:id="rId14"/>
    <sheet name="単体テスト仕様書兼成績書_E304_WMSH0029" sheetId="15" state="visible" r:id="rId15"/>
    <sheet name="単体テスト仕様書兼成績書_E304_WMSH0065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B050"/>
    </font>
    <font>
      <b val="1"/>
      <color rgb="00E26B0A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/>
    </row>
    <row r="2">
      <c r="A2" s="1">
        <f>======================== [1/16] ĐANG XỬ LÝ FILE: 単体テスト仕様書兼成績書_E304_RFSH0116.xlsx =========================</f>
        <v/>
      </c>
    </row>
    <row r="3">
      <c r="A3" t="inlineStr">
        <is>
          <t>Đang đọc dữ liệu từ file: 単体テスト仕様書兼成績書_E304_RFSH0116.xlsx ...</t>
        </is>
      </c>
    </row>
    <row r="4">
      <c r="A4" t="inlineStr"/>
    </row>
    <row r="5">
      <c r="A5" s="1">
        <f>=============== TRẠNG THÁI OCR ================</f>
        <v/>
      </c>
    </row>
    <row r="6">
      <c r="A6" s="2" t="inlineStr">
        <is>
          <t>✅ Đã bật (Sẵn sàng đọc ảnh)</t>
        </is>
      </c>
    </row>
    <row r="7">
      <c r="A7" t="inlineStr"/>
    </row>
    <row r="8">
      <c r="A8" s="1">
        <f>=============== KIỂM TRA TRẠNG THÁI MỞ FILE ================</f>
        <v/>
      </c>
    </row>
    <row r="9">
      <c r="A9" s="2" t="inlineStr">
        <is>
          <t>✅ File đang mở ở sheet đầu tiên '表紙 '.</t>
        </is>
      </c>
    </row>
    <row r="10">
      <c r="A10" s="2" t="inlineStr">
        <is>
          <t>✅ Con trỏ chuột đang nằm ở ô 'A1'.</t>
        </is>
      </c>
    </row>
    <row r="11">
      <c r="A11" t="inlineStr"/>
    </row>
    <row r="12">
      <c r="A12" s="1">
        <f>=============== SHEET: エビデンス(共通) ================</f>
        <v/>
      </c>
    </row>
    <row r="13">
      <c r="A13" t="inlineStr">
        <is>
          <t xml:space="preserve">  -&gt; Tìm thấy 42 ảnh trong sheet này.</t>
        </is>
      </c>
    </row>
    <row r="14">
      <c r="A14" s="1">
        <f>=============== SHEET: エビデンス(個別) ================</f>
        <v/>
      </c>
    </row>
    <row r="15">
      <c r="A15" t="inlineStr">
        <is>
          <t xml:space="preserve">  -&gt; Tìm thấy 40 ảnh trong sheet này.</t>
        </is>
      </c>
    </row>
    <row r="16">
      <c r="A16" t="inlineStr"/>
    </row>
    <row r="17">
      <c r="A17" s="1" t="inlineStr">
        <is>
          <t>[GEMINI MANUAL MODE] ♻️ Đã tìm thấy file JSON kết quả cũ tại:</t>
        </is>
      </c>
    </row>
    <row r="18">
      <c r="A18" t="inlineStr">
        <is>
          <t>D:\project\tool\New folder\Gemini_Upload_単体テスト仕様書兼成績書_E304_RFSH0116\gemini_result.json</t>
        </is>
      </c>
    </row>
    <row r="19">
      <c r="A19">
        <f>&gt; Sử dụng luôn kết quả này, bỏ qua bước xuất ảnh PDF và hỏi lại Gemini.</f>
        <v/>
      </c>
    </row>
    <row r="20">
      <c r="A20" t="inlineStr"/>
    </row>
    <row r="21">
      <c r="A21" s="1">
        <f>=============== ĐANG PHÂN TÍCH KẾT QUẢ SHEET: エビデンス(共通) ================</f>
        <v/>
      </c>
    </row>
    <row r="22">
      <c r="A22" t="inlineStr"/>
    </row>
    <row r="23">
      <c r="A23" s="1" t="inlineStr">
        <is>
          <t>[Kiểm tra Cấu hình Flow - Trước khi Test]:</t>
        </is>
      </c>
    </row>
    <row r="24">
      <c r="A24" s="2" t="inlineStr">
        <is>
          <t xml:space="preserve">  - [Ảnh Flow]: ✅ Tìm thấy P_JobnetID: 'P1J0116@10116'</t>
        </is>
      </c>
    </row>
    <row r="25">
      <c r="A25" s="2" t="inlineStr">
        <is>
          <t xml:space="preserve">      ✅ OK: P_JobnetID 'P1J0116@10116' có chứa mã '0116' của file.</t>
        </is>
      </c>
    </row>
    <row r="26">
      <c r="A26" s="2" t="inlineStr">
        <is>
          <t xml:space="preserve">  - [Ảnh Flow]: ✅ Tìm thấy P_InterfaceID: 'RFSH0116'</t>
        </is>
      </c>
    </row>
    <row r="27">
      <c r="A27" s="2" t="inlineStr">
        <is>
          <t xml:space="preserve">      ✅ OK: P_InterfaceID 'RFSH0116' có chứa mã '0116' của file.</t>
        </is>
      </c>
    </row>
    <row r="28">
      <c r="A28" t="inlineStr"/>
    </row>
    <row r="29">
      <c r="A29" s="1" t="inlineStr">
        <is>
          <t>[Nhóm Test]: ■1回目 正常系・1000件未満・ファイル送信前結合有無=false</t>
        </is>
      </c>
    </row>
    <row r="30">
      <c r="A30" t="inlineStr">
        <is>
          <t xml:space="preserve">  - Tổng số dòng log: 53</t>
        </is>
      </c>
    </row>
    <row r="31">
      <c r="A31" s="2" t="inlineStr">
        <is>
          <t xml:space="preserve">  - Trạng thái Sort (行): ✅ Đã sắp xếp tăng dần hợp lệ.</t>
        </is>
      </c>
    </row>
    <row r="32">
      <c r="A32" t="inlineStr">
        <is>
          <t xml:space="preserve">  - Ngày chạy log: 2026/05/18</t>
        </is>
      </c>
    </row>
    <row r="33">
      <c r="A33" t="inlineStr">
        <is>
          <t xml:space="preserve">  - [Ảnh Status Panel]: Tìm thấy Jobnet ID: 'P1J0116@10116'</t>
        </is>
      </c>
    </row>
    <row r="34">
      <c r="A34" t="inlineStr">
        <is>
          <t xml:space="preserve">  - [Ảnh Status Panel]: Tìm thấy Interface ID: 'RFSH0116'</t>
        </is>
      </c>
    </row>
    <row r="35">
      <c r="A35" s="2" t="inlineStr">
        <is>
          <t xml:space="preserve">      ✅ OK: Interface ID 'RFSH0116' có tồn tại trong tên file Excel.</t>
        </is>
      </c>
    </row>
    <row r="36">
      <c r="A36" t="inlineStr">
        <is>
          <t xml:space="preserve">  - [Ảnh Status Panel]: Tìm thấy giờ bắt đầu là 11:07:13</t>
        </is>
      </c>
    </row>
    <row r="37">
      <c r="A37" s="2" t="inlineStr">
        <is>
          <t xml:space="preserve">      ✅ OK: Thời gian log (11:07:13) &gt;= Thời gian ảnh (11:07:13)</t>
        </is>
      </c>
    </row>
    <row r="38">
      <c r="A38" s="2" t="inlineStr">
        <is>
          <t xml:space="preserve">      ✅ OK: Duration Log Main (168ms) &lt; Duration Ảnh (367ms)</t>
        </is>
      </c>
    </row>
    <row r="39">
      <c r="A39" t="inlineStr">
        <is>
          <t xml:space="preserve">  - [Ảnh Log Viewer]: Tìm thấy thời gian kết thúc trong ảnh log là '11:07:13'</t>
        </is>
      </c>
    </row>
    <row r="40">
      <c r="A40" s="2" t="inlineStr">
        <is>
          <t xml:space="preserve">      ✅ OK: Giờ kết thúc trong ảnh Log (11:07:13) KHỚP với log text (11:07:13).</t>
        </is>
      </c>
    </row>
    <row r="41">
      <c r="A41" s="2" t="inlineStr">
        <is>
          <t xml:space="preserve">      ✅ OK: Giờ ảnh Log (11:07:13) &gt;= Giờ bắt đầu (11:07:13).</t>
        </is>
      </c>
    </row>
    <row r="42">
      <c r="A42" s="2" t="inlineStr">
        <is>
          <t xml:space="preserve">      ✅ OK: Jobnet ID 'P1J0116@10116' khớp với dữ liệu trong Log.</t>
        </is>
      </c>
    </row>
    <row r="43">
      <c r="A43" t="inlineStr">
        <is>
          <t xml:space="preserve">  - [Kiểm tra File]: Log text báo có tạo ra file 'RFSH0116_output.tsv'.</t>
        </is>
      </c>
    </row>
    <row r="44">
      <c r="A44" s="2" t="inlineStr">
        <is>
          <t xml:space="preserve">      ✅ OK: Tên file trong ảnh File Explorer (RFSH0116_output.tsv) KHỚP với tên file trong Log text.</t>
        </is>
      </c>
    </row>
    <row r="45">
      <c r="A45" t="inlineStr">
        <is>
          <t xml:space="preserve">  - [Ảnh File Explorer]: Tìm thấy file 'RFSH0116_output.tsv' có Date modified là '2026/05/18 11:07'</t>
        </is>
      </c>
    </row>
    <row r="46">
      <c r="A46" s="2" t="inlineStr">
        <is>
          <t xml:space="preserve">      ✅ OK: Thời gian xuất file 'RFSH0116_output.tsv' (2026/05/18 11:07) KHỚP với log (2026/05/18 11:07).</t>
        </is>
      </c>
    </row>
    <row r="47">
      <c r="A47" t="inlineStr">
        <is>
          <t xml:space="preserve">  - [Đối chiếu Testcase trong Log]:</t>
        </is>
      </c>
    </row>
    <row r="48">
      <c r="A48" t="inlineStr">
        <is>
          <t xml:space="preserve">  - [Đối chiếu テスト計画書兼結果報告書(共通)]: Tìm thấy 13 dòng (6, 8, 12, 14, 18, 20, 25, 28, 33, 37, 39, 42, 45)</t>
        </is>
      </c>
    </row>
    <row r="49">
      <c r="A49" s="2" t="inlineStr">
        <is>
          <t xml:space="preserve">      + Số lần test (Cột K): ✅ Tất cả 13 dòng đều khớp (Lần 1)</t>
        </is>
      </c>
    </row>
    <row r="50">
      <c r="A50" s="2" t="inlineStr">
        <is>
          <t xml:space="preserve">      + Ngày test (Cột I/G): ✅ Khớp ngày (2026/05/18) cho tất cả các dòng có dữ liệu</t>
        </is>
      </c>
    </row>
    <row r="51">
      <c r="A51" t="inlineStr"/>
    </row>
    <row r="52">
      <c r="A52" s="1" t="inlineStr">
        <is>
          <t>[Nhóm Test]: ■2回目 異常系・起動パラメータ不正</t>
        </is>
      </c>
    </row>
    <row r="53">
      <c r="A53" t="inlineStr">
        <is>
          <t xml:space="preserve">  - Tổng số dòng log: 23</t>
        </is>
      </c>
    </row>
    <row r="54">
      <c r="A54" s="2" t="inlineStr">
        <is>
          <t xml:space="preserve">  - Trạng thái Sort (行): ✅ Đã sắp xếp tăng dần hợp lệ.</t>
        </is>
      </c>
    </row>
    <row r="55">
      <c r="A55" t="inlineStr">
        <is>
          <t xml:space="preserve">  - Ngày chạy log: 2026/05/18</t>
        </is>
      </c>
    </row>
    <row r="56">
      <c r="A56" t="inlineStr">
        <is>
          <t xml:space="preserve">  - [Ảnh Status Panel]: Tìm thấy Jobnet ID: ''</t>
        </is>
      </c>
    </row>
    <row r="57">
      <c r="A57" t="inlineStr">
        <is>
          <t xml:space="preserve">  - [Ảnh Status Panel]: Tìm thấy Interface ID: ''</t>
        </is>
      </c>
    </row>
    <row r="58">
      <c r="A58" s="3" t="inlineStr">
        <is>
          <t xml:space="preserve">      ⚠️ Interface ID là chuỗi rỗng nên bỏ qua kiểm tra với tên file.</t>
        </is>
      </c>
    </row>
    <row r="59">
      <c r="A59" t="inlineStr">
        <is>
          <t xml:space="preserve">  - [Ảnh Status Panel]: Tìm thấy giờ bắt đầu là 11:26:25</t>
        </is>
      </c>
    </row>
    <row r="60">
      <c r="A60" s="2" t="inlineStr">
        <is>
          <t xml:space="preserve">      ✅ OK: Thời gian log (11:26:25) &gt;= Thời gian ảnh (11:26:25)</t>
        </is>
      </c>
    </row>
    <row r="61">
      <c r="A61" s="2" t="inlineStr">
        <is>
          <t xml:space="preserve">      ✅ OK: Duration Log Main (96ms) &lt; Duration Ảnh (337ms)</t>
        </is>
      </c>
    </row>
    <row r="62">
      <c r="A62" t="inlineStr">
        <is>
          <t xml:space="preserve">  - [Ảnh Log Viewer]: Tìm thấy thời gian kết thúc trong ảnh log là '11:26:25'</t>
        </is>
      </c>
    </row>
    <row r="63">
      <c r="A63" s="2" t="inlineStr">
        <is>
          <t xml:space="preserve">      ✅ OK: Giờ kết thúc trong ảnh Log (11:26:25) KHỚP với log text (11:26:25).</t>
        </is>
      </c>
    </row>
    <row r="64">
      <c r="A64" s="2" t="inlineStr">
        <is>
          <t xml:space="preserve">      ✅ OK: Giờ ảnh Log (11:26:25) &gt;= Giờ bắt đầu (11:26:25).</t>
        </is>
      </c>
    </row>
    <row r="65">
      <c r="A65" s="2" t="inlineStr">
        <is>
          <t xml:space="preserve">      ✅ OK: Jobnet ID '' khớp với dữ liệu trong Log.</t>
        </is>
      </c>
    </row>
    <row r="66">
      <c r="A66" t="inlineStr">
        <is>
          <t xml:space="preserve">  - [Đối chiếu Testcase trong Log]:</t>
        </is>
      </c>
    </row>
    <row r="67">
      <c r="A67" t="inlineStr">
        <is>
          <t xml:space="preserve">  - [Đối chiếu テスト計画書兼結果報告書(共通)]: Tìm thấy 2 dòng (9, 15)</t>
        </is>
      </c>
    </row>
    <row r="68">
      <c r="A68" s="2" t="inlineStr">
        <is>
          <t xml:space="preserve">      + Số lần test (Cột K): ✅ Tất cả 2 dòng đều khớp (Lần 2)</t>
        </is>
      </c>
    </row>
    <row r="69">
      <c r="A69" s="2" t="inlineStr">
        <is>
          <t xml:space="preserve">      + Ngày test (Cột I/G): ✅ Khớp ngày (2026/05/18) cho tất cả các dòng có dữ liệu</t>
        </is>
      </c>
    </row>
    <row r="70">
      <c r="A70" t="inlineStr"/>
    </row>
    <row r="71">
      <c r="A71" s="1" t="inlineStr">
        <is>
          <t>[Nhóm Test]: ■3回目 正常系・ファイル送信前結合有無=true</t>
        </is>
      </c>
    </row>
    <row r="72">
      <c r="A72" t="inlineStr">
        <is>
          <t xml:space="preserve">  - Tổng số dòng log: 65</t>
        </is>
      </c>
    </row>
    <row r="73">
      <c r="A73" s="2" t="inlineStr">
        <is>
          <t xml:space="preserve">  - Trạng thái Sort (行): ✅ Đã sắp xếp tăng dần hợp lệ.</t>
        </is>
      </c>
    </row>
    <row r="74">
      <c r="A74" t="inlineStr">
        <is>
          <t xml:space="preserve">  - Ngày chạy log: 2026/05/18</t>
        </is>
      </c>
    </row>
    <row r="75">
      <c r="A75" t="inlineStr">
        <is>
          <t xml:space="preserve">  - [Ảnh Status Panel]: Tìm thấy Jobnet ID: 'P1J0116@10116'</t>
        </is>
      </c>
    </row>
    <row r="76">
      <c r="A76" t="inlineStr">
        <is>
          <t xml:space="preserve">  - [Ảnh Status Panel]: Tìm thấy Interface ID: 'RFSH0116'</t>
        </is>
      </c>
    </row>
    <row r="77">
      <c r="A77" s="2" t="inlineStr">
        <is>
          <t xml:space="preserve">      ✅ OK: Interface ID 'RFSH0116' có tồn tại trong tên file Excel.</t>
        </is>
      </c>
    </row>
    <row r="78">
      <c r="A78" t="inlineStr">
        <is>
          <t xml:space="preserve">  - [Ảnh Status Panel]: Tìm thấy giờ bắt đầu là 11:38:01</t>
        </is>
      </c>
    </row>
    <row r="79">
      <c r="A79" s="2" t="inlineStr">
        <is>
          <t xml:space="preserve">      ✅ OK: Thời gian log (11:38:01) &gt;= Thời gian ảnh (11:38:01)</t>
        </is>
      </c>
    </row>
    <row r="80">
      <c r="A80" s="2" t="inlineStr">
        <is>
          <t xml:space="preserve">      ✅ OK: Duration Log Main (328ms) &lt; Duration Ảnh (525ms)</t>
        </is>
      </c>
    </row>
    <row r="81">
      <c r="A81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82">
      <c r="A82" s="2" t="inlineStr">
        <is>
          <t xml:space="preserve">      ✅ OK: Jobnet ID 'P1J0116@10116' khớp với dữ liệu trong Log.</t>
        </is>
      </c>
    </row>
    <row r="83">
      <c r="A83" t="inlineStr">
        <is>
          <t xml:space="preserve">  - [Kiểm tra File]: Log text báo có tạo ra file 'RFSH0116_output.tsv'.</t>
        </is>
      </c>
    </row>
    <row r="84">
      <c r="A84" s="2" t="inlineStr">
        <is>
          <t xml:space="preserve">      ✅ OK: Tên file trong ảnh File Explorer (RFSH0116_output.tsv) KHỚP với tên file trong Log text.</t>
        </is>
      </c>
    </row>
    <row r="85">
      <c r="A85" t="inlineStr">
        <is>
          <t xml:space="preserve">  - [Ảnh File Explorer]: Tìm thấy file 'RFSH0116_output.tsv' có Date modified là '2026/05/18 11:38'</t>
        </is>
      </c>
    </row>
    <row r="86">
      <c r="A86" s="2" t="inlineStr">
        <is>
          <t xml:space="preserve">      ✅ OK: Thời gian xuất file 'RFSH0116_output.tsv' (2026/05/18 11:38) KHỚP với log (2026/05/18 11:38).</t>
        </is>
      </c>
    </row>
    <row r="87">
      <c r="A87" t="inlineStr">
        <is>
          <t xml:space="preserve">  - [Đối chiếu Testcase trong Log]:</t>
        </is>
      </c>
    </row>
    <row r="88">
      <c r="A88" t="inlineStr">
        <is>
          <t xml:space="preserve">  - [Đối chiếu テスト計画書兼結果報告書(共通)]: Tìm thấy 1 dòng (21)</t>
        </is>
      </c>
    </row>
    <row r="89">
      <c r="A89" s="2" t="inlineStr">
        <is>
          <t xml:space="preserve">      + Số lần test (Cột K): ✅ Tất cả 1 dòng đều khớp (Lần 3)</t>
        </is>
      </c>
    </row>
    <row r="90">
      <c r="A90" s="2" t="inlineStr">
        <is>
          <t xml:space="preserve">      + Ngày test (Cột I/G): ✅ Khớp ngày (2026/05/18) cho tất cả các dòng có dữ liệu</t>
        </is>
      </c>
    </row>
    <row r="91">
      <c r="A91" t="inlineStr"/>
    </row>
    <row r="92">
      <c r="A92" s="1" t="inlineStr">
        <is>
          <t>[Nhóm Test]: ■4回目 異常系・すでにファイルが存在する場合</t>
        </is>
      </c>
    </row>
    <row r="93">
      <c r="A93" t="inlineStr">
        <is>
          <t xml:space="preserve">  - Tổng số dòng log: 55</t>
        </is>
      </c>
    </row>
    <row r="94">
      <c r="A94" s="2" t="inlineStr">
        <is>
          <t xml:space="preserve">  - Trạng thái Sort (行): ✅ Đã sắp xếp tăng dần hợp lệ.</t>
        </is>
      </c>
    </row>
    <row r="95">
      <c r="A95" t="inlineStr">
        <is>
          <t xml:space="preserve">  - Ngày chạy log: 2026/05/18</t>
        </is>
      </c>
    </row>
    <row r="96">
      <c r="A96" t="inlineStr">
        <is>
          <t xml:space="preserve">  - [Ảnh Status Panel]: Tìm thấy Jobnet ID: ''</t>
        </is>
      </c>
    </row>
    <row r="97">
      <c r="A97" t="inlineStr">
        <is>
          <t xml:space="preserve">  - [Ảnh Status Panel]: Tìm thấy Interface ID: ''</t>
        </is>
      </c>
    </row>
    <row r="98">
      <c r="A98" s="3" t="inlineStr">
        <is>
          <t xml:space="preserve">      ⚠️ Interface ID là chuỗi rỗng nên bỏ qua kiểm tra với tên file.</t>
        </is>
      </c>
    </row>
    <row r="99">
      <c r="A99" t="inlineStr">
        <is>
          <t xml:space="preserve">  - [Ảnh Status Panel]: Tìm thấy giờ bắt đầu là 11:52:13</t>
        </is>
      </c>
    </row>
    <row r="100">
      <c r="A100" s="2" t="inlineStr">
        <is>
          <t xml:space="preserve">      ✅ OK: Thời gian log (11:52:13) &gt;= Thời gian ảnh (11:52:13)</t>
        </is>
      </c>
    </row>
    <row r="101">
      <c r="A101" s="2" t="inlineStr">
        <is>
          <t xml:space="preserve">      ✅ OK: Duration Log Main (154ms) &lt; Duration Ảnh (350ms)</t>
        </is>
      </c>
    </row>
    <row r="102">
      <c r="A102" t="inlineStr">
        <is>
          <t xml:space="preserve">  - [Ảnh Log Viewer]: Tìm thấy thời gian kết thúc trong ảnh log là '11:52:13'</t>
        </is>
      </c>
    </row>
    <row r="103">
      <c r="A103" s="2" t="inlineStr">
        <is>
          <t xml:space="preserve">      ✅ OK: Giờ kết thúc trong ảnh Log (11:52:13) KHỚP với log text (11:52:13).</t>
        </is>
      </c>
    </row>
    <row r="104">
      <c r="A104" s="2" t="inlineStr">
        <is>
          <t xml:space="preserve">      ✅ OK: Giờ ảnh Log (11:52:13) &gt;= Giờ bắt đầu (11:52:13).</t>
        </is>
      </c>
    </row>
    <row r="105">
      <c r="A105" s="4" t="inlineStr">
        <is>
          <t xml:space="preserve">      ❌ LỖI: Jobnet ID trong ảnh là '', nhưng trong Log là 'P1J0116'.</t>
        </is>
      </c>
    </row>
    <row r="106">
      <c r="A106" t="inlineStr">
        <is>
          <t xml:space="preserve">  - [Đối chiếu Testcase trong Log]:</t>
        </is>
      </c>
    </row>
    <row r="107">
      <c r="A107" t="inlineStr">
        <is>
          <t xml:space="preserve">  - [Đối chiếu テスト計画書兼結果報告書(共通)]: Tìm thấy 1 dòng (22)</t>
        </is>
      </c>
    </row>
    <row r="108">
      <c r="A108" s="2" t="inlineStr">
        <is>
          <t xml:space="preserve">      + Số lần test (Cột K): ✅ Tất cả 1 dòng đều khớp (Lần 4)</t>
        </is>
      </c>
    </row>
    <row r="109">
      <c r="A109" s="2" t="inlineStr">
        <is>
          <t xml:space="preserve">      + Ngày test (Cột I/G): ✅ Khớp ngày (2026/05/18) cho tất cả các dòng có dữ liệu</t>
        </is>
      </c>
    </row>
    <row r="110">
      <c r="A110" t="inlineStr"/>
    </row>
    <row r="111">
      <c r="A111" s="1" t="inlineStr">
        <is>
          <t>[Nhóm Test]: ■5回目 正常系・0byteファイル</t>
        </is>
      </c>
    </row>
    <row r="112">
      <c r="A112" t="inlineStr">
        <is>
          <t xml:space="preserve">  - Tổng số dòng log: 49</t>
        </is>
      </c>
    </row>
    <row r="113">
      <c r="A113" s="2" t="inlineStr">
        <is>
          <t xml:space="preserve">  - Trạng thái Sort (行): ✅ Đã sắp xếp tăng dần hợp lệ.</t>
        </is>
      </c>
    </row>
    <row r="114">
      <c r="A114" t="inlineStr">
        <is>
          <t xml:space="preserve">  - Ngày chạy log: 2026/05/18</t>
        </is>
      </c>
    </row>
    <row r="115">
      <c r="A115" t="inlineStr">
        <is>
          <t xml:space="preserve">  - [Ảnh Status Panel]: Tìm thấy Jobnet ID: 'P1J0116@10116'</t>
        </is>
      </c>
    </row>
    <row r="116">
      <c r="A116" t="inlineStr">
        <is>
          <t xml:space="preserve">  - [Ảnh Status Panel]: Tìm thấy Interface ID: 'RFSH0116'</t>
        </is>
      </c>
    </row>
    <row r="117">
      <c r="A117" s="2" t="inlineStr">
        <is>
          <t xml:space="preserve">      ✅ OK: Interface ID 'RFSH0116' có tồn tại trong tên file Excel.</t>
        </is>
      </c>
    </row>
    <row r="118">
      <c r="A118" t="inlineStr">
        <is>
          <t xml:space="preserve">  - [Ảnh Status Panel]: Tìm thấy giờ bắt đầu là 11:57:46</t>
        </is>
      </c>
    </row>
    <row r="119">
      <c r="A119" s="2" t="inlineStr">
        <is>
          <t xml:space="preserve">      ✅ OK: Thời gian log (11:57:46) &gt;= Thời gian ảnh (11:57:46)</t>
        </is>
      </c>
    </row>
    <row r="120">
      <c r="A120" s="2" t="inlineStr">
        <is>
          <t xml:space="preserve">      ✅ OK: Duration Log Main (139ms) &lt; Duration Ảnh (350ms)</t>
        </is>
      </c>
    </row>
    <row r="121">
      <c r="A121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22">
      <c r="A122" s="2" t="inlineStr">
        <is>
          <t xml:space="preserve">      ✅ OK: Jobnet ID 'P1J0116@10116' khớp với dữ liệu trong Log.</t>
        </is>
      </c>
    </row>
    <row r="123">
      <c r="A123" t="inlineStr">
        <is>
          <t xml:space="preserve">  - [Kiểm tra File]: Log text báo có tạo ra file 'RFSH0116_output.tsv'.</t>
        </is>
      </c>
    </row>
    <row r="124">
      <c r="A124" s="2" t="inlineStr">
        <is>
          <t xml:space="preserve">      ✅ OK: Tên file trong ảnh File Explorer (RFSH0116_output.tsv) KHỚP với tên file trong Log text.</t>
        </is>
      </c>
    </row>
    <row r="125">
      <c r="A125" t="inlineStr">
        <is>
          <t xml:space="preserve">  - [Ảnh File Explorer]: Tìm thấy file 'RFSH0116_output.tsv' có Date modified là '2026/05/18 11:57'</t>
        </is>
      </c>
    </row>
    <row r="126">
      <c r="A126" s="2" t="inlineStr">
        <is>
          <t xml:space="preserve">      ✅ OK: Thời gian xuất file 'RFSH0116_output.tsv' (2026/05/18 11:57) KHỚP với log (2026/05/18 11:57).</t>
        </is>
      </c>
    </row>
    <row r="127">
      <c r="A127" t="inlineStr">
        <is>
          <t xml:space="preserve">  - [Đối chiếu Testcase trong Log]:</t>
        </is>
      </c>
    </row>
    <row r="128">
      <c r="A128" t="inlineStr">
        <is>
          <t xml:space="preserve">  - [Đối chiếu テスト計画書兼結果報告書(共通)]: Tìm thấy 2 dòng (26, 46)</t>
        </is>
      </c>
    </row>
    <row r="129">
      <c r="A129" s="2" t="inlineStr">
        <is>
          <t xml:space="preserve">      + Số lần test (Cột K): ✅ Tất cả 2 dòng đều khớp (Lần 5)</t>
        </is>
      </c>
    </row>
    <row r="130">
      <c r="A130" s="2" t="inlineStr">
        <is>
          <t xml:space="preserve">      + Ngày test (Cột I/G): ✅ Khớp ngày (2026/05/18) cho tất cả các dòng có dữ liệu</t>
        </is>
      </c>
    </row>
    <row r="131">
      <c r="A131" t="inlineStr"/>
    </row>
    <row r="132">
      <c r="A132" s="1" t="inlineStr">
        <is>
          <t>[Nhóm Test]: ■6回目 正常系・データ行1000行</t>
        </is>
      </c>
    </row>
    <row r="133">
      <c r="A133" t="inlineStr">
        <is>
          <t xml:space="preserve">  - Tổng số dòng log: 53</t>
        </is>
      </c>
    </row>
    <row r="134">
      <c r="A134" s="2" t="inlineStr">
        <is>
          <t xml:space="preserve">  - Trạng thái Sort (行): ✅ Đã sắp xếp tăng dần hợp lệ.</t>
        </is>
      </c>
    </row>
    <row r="135">
      <c r="A135" t="inlineStr">
        <is>
          <t xml:space="preserve">  - Ngày chạy log: 2026/05/18</t>
        </is>
      </c>
    </row>
    <row r="136">
      <c r="A136" t="inlineStr">
        <is>
          <t xml:space="preserve">  - [Ảnh Status Panel]: Tìm thấy Jobnet ID: 'P1J0116@10116'</t>
        </is>
      </c>
    </row>
    <row r="137">
      <c r="A137" t="inlineStr">
        <is>
          <t xml:space="preserve">  - [Ảnh Status Panel]: Tìm thấy Interface ID: 'RFSH0116'</t>
        </is>
      </c>
    </row>
    <row r="138">
      <c r="A138" s="2" t="inlineStr">
        <is>
          <t xml:space="preserve">      ✅ OK: Interface ID 'RFSH0116' có tồn tại trong tên file Excel.</t>
        </is>
      </c>
    </row>
    <row r="139">
      <c r="A139" t="inlineStr">
        <is>
          <t xml:space="preserve">  - [Ảnh Status Panel]: Tìm thấy giờ bắt đầu là 12:01:52</t>
        </is>
      </c>
    </row>
    <row r="140">
      <c r="A140" s="2" t="inlineStr">
        <is>
          <t xml:space="preserve">      ✅ OK: Thời gian log (12:01:52) &gt;= Thời gian ảnh (12:01:52)</t>
        </is>
      </c>
    </row>
    <row r="141">
      <c r="A141" s="2" t="inlineStr">
        <is>
          <t xml:space="preserve">      ✅ OK: Duration Log Main (684ms) &lt; Duration Ảnh (891ms)</t>
        </is>
      </c>
    </row>
    <row r="142">
      <c r="A142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43">
      <c r="A143" s="2" t="inlineStr">
        <is>
          <t xml:space="preserve">      ✅ OK: Jobnet ID 'P1J0116@10116' khớp với dữ liệu trong Log.</t>
        </is>
      </c>
    </row>
    <row r="144">
      <c r="A144" t="inlineStr">
        <is>
          <t xml:space="preserve">  - [Kiểm tra File]: Log text báo có tạo ra file 'RFSH0116_output.tsv'.</t>
        </is>
      </c>
    </row>
    <row r="145">
      <c r="A145" s="2" t="inlineStr">
        <is>
          <t xml:space="preserve">      ✅ OK: Tên file trong ảnh File Explorer (RFSH0116_output.tsv) KHỚP với tên file trong Log text.</t>
        </is>
      </c>
    </row>
    <row r="146">
      <c r="A146" t="inlineStr">
        <is>
          <t xml:space="preserve">  - [Ảnh File Explorer]: Tìm thấy file 'RFSH0116_output.tsv' có Date modified là '2026/05/18 12:01'</t>
        </is>
      </c>
    </row>
    <row r="147">
      <c r="A147" s="2" t="inlineStr">
        <is>
          <t xml:space="preserve">      ✅ OK: Thời gian xuất file 'RFSH0116_output.tsv' (2026/05/18 12:01) KHỚP với log (2026/05/18 12:01).</t>
        </is>
      </c>
    </row>
    <row r="148">
      <c r="A148" t="inlineStr">
        <is>
          <t xml:space="preserve">  - [Đối chiếu Testcase trong Log]:</t>
        </is>
      </c>
    </row>
    <row r="149">
      <c r="A149" t="inlineStr">
        <is>
          <t xml:space="preserve">  - [Đối chiếu テスト計画書兼結果報告書(共通)]: Tìm thấy 1 dòng (29)</t>
        </is>
      </c>
    </row>
    <row r="150">
      <c r="A150" s="2" t="inlineStr">
        <is>
          <t xml:space="preserve">      + Số lần test (Cột K): ✅ Tất cả 1 dòng đều khớp (Lần 6)</t>
        </is>
      </c>
    </row>
    <row r="151">
      <c r="A151" s="2" t="inlineStr">
        <is>
          <t xml:space="preserve">      + Ngày test (Cột I/G): ✅ Khớp ngày (2026/05/18) cho tất cả các dòng có dữ liệu</t>
        </is>
      </c>
    </row>
    <row r="152">
      <c r="A152" t="inlineStr"/>
    </row>
    <row r="153">
      <c r="A153" s="1" t="inlineStr">
        <is>
          <t>[Nhóm Test]: ■7回目 正常系・データ行1000行以上</t>
        </is>
      </c>
    </row>
    <row r="154">
      <c r="A154" t="inlineStr">
        <is>
          <t xml:space="preserve">  - Tổng số dòng log: 65</t>
        </is>
      </c>
    </row>
    <row r="155">
      <c r="A155" s="2" t="inlineStr">
        <is>
          <t xml:space="preserve">  - Trạng thái Sort (行): ✅ Đã sắp xếp tăng dần hợp lệ.</t>
        </is>
      </c>
    </row>
    <row r="156">
      <c r="A156" t="inlineStr">
        <is>
          <t xml:space="preserve">  - Ngày chạy log: 2026/05/18</t>
        </is>
      </c>
    </row>
    <row r="157">
      <c r="A157" t="inlineStr">
        <is>
          <t xml:space="preserve">  - [Ảnh Status Panel]: Tìm thấy Jobnet ID: 'P1J0116@10116'</t>
        </is>
      </c>
    </row>
    <row r="158">
      <c r="A158" t="inlineStr">
        <is>
          <t xml:space="preserve">  - [Ảnh Status Panel]: Tìm thấy Interface ID: 'RFSH0116'</t>
        </is>
      </c>
    </row>
    <row r="159">
      <c r="A159" s="2" t="inlineStr">
        <is>
          <t xml:space="preserve">      ✅ OK: Interface ID 'RFSH0116' có tồn tại trong tên file Excel.</t>
        </is>
      </c>
    </row>
    <row r="160">
      <c r="A160" t="inlineStr">
        <is>
          <t xml:space="preserve">  - [Ảnh Status Panel]: Tìm thấy giờ bắt đầu là 12:07:27</t>
        </is>
      </c>
    </row>
    <row r="161">
      <c r="A161" s="2" t="inlineStr">
        <is>
          <t xml:space="preserve">      ✅ OK: Thời gian log (12:07:27) &gt;= Thời gian ảnh (12:07:27)</t>
        </is>
      </c>
    </row>
    <row r="162">
      <c r="A162" s="2" t="inlineStr">
        <is>
          <t xml:space="preserve">      ✅ OK: Duration Log Main (695ms) &lt; Duration Ảnh (892ms)</t>
        </is>
      </c>
    </row>
    <row r="163">
      <c r="A163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64">
      <c r="A164" s="2" t="inlineStr">
        <is>
          <t xml:space="preserve">      ✅ OK: Jobnet ID 'P1J0116@10116' khớp với dữ liệu trong Log.</t>
        </is>
      </c>
    </row>
    <row r="165">
      <c r="A165" t="inlineStr">
        <is>
          <t xml:space="preserve">  - [Kiểm tra File]: Log text báo có tạo ra file 'RFSH0116_output.tsv'.</t>
        </is>
      </c>
    </row>
    <row r="166">
      <c r="A166" s="2" t="inlineStr">
        <is>
          <t xml:space="preserve">      ✅ OK: Tên file trong ảnh File Explorer (RFSH0116_output.tsv) KHỚP với tên file trong Log text.</t>
        </is>
      </c>
    </row>
    <row r="167">
      <c r="A167" t="inlineStr">
        <is>
          <t xml:space="preserve">  - [Ảnh File Explorer]: Tìm thấy file 'RFSH0116_output.tsv' có Date modified là '2026/05/18 12:07'</t>
        </is>
      </c>
    </row>
    <row r="168">
      <c r="A168" s="2" t="inlineStr">
        <is>
          <t xml:space="preserve">      ✅ OK: Thời gian xuất file 'RFSH0116_output.tsv' (2026/05/18 12:07) KHỚP với log (2026/05/18 12:07).</t>
        </is>
      </c>
    </row>
    <row r="169">
      <c r="A169" t="inlineStr">
        <is>
          <t xml:space="preserve">  - [Đối chiếu Testcase trong Log]:</t>
        </is>
      </c>
    </row>
    <row r="170">
      <c r="A170" t="inlineStr">
        <is>
          <t xml:space="preserve">  - [Đối chiếu テスト計画書兼結果報告書(共通)]: Tìm thấy 2 dòng (30, 35)</t>
        </is>
      </c>
    </row>
    <row r="171">
      <c r="A171" s="2" t="inlineStr">
        <is>
          <t xml:space="preserve">      + Số lần test (Cột K): ✅ Tất cả 2 dòng đều khớp (Lần 7)</t>
        </is>
      </c>
    </row>
    <row r="172">
      <c r="A172" s="2" t="inlineStr">
        <is>
          <t xml:space="preserve">      + Ngày test (Cột I/G): ✅ Khớp ngày (2026/05/18) cho tất cả các dòng có dữ liệu</t>
        </is>
      </c>
    </row>
    <row r="173">
      <c r="A173" t="inlineStr"/>
    </row>
    <row r="174">
      <c r="A174" s="1">
        <f>=============== ĐANG PHÂN TÍCH KẾT QUẢ SHEET: エビデンス(個別) ================</f>
        <v/>
      </c>
    </row>
    <row r="175">
      <c r="A175" t="inlineStr"/>
    </row>
    <row r="176">
      <c r="A176" s="1" t="inlineStr">
        <is>
          <t>[Nhóm Test]: ■1回目 正常系・0byteファイル</t>
        </is>
      </c>
    </row>
    <row r="177">
      <c r="A177" t="inlineStr">
        <is>
          <t xml:space="preserve">  - Tổng số dòng log: 49</t>
        </is>
      </c>
    </row>
    <row r="178">
      <c r="A178" s="2" t="inlineStr">
        <is>
          <t xml:space="preserve">  - Trạng thái Sort (行): ✅ Đã sắp xếp tăng dần hợp lệ.</t>
        </is>
      </c>
    </row>
    <row r="179">
      <c r="A179" t="inlineStr">
        <is>
          <t xml:space="preserve">  - Ngày chạy log: 2026/05/18</t>
        </is>
      </c>
    </row>
    <row r="180">
      <c r="A180" t="inlineStr">
        <is>
          <t xml:space="preserve">  - [Ảnh Status Panel]: Tìm thấy Jobnet ID: 'P1J0116@10116'</t>
        </is>
      </c>
    </row>
    <row r="181">
      <c r="A181" t="inlineStr">
        <is>
          <t xml:space="preserve">  - [Ảnh Status Panel]: Tìm thấy Interface ID: 'RFSH0116'</t>
        </is>
      </c>
    </row>
    <row r="182">
      <c r="A182" s="2" t="inlineStr">
        <is>
          <t xml:space="preserve">      ✅ OK: Interface ID 'RFSH0116' có tồn tại trong tên file Excel.</t>
        </is>
      </c>
    </row>
    <row r="183">
      <c r="A183" t="inlineStr">
        <is>
          <t xml:space="preserve">  - [Ảnh Status Panel]: Tìm thấy giờ bắt đầu là 12:23:12</t>
        </is>
      </c>
    </row>
    <row r="184">
      <c r="A184" s="2" t="inlineStr">
        <is>
          <t xml:space="preserve">      ✅ OK: Thời gian log (12:23:12) &gt;= Thời gian ảnh (12:23:12)</t>
        </is>
      </c>
    </row>
    <row r="185">
      <c r="A185" s="2" t="inlineStr">
        <is>
          <t xml:space="preserve">      ✅ OK: Duration Log Main (147ms) &lt; Duration Ảnh (366ms)</t>
        </is>
      </c>
    </row>
    <row r="186">
      <c r="A186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87">
      <c r="A187" s="2" t="inlineStr">
        <is>
          <t xml:space="preserve">      ✅ OK: Jobnet ID 'P1J0116@10116' khớp với dữ liệu trong Log.</t>
        </is>
      </c>
    </row>
    <row r="188">
      <c r="A188" t="inlineStr">
        <is>
          <t xml:space="preserve">  - [Kiểm tra File]: Log text báo có tạo ra file 'RFSH0116_output.tsv'.</t>
        </is>
      </c>
    </row>
    <row r="189">
      <c r="A189" s="2" t="inlineStr">
        <is>
          <t xml:space="preserve">      ✅ OK: Tên file trong ảnh File Explorer (RFSH0116_output.tsv) KHỚP với tên file trong Log text.</t>
        </is>
      </c>
    </row>
    <row r="190">
      <c r="A190" t="inlineStr">
        <is>
          <t xml:space="preserve">  - [Ảnh File Explorer]: Tìm thấy file 'RFSH0116_output.tsv' có Date modified là '2026/05/18 12:23'</t>
        </is>
      </c>
    </row>
    <row r="191">
      <c r="A191" s="2" t="inlineStr">
        <is>
          <t xml:space="preserve">      ✅ OK: Thời gian xuất file 'RFSH0116_output.tsv' (2026/05/18 12:23) KHỚP với log (2026/05/18 12:23).</t>
        </is>
      </c>
    </row>
    <row r="192">
      <c r="A192" t="inlineStr">
        <is>
          <t xml:space="preserve">  - [Đối chiếu Testcase trong Log]:</t>
        </is>
      </c>
    </row>
    <row r="193">
      <c r="A193" t="inlineStr">
        <is>
          <t xml:space="preserve">  - [Đối chiếu テスト計画書兼結果報告書(個別)]: Tìm thấy 1 dòng (6)</t>
        </is>
      </c>
    </row>
    <row r="194">
      <c r="A194" s="2" t="inlineStr">
        <is>
          <t xml:space="preserve">      + Số lần test (Cột K): ✅ Tất cả 1 dòng đều khớp (Lần 1)</t>
        </is>
      </c>
    </row>
    <row r="195">
      <c r="A195" s="2" t="inlineStr">
        <is>
          <t xml:space="preserve">      + Ngày test (Cột I/G): ✅ Khớp ngày (2026/05/18) cho tất cả các dòng có dữ liệu</t>
        </is>
      </c>
    </row>
    <row r="196">
      <c r="A196" t="inlineStr"/>
    </row>
    <row r="197">
      <c r="A197" s="1" t="inlineStr">
        <is>
          <t>[Nhóm Test]: ■2回目 正常系・全項目空データファイル</t>
        </is>
      </c>
    </row>
    <row r="198">
      <c r="A198" t="inlineStr">
        <is>
          <t xml:space="preserve">  - Tổng số dòng log: 53</t>
        </is>
      </c>
    </row>
    <row r="199">
      <c r="A199" s="2" t="inlineStr">
        <is>
          <t xml:space="preserve">  - Trạng thái Sort (行): ✅ Đã sắp xếp tăng dần hợp lệ.</t>
        </is>
      </c>
    </row>
    <row r="200">
      <c r="A200" t="inlineStr">
        <is>
          <t xml:space="preserve">  - Ngày chạy log: 2026/05/18</t>
        </is>
      </c>
    </row>
    <row r="201">
      <c r="A201" t="inlineStr">
        <is>
          <t xml:space="preserve">  - [Ảnh Status Panel]: Tìm thấy Jobnet ID: 'P1J0116@10116'</t>
        </is>
      </c>
    </row>
    <row r="202">
      <c r="A202" t="inlineStr">
        <is>
          <t xml:space="preserve">  - [Ảnh Status Panel]: Tìm thấy Interface ID: 'RFSH0116'</t>
        </is>
      </c>
    </row>
    <row r="203">
      <c r="A203" s="2" t="inlineStr">
        <is>
          <t xml:space="preserve">      ✅ OK: Interface ID 'RFSH0116' có tồn tại trong tên file Excel.</t>
        </is>
      </c>
    </row>
    <row r="204">
      <c r="A204" t="inlineStr">
        <is>
          <t xml:space="preserve">  - [Ảnh Status Panel]: Tìm thấy giờ bắt đầu là 12:27:06</t>
        </is>
      </c>
    </row>
    <row r="205">
      <c r="A205" s="2" t="inlineStr">
        <is>
          <t xml:space="preserve">      ✅ OK: Thời gian log (12:27:06) &gt;= Thời gian ảnh (12:27:06)</t>
        </is>
      </c>
    </row>
    <row r="206">
      <c r="A206" s="2" t="inlineStr">
        <is>
          <t xml:space="preserve">      ✅ OK: Duration Log Main (244ms) &lt; Duration Ảnh (447ms)</t>
        </is>
      </c>
    </row>
    <row r="207">
      <c r="A207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08">
      <c r="A208" s="2" t="inlineStr">
        <is>
          <t xml:space="preserve">      ✅ OK: Jobnet ID 'P1J0116@10116' khớp với dữ liệu trong Log.</t>
        </is>
      </c>
    </row>
    <row r="209">
      <c r="A209" t="inlineStr">
        <is>
          <t xml:space="preserve">  - [Kiểm tra File]: Log text báo có tạo ra file 'RFSH0116_output.tsv'.</t>
        </is>
      </c>
    </row>
    <row r="210">
      <c r="A210" s="2" t="inlineStr">
        <is>
          <t xml:space="preserve">      ✅ OK: Tên file trong ảnh File Explorer (RFSH0116_output.tsv) KHỚP với tên file trong Log text.</t>
        </is>
      </c>
    </row>
    <row r="211">
      <c r="A211" t="inlineStr">
        <is>
          <t xml:space="preserve">  - [Ảnh File Explorer]: Tìm thấy file 'RFSH0116_output.tsv' có Date modified là '2026/05/18 12:27'</t>
        </is>
      </c>
    </row>
    <row r="212">
      <c r="A212" s="2" t="inlineStr">
        <is>
          <t xml:space="preserve">      ✅ OK: Thời gian xuất file 'RFSH0116_output.tsv' (2026/05/18 12:27) KHỚP với log (2026/05/18 12:27).</t>
        </is>
      </c>
    </row>
    <row r="213">
      <c r="A213" t="inlineStr">
        <is>
          <t xml:space="preserve">  - [Đối chiếu Testcase trong Log]:</t>
        </is>
      </c>
    </row>
    <row r="214">
      <c r="A214" t="inlineStr">
        <is>
          <t xml:space="preserve">  - [Đối chiếu テスト計画書兼結果報告書(個別)]: Tìm thấy 1 dòng (8)</t>
        </is>
      </c>
    </row>
    <row r="215">
      <c r="A215" s="2" t="inlineStr">
        <is>
          <t xml:space="preserve">      + Số lần test (Cột K): ✅ Tất cả 1 dòng đều khớp (Lần 2)</t>
        </is>
      </c>
    </row>
    <row r="216">
      <c r="A216" s="2" t="inlineStr">
        <is>
          <t xml:space="preserve">      + Ngày test (Cột I/G): ✅ Khớp ngày (2026/05/18) cho tất cả các dòng có dữ liệu</t>
        </is>
      </c>
    </row>
    <row r="217">
      <c r="A217" t="inlineStr"/>
    </row>
    <row r="218">
      <c r="A218" s="1" t="inlineStr">
        <is>
          <t>[Nhóm Test]: ■3回目 正常系・ファイル定義確認</t>
        </is>
      </c>
    </row>
    <row r="219">
      <c r="A219" t="inlineStr">
        <is>
          <t xml:space="preserve">  - Tổng số dòng log: 53</t>
        </is>
      </c>
    </row>
    <row r="220">
      <c r="A220" s="2" t="inlineStr">
        <is>
          <t xml:space="preserve">  - Trạng thái Sort (行): ✅ Đã sắp xếp tăng dần hợp lệ.</t>
        </is>
      </c>
    </row>
    <row r="221">
      <c r="A221" t="inlineStr">
        <is>
          <t xml:space="preserve">  - Ngày chạy log: 2026/05/18</t>
        </is>
      </c>
    </row>
    <row r="222">
      <c r="A222" t="inlineStr">
        <is>
          <t xml:space="preserve">  - [Ảnh Status Panel]: Tìm thấy Jobnet ID: 'P1J0116@10116'</t>
        </is>
      </c>
    </row>
    <row r="223">
      <c r="A223" t="inlineStr">
        <is>
          <t xml:space="preserve">  - [Ảnh Status Panel]: Tìm thấy Interface ID: 'RFSH0116'</t>
        </is>
      </c>
    </row>
    <row r="224">
      <c r="A224" s="2" t="inlineStr">
        <is>
          <t xml:space="preserve">      ✅ OK: Interface ID 'RFSH0116' có tồn tại trong tên file Excel.</t>
        </is>
      </c>
    </row>
    <row r="225">
      <c r="A225" t="inlineStr">
        <is>
          <t xml:space="preserve">  - [Ảnh Status Panel]: Tìm thấy giờ bắt đầu là 12:30:30</t>
        </is>
      </c>
    </row>
    <row r="226">
      <c r="A226" s="2" t="inlineStr">
        <is>
          <t xml:space="preserve">      ✅ OK: Thời gian log (12:30:31) &gt;= Thời gian ảnh (12:30:30)</t>
        </is>
      </c>
    </row>
    <row r="227">
      <c r="A227" s="2" t="inlineStr">
        <is>
          <t xml:space="preserve">      ✅ OK: Duration Log Main (150ms) &lt; Duration Ảnh (349ms)</t>
        </is>
      </c>
    </row>
    <row r="228">
      <c r="A228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29">
      <c r="A229" s="2" t="inlineStr">
        <is>
          <t xml:space="preserve">      ✅ OK: Jobnet ID 'P1J0116@10116' khớp với dữ liệu trong Log.</t>
        </is>
      </c>
    </row>
    <row r="230">
      <c r="A230" t="inlineStr">
        <is>
          <t xml:space="preserve">  - [Kiểm tra File]: Log text báo có tạo ra file 'RFSH0116_output.tsv'.</t>
        </is>
      </c>
    </row>
    <row r="231">
      <c r="A231" s="2" t="inlineStr">
        <is>
          <t xml:space="preserve">      ✅ OK: Tên file trong ảnh File Explorer (RFSH0116_output.tsv) KHỚP với tên file trong Log text.</t>
        </is>
      </c>
    </row>
    <row r="232">
      <c r="A232" t="inlineStr">
        <is>
          <t xml:space="preserve">  - [Ảnh File Explorer]: Tìm thấy file 'RFSH0116_output.tsv' có Date modified là '2026/05/18 12:30'</t>
        </is>
      </c>
    </row>
    <row r="233">
      <c r="A233" s="2" t="inlineStr">
        <is>
          <t xml:space="preserve">      ✅ OK: Thời gian xuất file 'RFSH0116_output.tsv' (2026/05/18 12:30) KHỚP với log (2026/05/18 12:30).</t>
        </is>
      </c>
    </row>
    <row r="234">
      <c r="A234" t="inlineStr">
        <is>
          <t xml:space="preserve">  - [Đối chiếu Testcase trong Log]:</t>
        </is>
      </c>
    </row>
    <row r="235">
      <c r="A235" t="inlineStr">
        <is>
          <t xml:space="preserve">  - [Đối chiếu テスト計画書兼結果報告書(個別)]: Tìm thấy 12 dòng (18, 19, 20, 21, 22, 23, 25, 26, 27, 28, 29, 30)</t>
        </is>
      </c>
    </row>
    <row r="236">
      <c r="A236" s="2" t="inlineStr">
        <is>
          <t xml:space="preserve">      + Số lần test (Cột K): ✅ Tất cả 12 dòng đều khớp (Lần 3)</t>
        </is>
      </c>
    </row>
    <row r="237">
      <c r="A237" s="2" t="inlineStr">
        <is>
          <t xml:space="preserve">      + Ngày test (Cột I/G): ✅ Khớp ngày (2026/05/18) cho tất cả các dòng có dữ liệu</t>
        </is>
      </c>
    </row>
    <row r="238">
      <c r="A238" t="inlineStr"/>
    </row>
    <row r="239">
      <c r="A239" s="1" t="inlineStr">
        <is>
          <t>[Nhóm Test]: 4回目正常系・列分割→行変換確認（明細0件）</t>
        </is>
      </c>
    </row>
    <row r="240">
      <c r="A240" t="inlineStr">
        <is>
          <t xml:space="preserve">  - Tổng số dòng log: 53</t>
        </is>
      </c>
    </row>
    <row r="241">
      <c r="A241" s="2" t="inlineStr">
        <is>
          <t xml:space="preserve">  - Trạng thái Sort (行): ✅ Đã sắp xếp tăng dần hợp lệ.</t>
        </is>
      </c>
    </row>
    <row r="242">
      <c r="A242" t="inlineStr">
        <is>
          <t xml:space="preserve">  - Ngày chạy log: 2026/05/18</t>
        </is>
      </c>
    </row>
    <row r="243">
      <c r="A243" t="inlineStr">
        <is>
          <t xml:space="preserve">  - [Ảnh Status Panel]: Tìm thấy Jobnet ID: 'P1J0116@10116'</t>
        </is>
      </c>
    </row>
    <row r="244">
      <c r="A244" t="inlineStr">
        <is>
          <t xml:space="preserve">  - [Ảnh Status Panel]: Tìm thấy Interface ID: 'RFSH0116'</t>
        </is>
      </c>
    </row>
    <row r="245">
      <c r="A245" s="2" t="inlineStr">
        <is>
          <t xml:space="preserve">      ✅ OK: Interface ID 'RFSH0116' có tồn tại trong tên file Excel.</t>
        </is>
      </c>
    </row>
    <row r="246">
      <c r="A246" t="inlineStr">
        <is>
          <t xml:space="preserve">  - [Ảnh Status Panel]: Tìm thấy giờ bắt đầu là 12:37:40</t>
        </is>
      </c>
    </row>
    <row r="247">
      <c r="A247" s="2" t="inlineStr">
        <is>
          <t xml:space="preserve">      ✅ OK: Thời gian log (12:37:40) &gt;= Thời gian ảnh (12:37:40)</t>
        </is>
      </c>
    </row>
    <row r="248">
      <c r="A248" s="2" t="inlineStr">
        <is>
          <t xml:space="preserve">      ✅ OK: Duration Log Main (238ms) &lt; Duration Ảnh (431ms)</t>
        </is>
      </c>
    </row>
    <row r="249">
      <c r="A249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50">
      <c r="A250" s="2" t="inlineStr">
        <is>
          <t xml:space="preserve">      ✅ OK: Jobnet ID 'P1J0116@10116' khớp với dữ liệu trong Log.</t>
        </is>
      </c>
    </row>
    <row r="251">
      <c r="A251" t="inlineStr">
        <is>
          <t xml:space="preserve">  - [Kiểm tra File]: Log text báo có tạo ra file 'RFSH0116_output.tsv'.</t>
        </is>
      </c>
    </row>
    <row r="252">
      <c r="A252" s="2" t="inlineStr">
        <is>
          <t xml:space="preserve">      ✅ OK: Tên file trong ảnh File Explorer (RFSH0116_output.tsv) KHỚP với tên file trong Log text.</t>
        </is>
      </c>
    </row>
    <row r="253">
      <c r="A253" t="inlineStr">
        <is>
          <t xml:space="preserve">  - [Ảnh File Explorer]: Tìm thấy file 'RFSH0116_output.tsv' có Date modified là '2026/05/18 12:37'</t>
        </is>
      </c>
    </row>
    <row r="254">
      <c r="A254" s="2" t="inlineStr">
        <is>
          <t xml:space="preserve">      ✅ OK: Thời gian xuất file 'RFSH0116_output.tsv' (2026/05/18 12:37) KHỚP với log (2026/05/18 12:37).</t>
        </is>
      </c>
    </row>
    <row r="255">
      <c r="A255" t="inlineStr">
        <is>
          <t xml:space="preserve">  - [Đối chiếu Testcase trong Log]:</t>
        </is>
      </c>
    </row>
    <row r="256">
      <c r="A256" t="inlineStr">
        <is>
          <t xml:space="preserve">  - [Đối chiếu テスト計画書兼結果報告書(個別)]: Tìm thấy 1 dòng (11)</t>
        </is>
      </c>
    </row>
    <row r="257">
      <c r="A257" s="2" t="inlineStr">
        <is>
          <t xml:space="preserve">      + Số lần test (Cột K): ✅ Tất cả 1 dòng đều khớp (Lần 4)</t>
        </is>
      </c>
    </row>
    <row r="258">
      <c r="A258" s="2" t="inlineStr">
        <is>
          <t xml:space="preserve">      + Ngày test (Cột I/G): ✅ Khớp ngày (2026/05/18) cho tất cả các dòng có dữ liệu</t>
        </is>
      </c>
    </row>
    <row r="259">
      <c r="A259" t="inlineStr"/>
    </row>
    <row r="260">
      <c r="A260" s="1" t="inlineStr">
        <is>
          <t>[Nhóm Test]: 5回目正常系・列分割→行変換確認（明細1件）</t>
        </is>
      </c>
    </row>
    <row r="261">
      <c r="A261" t="inlineStr">
        <is>
          <t xml:space="preserve">  - Tổng số dòng log: 53</t>
        </is>
      </c>
    </row>
    <row r="262">
      <c r="A262" s="2" t="inlineStr">
        <is>
          <t xml:space="preserve">  - Trạng thái Sort (行): ✅ Đã sắp xếp tăng dần hợp lệ.</t>
        </is>
      </c>
    </row>
    <row r="263">
      <c r="A263" t="inlineStr">
        <is>
          <t xml:space="preserve">  - Ngày chạy log: 2026/05/18</t>
        </is>
      </c>
    </row>
    <row r="264">
      <c r="A264" t="inlineStr">
        <is>
          <t xml:space="preserve">  - [Ảnh Status Panel]: Tìm thấy Jobnet ID: 'P1J0116@10116'</t>
        </is>
      </c>
    </row>
    <row r="265">
      <c r="A265" t="inlineStr">
        <is>
          <t xml:space="preserve">  - [Ảnh Status Panel]: Tìm thấy Interface ID: 'RFSH0116'</t>
        </is>
      </c>
    </row>
    <row r="266">
      <c r="A266" s="2" t="inlineStr">
        <is>
          <t xml:space="preserve">      ✅ OK: Interface ID 'RFSH0116' có tồn tại trong tên file Excel.</t>
        </is>
      </c>
    </row>
    <row r="267">
      <c r="A267" t="inlineStr">
        <is>
          <t xml:space="preserve">  - [Ảnh Status Panel]: Tìm thấy giờ bắt đầu là 12:40:58</t>
        </is>
      </c>
    </row>
    <row r="268">
      <c r="A268" s="2" t="inlineStr">
        <is>
          <t xml:space="preserve">      ✅ OK: Thời gian log (12:40:58) &gt;= Thời gian ảnh (12:40:58)</t>
        </is>
      </c>
    </row>
    <row r="269">
      <c r="A269" s="2" t="inlineStr">
        <is>
          <t xml:space="preserve">      ✅ OK: Duration Log Main (630ms) &lt; Duration Ảnh (828ms)</t>
        </is>
      </c>
    </row>
    <row r="270">
      <c r="A270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71">
      <c r="A271" s="2" t="inlineStr">
        <is>
          <t xml:space="preserve">      ✅ OK: Jobnet ID 'P1J0116@10116' khớp với dữ liệu trong Log.</t>
        </is>
      </c>
    </row>
    <row r="272">
      <c r="A272" t="inlineStr">
        <is>
          <t xml:space="preserve">  - [Kiểm tra File]: Log text báo có tạo ra file 'RFSH0116_output.tsv'.</t>
        </is>
      </c>
    </row>
    <row r="273">
      <c r="A273" s="2" t="inlineStr">
        <is>
          <t xml:space="preserve">      ✅ OK: Tên file trong ảnh File Explorer (RFSH0116_output.tsv) KHỚP với tên file trong Log text.</t>
        </is>
      </c>
    </row>
    <row r="274">
      <c r="A274" t="inlineStr">
        <is>
          <t xml:space="preserve">  - [Ảnh File Explorer]: Tìm thấy file 'RFSH0116_output.tsv' có Date modified là '2026/05/18 12:40'</t>
        </is>
      </c>
    </row>
    <row r="275">
      <c r="A275" s="2" t="inlineStr">
        <is>
          <t xml:space="preserve">      ✅ OK: Thời gian xuất file 'RFSH0116_output.tsv' (2026/05/18 12:40) KHỚP với log (2026/05/18 12:40).</t>
        </is>
      </c>
    </row>
    <row r="276">
      <c r="A276" t="inlineStr">
        <is>
          <t xml:space="preserve">  - [Đối chiếu Testcase trong Log]:</t>
        </is>
      </c>
    </row>
    <row r="277">
      <c r="A277" t="inlineStr">
        <is>
          <t xml:space="preserve">  - [Đối chiếu テスト計画書兼結果報告書(個別)]: Tìm thấy 1 dòng (12)</t>
        </is>
      </c>
    </row>
    <row r="278">
      <c r="A278" s="2" t="inlineStr">
        <is>
          <t xml:space="preserve">      + Số lần test (Cột K): ✅ Tất cả 1 dòng đều khớp (Lần 5)</t>
        </is>
      </c>
    </row>
    <row r="279">
      <c r="A279" s="2" t="inlineStr">
        <is>
          <t xml:space="preserve">      + Ngày test (Cột I/G): ✅ Khớp ngày (2026/05/18) cho tất cả các dòng có dữ liệu</t>
        </is>
      </c>
    </row>
    <row r="280">
      <c r="A280" t="inlineStr"/>
    </row>
    <row r="281">
      <c r="A281" s="1" t="inlineStr">
        <is>
          <t>[Nhóm Test]: 6回目正常系・列分割→行変換確認（明細8件）</t>
        </is>
      </c>
    </row>
    <row r="282">
      <c r="A282" t="inlineStr">
        <is>
          <t xml:space="preserve">  - Tổng số dòng log: 53</t>
        </is>
      </c>
    </row>
    <row r="283">
      <c r="A283" s="2" t="inlineStr">
        <is>
          <t xml:space="preserve">  - Trạng thái Sort (行): ✅ Đã sắp xếp tăng dần hợp lệ.</t>
        </is>
      </c>
    </row>
    <row r="284">
      <c r="A284" t="inlineStr">
        <is>
          <t xml:space="preserve">  - Ngày chạy log: 2026/05/18</t>
        </is>
      </c>
    </row>
    <row r="285">
      <c r="A285" t="inlineStr">
        <is>
          <t xml:space="preserve">  - [Ảnh Status Panel]: Tìm thấy Jobnet ID: 'P1J0116@10116'</t>
        </is>
      </c>
    </row>
    <row r="286">
      <c r="A286" t="inlineStr">
        <is>
          <t xml:space="preserve">  - [Ảnh Status Panel]: Tìm thấy Interface ID: 'RFSH0116'</t>
        </is>
      </c>
    </row>
    <row r="287">
      <c r="A287" s="2" t="inlineStr">
        <is>
          <t xml:space="preserve">      ✅ OK: Interface ID 'RFSH0116' có tồn tại trong tên file Excel.</t>
        </is>
      </c>
    </row>
    <row r="288">
      <c r="A288" t="inlineStr">
        <is>
          <t xml:space="preserve">  - [Ảnh Status Panel]: Tìm thấy giờ bắt đầu là 12:45:46</t>
        </is>
      </c>
    </row>
    <row r="289">
      <c r="A289" s="2" t="inlineStr">
        <is>
          <t xml:space="preserve">      ✅ OK: Thời gian log (12:45:46) &gt;= Thời gian ảnh (12:45:46)</t>
        </is>
      </c>
    </row>
    <row r="290">
      <c r="A290" s="2" t="inlineStr">
        <is>
          <t xml:space="preserve">      ✅ OK: Duration Log Main (149ms) &lt; Duration Ảnh (365ms)</t>
        </is>
      </c>
    </row>
    <row r="291">
      <c r="A291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92">
      <c r="A292" s="2" t="inlineStr">
        <is>
          <t xml:space="preserve">      ✅ OK: Jobnet ID 'P1J0116@10116' khớp với dữ liệu trong Log.</t>
        </is>
      </c>
    </row>
    <row r="293">
      <c r="A293" t="inlineStr">
        <is>
          <t xml:space="preserve">  - [Kiểm tra File]: Log text báo có tạo ra file 'RFSH0116_output.tsv'.</t>
        </is>
      </c>
    </row>
    <row r="294">
      <c r="A294" s="2" t="inlineStr">
        <is>
          <t xml:space="preserve">      ✅ OK: Tên file trong ảnh File Explorer (RFSH0116_output.tsv) KHỚP với tên file trong Log text.</t>
        </is>
      </c>
    </row>
    <row r="295">
      <c r="A295" t="inlineStr">
        <is>
          <t xml:space="preserve">  - [Ảnh File Explorer]: Tìm thấy file 'RFSH0116_output.tsv' có Date modified là '2026/05/18 12:45'</t>
        </is>
      </c>
    </row>
    <row r="296">
      <c r="A296" s="2" t="inlineStr">
        <is>
          <t xml:space="preserve">      ✅ OK: Thời gian xuất file 'RFSH0116_output.tsv' (2026/05/18 12:45) KHỚP với log (2026/05/18 12:45).</t>
        </is>
      </c>
    </row>
    <row r="297">
      <c r="A297" t="inlineStr">
        <is>
          <t xml:space="preserve">  - [Đối chiếu Testcase trong Log]:</t>
        </is>
      </c>
    </row>
    <row r="298">
      <c r="A298" t="inlineStr">
        <is>
          <t xml:space="preserve">  - [Đối chiếu テスト計画書兼結果報告書(個別)]: Tìm thấy 1 dòng (13)</t>
        </is>
      </c>
    </row>
    <row r="299">
      <c r="A299" s="2" t="inlineStr">
        <is>
          <t xml:space="preserve">      + Số lần test (Cột K): ✅ Tất cả 1 dòng đều khớp (Lần 6)</t>
        </is>
      </c>
    </row>
    <row r="300">
      <c r="A300" s="2" t="inlineStr">
        <is>
          <t xml:space="preserve">      + Ngày test (Cột I/G): ✅ Khớp ngày (2026/05/18) cho tất cả các dòng có dữ liệu</t>
        </is>
      </c>
    </row>
    <row r="301">
      <c r="A301" t="inlineStr"/>
    </row>
    <row r="302">
      <c r="A302" s="1" t="inlineStr">
        <is>
          <t>[Nhóm Test]: 7回目正常系・列分割→行変換確認（明細4件）</t>
        </is>
      </c>
    </row>
    <row r="303">
      <c r="A303" t="inlineStr">
        <is>
          <t xml:space="preserve">  - Tổng số dòng log: 53</t>
        </is>
      </c>
    </row>
    <row r="304">
      <c r="A304" s="2" t="inlineStr">
        <is>
          <t xml:space="preserve">  - Trạng thái Sort (行): ✅ Đã sắp xếp tăng dần hợp lệ.</t>
        </is>
      </c>
    </row>
    <row r="305">
      <c r="A305" t="inlineStr">
        <is>
          <t xml:space="preserve">  - Ngày chạy log: 2026/05/18</t>
        </is>
      </c>
    </row>
    <row r="306">
      <c r="A306" t="inlineStr">
        <is>
          <t xml:space="preserve">  - [Ảnh Status Panel]: Tìm thấy Jobnet ID: 'P1J0116@10116'</t>
        </is>
      </c>
    </row>
    <row r="307">
      <c r="A307" t="inlineStr">
        <is>
          <t xml:space="preserve">  - [Ảnh Status Panel]: Tìm thấy Interface ID: 'RFSH0116'</t>
        </is>
      </c>
    </row>
    <row r="308">
      <c r="A308" s="2" t="inlineStr">
        <is>
          <t xml:space="preserve">      ✅ OK: Interface ID 'RFSH0116' có tồn tại trong tên file Excel.</t>
        </is>
      </c>
    </row>
    <row r="309">
      <c r="A309" t="inlineStr">
        <is>
          <t xml:space="preserve">  - [Ảnh Status Panel]: Tìm thấy giờ bắt đầu là 12:48:09</t>
        </is>
      </c>
    </row>
    <row r="310">
      <c r="A310" s="2" t="inlineStr">
        <is>
          <t xml:space="preserve">      ✅ OK: Thời gian log (12:48:09) &gt;= Thời gian ảnh (12:48:09)</t>
        </is>
      </c>
    </row>
    <row r="311">
      <c r="A311" s="2" t="inlineStr">
        <is>
          <t xml:space="preserve">      ✅ OK: Duration Log Main (159ms) &lt; Duration Ảnh (350ms)</t>
        </is>
      </c>
    </row>
    <row r="312">
      <c r="A312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313">
      <c r="A313" s="2" t="inlineStr">
        <is>
          <t xml:space="preserve">      ✅ OK: Jobnet ID 'P1J0116@10116' khớp với dữ liệu trong Log.</t>
        </is>
      </c>
    </row>
    <row r="314">
      <c r="A314" t="inlineStr">
        <is>
          <t xml:space="preserve">  - [Kiểm tra File]: Log text báo có tạo ra file 'RFSH0116_output.tsv'.</t>
        </is>
      </c>
    </row>
    <row r="315">
      <c r="A315" s="2" t="inlineStr">
        <is>
          <t xml:space="preserve">      ✅ OK: Tên file trong ảnh File Explorer (RFSH0116_output.tsv) KHỚP với tên file trong Log text.</t>
        </is>
      </c>
    </row>
    <row r="316">
      <c r="A316" t="inlineStr">
        <is>
          <t xml:space="preserve">  - [Ảnh File Explorer]: Tìm thấy file 'RFSH0116_output.tsv' có Date modified là '2026/05/18 12:48'</t>
        </is>
      </c>
    </row>
    <row r="317">
      <c r="A317" s="2" t="inlineStr">
        <is>
          <t xml:space="preserve">      ✅ OK: Thời gian xuất file 'RFSH0116_output.tsv' (2026/05/18 12:48) KHỚP với log (2026/05/18 12:48).</t>
        </is>
      </c>
    </row>
    <row r="318">
      <c r="A318" t="inlineStr">
        <is>
          <t xml:space="preserve">  - [Đối chiếu Testcase trong Log]:</t>
        </is>
      </c>
    </row>
    <row r="319">
      <c r="A319" t="inlineStr">
        <is>
          <t xml:space="preserve">  - [Đối chiếu テスト計画書兼結果報告書(個別)]: Tìm thấy 1 dòng (14)</t>
        </is>
      </c>
    </row>
    <row r="320">
      <c r="A320" s="2" t="inlineStr">
        <is>
          <t xml:space="preserve">      + Số lần test (Cột K): ✅ Tất cả 1 dòng đều khớp (Lần 7)</t>
        </is>
      </c>
    </row>
    <row r="321">
      <c r="A321" s="2" t="inlineStr">
        <is>
          <t xml:space="preserve">      + Ngày test (Cột I/G): ✅ Khớp ngày (2026/05/18) cho tất cả các dòng có dữ liệu</t>
        </is>
      </c>
    </row>
    <row r="322">
      <c r="A322" t="inlineStr"/>
    </row>
    <row r="323">
      <c r="A323" s="1" t="inlineStr">
        <is>
          <t>[Nhóm Test]: 8回目正常系・列分割→行変換確認（レコードが複数件あり）</t>
        </is>
      </c>
    </row>
    <row r="324">
      <c r="A324" t="inlineStr">
        <is>
          <t xml:space="preserve">  - Tổng số dòng log: 53</t>
        </is>
      </c>
    </row>
    <row r="325">
      <c r="A325" s="2" t="inlineStr">
        <is>
          <t xml:space="preserve">  - Trạng thái Sort (行): ✅ Đã sắp xếp tăng dần hợp lệ.</t>
        </is>
      </c>
    </row>
    <row r="326">
      <c r="A326" t="inlineStr">
        <is>
          <t xml:space="preserve">  - Ngày chạy log: 2026/05/18</t>
        </is>
      </c>
    </row>
    <row r="327">
      <c r="A327" t="inlineStr">
        <is>
          <t xml:space="preserve">  - [Ảnh Status Panel]: Tìm thấy Jobnet ID: 'P1J0116@10116'</t>
        </is>
      </c>
    </row>
    <row r="328">
      <c r="A328" t="inlineStr">
        <is>
          <t xml:space="preserve">  - [Ảnh Status Panel]: Tìm thấy Interface ID: 'RFSH0116'</t>
        </is>
      </c>
    </row>
    <row r="329">
      <c r="A329" s="2" t="inlineStr">
        <is>
          <t xml:space="preserve">      ✅ OK: Interface ID 'RFSH0116' có tồn tại trong tên file Excel.</t>
        </is>
      </c>
    </row>
    <row r="330">
      <c r="A330" t="inlineStr">
        <is>
          <t xml:space="preserve">  - [Ảnh Status Panel]: Tìm thấy giờ bắt đầu là 12:51:00</t>
        </is>
      </c>
    </row>
    <row r="331">
      <c r="A331" s="2" t="inlineStr">
        <is>
          <t xml:space="preserve">      ✅ OK: Thời gian log (12:51:00) &gt;= Thời gian ảnh (12:51:00)</t>
        </is>
      </c>
    </row>
    <row r="332">
      <c r="A332" s="2" t="inlineStr">
        <is>
          <t xml:space="preserve">      ✅ OK: Duration Log Main (167ms) &lt; Duration Ảnh (365ms)</t>
        </is>
      </c>
    </row>
    <row r="333">
      <c r="A333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334">
      <c r="A334" s="2" t="inlineStr">
        <is>
          <t xml:space="preserve">      ✅ OK: Jobnet ID 'P1J0116@10116' khớp với dữ liệu trong Log.</t>
        </is>
      </c>
    </row>
    <row r="335">
      <c r="A335" t="inlineStr">
        <is>
          <t xml:space="preserve">  - [Kiểm tra File]: Log text báo có tạo ra file 'RFSH0116_output.tsv'.</t>
        </is>
      </c>
    </row>
    <row r="336">
      <c r="A336" s="2" t="inlineStr">
        <is>
          <t xml:space="preserve">      ✅ OK: Tên file trong ảnh File Explorer (RFSH0116_output.tsv) KHỚP với tên file trong Log text.</t>
        </is>
      </c>
    </row>
    <row r="337">
      <c r="A337" t="inlineStr">
        <is>
          <t xml:space="preserve">  - [Ảnh File Explorer]: Tìm thấy file 'RFSH0116_output.tsv' có Date modified là '2026/05/18 12:51'</t>
        </is>
      </c>
    </row>
    <row r="338">
      <c r="A338" s="2" t="inlineStr">
        <is>
          <t xml:space="preserve">      ✅ OK: Thời gian xuất file 'RFSH0116_output.tsv' (2026/05/18 12:51) KHỚP với log (2026/05/18 12:51).</t>
        </is>
      </c>
    </row>
    <row r="339">
      <c r="A339" t="inlineStr">
        <is>
          <t xml:space="preserve">  - [Đối chiếu Testcase trong Log]:</t>
        </is>
      </c>
    </row>
    <row r="340">
      <c r="A340" t="inlineStr">
        <is>
          <t xml:space="preserve">  - [Đối chiếu テスト計画書兼結果報告書(個別)]: Tìm thấy 1 dòng (15)</t>
        </is>
      </c>
    </row>
    <row r="341">
      <c r="A341" s="2" t="inlineStr">
        <is>
          <t xml:space="preserve">      + Số lần test (Cột K): ✅ Tất cả 1 dòng đều khớp (Lần 8)</t>
        </is>
      </c>
    </row>
    <row r="342">
      <c r="A342" s="2" t="inlineStr">
        <is>
          <t xml:space="preserve">      + Ngày test (Cột I/G): ✅ Khớp ngày (2026/05/18) cho tất cả các dòng có dữ liệu</t>
        </is>
      </c>
    </row>
    <row r="343">
      <c r="A343" t="inlineStr"/>
    </row>
    <row r="344">
      <c r="A344" s="1">
        <f>=============== TỔNG KẾT COVERAGE CHO SHEET エビデンス(共通) ================</f>
        <v/>
      </c>
    </row>
    <row r="345">
      <c r="A345" s="2" t="inlineStr">
        <is>
          <t xml:space="preserve">  - ✅ Nhóm 1 (gồm TC: 1-1-1, 1-2-1, 2-1-1, 2-2-1, 3-1-1, 3-2-1, 4-1-1, 4-2-1, 5-1-1, 5-3-1, 5-4-1, 6-1-1, 7-1-1): Đã có Log Evidence.</t>
        </is>
      </c>
    </row>
    <row r="346">
      <c r="A346" s="2" t="inlineStr">
        <is>
          <t xml:space="preserve">  - ✅ Nhóm 2 (gồm TC: 1-2-2, 2-2-2): Đã có Log Evidence.</t>
        </is>
      </c>
    </row>
    <row r="347">
      <c r="A347" s="2" t="inlineStr">
        <is>
          <t xml:space="preserve">  - ✅ Nhóm 3 (gồm TC: 3-2-2): Đã có Log Evidence.</t>
        </is>
      </c>
    </row>
    <row r="348">
      <c r="A348" s="2" t="inlineStr">
        <is>
          <t xml:space="preserve">  - ✅ Nhóm 4 (gồm TC: 3-2-3): Đã có Log Evidence.</t>
        </is>
      </c>
    </row>
    <row r="349">
      <c r="A349" s="2" t="inlineStr">
        <is>
          <t xml:space="preserve">  - ✅ Nhóm 5 (gồm TC: 4-1-2, 7-1-2): Đã có Log Evidence.</t>
        </is>
      </c>
    </row>
    <row r="350">
      <c r="A350" s="2" t="inlineStr">
        <is>
          <t xml:space="preserve">  - ✅ Nhóm 6 (gồm TC: 4-2-2): Đã có Log Evidence.</t>
        </is>
      </c>
    </row>
    <row r="351">
      <c r="A351" s="2" t="inlineStr">
        <is>
          <t xml:space="preserve">  - ✅ Nhóm 7 (gồm TC: 4-2-3, 5-2-1): Đã có Log Evidence.</t>
        </is>
      </c>
    </row>
    <row r="352">
      <c r="A352" t="inlineStr">
        <is>
          <t xml:space="preserve">  =&gt; TOÀN BỘ CÁC NHÓM TEST TRONG KẾ HOẠCH ĐỀU ĐÃ CÓ EVIDENCE!</t>
        </is>
      </c>
    </row>
    <row r="353">
      <c r="A353" t="inlineStr"/>
    </row>
    <row r="354">
      <c r="A354" t="inlineStr"/>
    </row>
    <row r="355">
      <c r="A355" s="1">
        <f>=============== TỔNG KẾT COVERAGE CHO SHEET エビデンス(個別) ================</f>
        <v/>
      </c>
    </row>
    <row r="356">
      <c r="A356" s="2" t="inlineStr">
        <is>
          <t xml:space="preserve">  - ✅ Nhóm 1 (gồm TC: 1-1-1): Đã có Log Evidence.</t>
        </is>
      </c>
    </row>
    <row r="357">
      <c r="A357" s="2" t="inlineStr">
        <is>
          <t xml:space="preserve">  - ✅ Nhóm 2 (gồm TC: 1-2-1): Đã có Log Evidence.</t>
        </is>
      </c>
    </row>
    <row r="358">
      <c r="A358" s="2" t="inlineStr">
        <is>
          <t xml:space="preserve">  - ✅ Nhóm 3 (gồm TC: 3-1-1, 3-1-2, 3-1-3, 3-1-4, 3-1-5, 3-1-6, 3-2-1, 3-2-2, 3-2-3, 3-2-4, 3-2-5, 3-2-6): Đã có Log Evidence.</t>
        </is>
      </c>
    </row>
    <row r="359">
      <c r="A359" s="2" t="inlineStr">
        <is>
          <t xml:space="preserve">  - ✅ Nhóm 4 (gồm TC: 2-1-1): Đã có Log Evidence.</t>
        </is>
      </c>
    </row>
    <row r="360">
      <c r="A360" s="2" t="inlineStr">
        <is>
          <t xml:space="preserve">  - ✅ Nhóm 5 (gồm TC: 2-1-2): Đã có Log Evidence.</t>
        </is>
      </c>
    </row>
    <row r="361">
      <c r="A361" s="2" t="inlineStr">
        <is>
          <t xml:space="preserve">  - ✅ Nhóm 6 (gồm TC: 2-1-3): Đã có Log Evidence.</t>
        </is>
      </c>
    </row>
    <row r="362">
      <c r="A362" s="2" t="inlineStr">
        <is>
          <t xml:space="preserve">  - ✅ Nhóm 7 (gồm TC: 2-1-4): Đã có Log Evidence.</t>
        </is>
      </c>
    </row>
    <row r="363">
      <c r="A363" s="2" t="inlineStr">
        <is>
          <t xml:space="preserve">  - ✅ Nhóm 8 (gồm TC: 2-1-5): Đã có Log Evidence.</t>
        </is>
      </c>
    </row>
    <row r="364">
      <c r="A364" t="inlineStr">
        <is>
          <t xml:space="preserve">  =&gt; TOÀN BỘ CÁC NHÓM TEST TRONG KẾ HOẠCH ĐỀU ĐÃ CÓ EVIDENCE!</t>
        </is>
      </c>
    </row>
    <row r="365">
      <c r="A365" t="inlineStr"/>
    </row>
    <row r="366">
      <c r="A3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6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" t="inlineStr">
        <is>
          <t>✅ Đã check xong file '単体テスト仕様書兼成績書_E304_RFSH0116.xlsx'. Nhấn Enter để tiếp tục sang file tiếp theo...</t>
        </is>
      </c>
    </row>
    <row r="2">
      <c r="A2" s="1">
        <f>======================== [2/16] ĐANG XỬ LÝ FILE: 単体テスト仕様書兼成績書_E304_RFSH0175.xlsx =========================</f>
        <v/>
      </c>
    </row>
    <row r="3">
      <c r="A3" t="inlineStr">
        <is>
          <t>Đang đọc dữ liệu từ file: 単体テスト仕様書兼成績書_E304_RFSH0175.xlsx ...</t>
        </is>
      </c>
    </row>
    <row r="4">
      <c r="A4" t="inlineStr"/>
    </row>
    <row r="5">
      <c r="A5" s="1">
        <f>=============== TRẠNG THÁI OCR ================</f>
        <v/>
      </c>
    </row>
    <row r="6">
      <c r="A6" s="2" t="inlineStr">
        <is>
          <t>✅ Đã bật (Sẵn sàng đọc ảnh)</t>
        </is>
      </c>
    </row>
    <row r="7">
      <c r="A7" t="inlineStr"/>
    </row>
    <row r="8">
      <c r="A8" s="1">
        <f>=============== KIỂM TRA TRẠNG THÁI MỞ FILE ================</f>
        <v/>
      </c>
    </row>
    <row r="9">
      <c r="A9" s="2" t="inlineStr">
        <is>
          <t>✅ File đang mở ở sheet đầu tiên '表紙 '.</t>
        </is>
      </c>
    </row>
    <row r="10">
      <c r="A10" s="2" t="inlineStr">
        <is>
          <t>✅ Con trỏ chuột đang nằm ở ô 'A1'.</t>
        </is>
      </c>
    </row>
    <row r="11">
      <c r="A11" t="inlineStr"/>
    </row>
    <row r="12">
      <c r="A12" s="1">
        <f>=============== SHEET: エビデンス(共通) ================</f>
        <v/>
      </c>
    </row>
    <row r="13">
      <c r="A13" t="inlineStr">
        <is>
          <t xml:space="preserve">  -&gt; Tìm thấy 42 ảnh trong sheet này.</t>
        </is>
      </c>
    </row>
    <row r="14">
      <c r="A14" s="1">
        <f>=============== SHEET: エビデンス(個別) ================</f>
        <v/>
      </c>
    </row>
    <row r="15">
      <c r="A15" t="inlineStr">
        <is>
          <t xml:space="preserve">  -&gt; Tìm thấy 40 ảnh trong sheet này.</t>
        </is>
      </c>
    </row>
    <row r="16">
      <c r="A16" t="inlineStr"/>
    </row>
    <row r="17">
      <c r="A17" s="1" t="inlineStr">
        <is>
          <t>[GEMINI MANUAL MODE] ♻️ Đã tìm thấy file JSON kết quả cũ tại:</t>
        </is>
      </c>
    </row>
    <row r="18">
      <c r="A18" t="inlineStr">
        <is>
          <t>D:\project\tool\New folder\Gemini_Upload_単体テスト仕様書兼成績書_E304_RFSH0175\gemini_result.json</t>
        </is>
      </c>
    </row>
    <row r="19">
      <c r="A19">
        <f>&gt; Sử dụng luôn kết quả này, bỏ qua bước xuất ảnh PDF và hỏi lại Gemini.</f>
        <v/>
      </c>
    </row>
    <row r="20">
      <c r="A20" t="inlineStr"/>
    </row>
    <row r="21">
      <c r="A21" s="1">
        <f>=============== ĐANG PHÂN TÍCH KẾT QUẢ SHEET: エビデンス(共通) ================</f>
        <v/>
      </c>
    </row>
    <row r="22">
      <c r="A22" t="inlineStr"/>
    </row>
    <row r="23">
      <c r="A23" s="1" t="inlineStr">
        <is>
          <t>[Kiểm tra Cấu hình Flow - Trước khi Test]:</t>
        </is>
      </c>
    </row>
    <row r="24">
      <c r="A24" s="2" t="inlineStr">
        <is>
          <t xml:space="preserve">  - [Ảnh Flow]: ✅ Tìm thấy P_JobnetID: 'P1J0175@10175'</t>
        </is>
      </c>
    </row>
    <row r="25">
      <c r="A25" s="2" t="inlineStr">
        <is>
          <t xml:space="preserve">      ✅ OK: P_JobnetID 'P1J0175@10175' có chứa mã '0175' của file.</t>
        </is>
      </c>
    </row>
    <row r="26">
      <c r="A26" s="2" t="inlineStr">
        <is>
          <t xml:space="preserve">  - [Ảnh Flow]: ✅ Tìm thấy P_InterfaceID: 'RFSH0175'</t>
        </is>
      </c>
    </row>
    <row r="27">
      <c r="A27" s="2" t="inlineStr">
        <is>
          <t xml:space="preserve">      ✅ OK: P_InterfaceID 'RFSH0175' có chứa mã '0175' của file.</t>
        </is>
      </c>
    </row>
    <row r="28">
      <c r="A28" t="inlineStr"/>
    </row>
    <row r="29">
      <c r="A29" s="1" t="inlineStr">
        <is>
          <t>[Nhóm Test]: ■1回目 正常系・1000件未満・ファイル送信前結合有無=false</t>
        </is>
      </c>
    </row>
    <row r="30">
      <c r="A30" t="inlineStr">
        <is>
          <t xml:space="preserve">  - Tổng số dòng log: 51</t>
        </is>
      </c>
    </row>
    <row r="31">
      <c r="A31" s="2" t="inlineStr">
        <is>
          <t xml:space="preserve">  - Trạng thái Sort (行): ✅ Đã sắp xếp tăng dần hợp lệ.</t>
        </is>
      </c>
    </row>
    <row r="32">
      <c r="A32" t="inlineStr">
        <is>
          <t xml:space="preserve">  - Ngày chạy log: 2026/05/18</t>
        </is>
      </c>
    </row>
    <row r="33">
      <c r="A33" t="inlineStr">
        <is>
          <t xml:space="preserve">  - [Ảnh Status Panel]: Tìm thấy Jobnet ID: 'P1J0175@10175'</t>
        </is>
      </c>
    </row>
    <row r="34">
      <c r="A34" t="inlineStr">
        <is>
          <t xml:space="preserve">  - [Ảnh Status Panel]: Tìm thấy Interface ID: 'RFSH0175'</t>
        </is>
      </c>
    </row>
    <row r="35">
      <c r="A35" s="2" t="inlineStr">
        <is>
          <t xml:space="preserve">      ✅ OK: Interface ID 'RFSH0175' có tồn tại trong tên file Excel.</t>
        </is>
      </c>
    </row>
    <row r="36">
      <c r="A36" t="inlineStr">
        <is>
          <t xml:space="preserve">  - [Ảnh Status Panel]: Tìm thấy giờ bắt đầu là 13:27:29</t>
        </is>
      </c>
    </row>
    <row r="37">
      <c r="A37" s="2" t="inlineStr">
        <is>
          <t xml:space="preserve">      ✅ OK: Thời gian log (13:27:29) &gt;= Thời gian ảnh (13:27:29)</t>
        </is>
      </c>
    </row>
    <row r="38">
      <c r="A38" s="2" t="inlineStr">
        <is>
          <t xml:space="preserve">      ✅ OK: Duration Log Main (327ms) &lt; Duration Ảnh (572ms)</t>
        </is>
      </c>
    </row>
    <row r="39">
      <c r="A39" t="inlineStr">
        <is>
          <t xml:space="preserve">  - [Ảnh Log Viewer]: Tìm thấy thời gian kết thúc trong ảnh log là '13:27:29'</t>
        </is>
      </c>
    </row>
    <row r="40">
      <c r="A40" s="2" t="inlineStr">
        <is>
          <t xml:space="preserve">      ✅ OK: Giờ kết thúc trong ảnh Log (13:27:29) KHỚP với log text (13:27:29).</t>
        </is>
      </c>
    </row>
    <row r="41">
      <c r="A41" s="2" t="inlineStr">
        <is>
          <t xml:space="preserve">      ✅ OK: Giờ ảnh Log (13:27:29) &gt;= Giờ bắt đầu (13:27:29).</t>
        </is>
      </c>
    </row>
    <row r="42">
      <c r="A42" s="2" t="inlineStr">
        <is>
          <t xml:space="preserve">      ✅ OK: Jobnet ID 'P1J0175@10175' khớp với dữ liệu trong Log.</t>
        </is>
      </c>
    </row>
    <row r="43">
      <c r="A43" t="inlineStr">
        <is>
          <t xml:space="preserve">  - [Kiểm tra File]: Log text báo có tạo ra file 'RFSH0175_output.tsv'.</t>
        </is>
      </c>
    </row>
    <row r="44">
      <c r="A44" s="2" t="inlineStr">
        <is>
          <t xml:space="preserve">      ✅ OK: Tên file trong ảnh File Explorer (RFSH0175_output.tsv) KHỚP với tên file trong Log text.</t>
        </is>
      </c>
    </row>
    <row r="45">
      <c r="A45" t="inlineStr">
        <is>
          <t xml:space="preserve">  - [Ảnh File Explorer]: Tìm thấy file 'RFSH0175_output.tsv' có Date modified là '2026/05/18 13:27'</t>
        </is>
      </c>
    </row>
    <row r="46">
      <c r="A46" s="2" t="inlineStr">
        <is>
          <t xml:space="preserve">      ✅ OK: Thời gian xuất file 'RFSH0175_output.tsv' (2026/05/18 13:27) KHỚP với log (2026/05/18 13:27).</t>
        </is>
      </c>
    </row>
    <row r="47">
      <c r="A47" t="inlineStr">
        <is>
          <t xml:space="preserve">  - [Đối chiếu Testcase trong Log]:</t>
        </is>
      </c>
    </row>
    <row r="48">
      <c r="A48" t="inlineStr">
        <is>
          <t xml:space="preserve">  - [Đối chiếu テスト計画書兼結果報告書(共通)]: Tìm thấy 13 dòng (6, 8, 12, 14, 18, 20, 25, 28, 33, 37, 39, 42, 45)</t>
        </is>
      </c>
    </row>
    <row r="49">
      <c r="A49" s="2" t="inlineStr">
        <is>
          <t xml:space="preserve">      + Số lần test (Cột K): ✅ Tất cả 13 dòng đều khớp (Lần 1)</t>
        </is>
      </c>
    </row>
    <row r="50">
      <c r="A50" s="2" t="inlineStr">
        <is>
          <t xml:space="preserve">      + Ngày test (Cột I/G): ✅ Khớp ngày (2026/05/18) cho tất cả các dòng có dữ liệu</t>
        </is>
      </c>
    </row>
    <row r="51">
      <c r="A51" t="inlineStr"/>
    </row>
    <row r="52">
      <c r="A52" s="1" t="inlineStr">
        <is>
          <t>[Nhóm Test]: ■2回目 異常系・起動パラメータ不正</t>
        </is>
      </c>
    </row>
    <row r="53">
      <c r="A53" t="inlineStr">
        <is>
          <t xml:space="preserve">  - Tổng số dòng log: 23</t>
        </is>
      </c>
    </row>
    <row r="54">
      <c r="A54" s="2" t="inlineStr">
        <is>
          <t xml:space="preserve">  - Trạng thái Sort (行): ✅ Đã sắp xếp tăng dần hợp lệ.</t>
        </is>
      </c>
    </row>
    <row r="55">
      <c r="A55" t="inlineStr">
        <is>
          <t xml:space="preserve">  - Ngày chạy log: 2026/05/18</t>
        </is>
      </c>
    </row>
    <row r="56">
      <c r="A56" t="inlineStr">
        <is>
          <t xml:space="preserve">  - [Ảnh Status Panel]: Tìm thấy Jobnet ID: ''</t>
        </is>
      </c>
    </row>
    <row r="57">
      <c r="A57" t="inlineStr">
        <is>
          <t xml:space="preserve">  - [Ảnh Status Panel]: Tìm thấy Interface ID: ''</t>
        </is>
      </c>
    </row>
    <row r="58">
      <c r="A58" s="3" t="inlineStr">
        <is>
          <t xml:space="preserve">      ⚠️ Interface ID là chuỗi rỗng nên bỏ qua kiểm tra với tên file.</t>
        </is>
      </c>
    </row>
    <row r="59">
      <c r="A59" t="inlineStr">
        <is>
          <t xml:space="preserve">  - [Ảnh Status Panel]: Tìm thấy giờ bắt đầu là 13:35:49</t>
        </is>
      </c>
    </row>
    <row r="60">
      <c r="A60" s="2" t="inlineStr">
        <is>
          <t xml:space="preserve">      ✅ OK: Thời gian log (13:35:49) &gt;= Thời gian ảnh (13:35:49)</t>
        </is>
      </c>
    </row>
    <row r="61">
      <c r="A61" s="2" t="inlineStr">
        <is>
          <t xml:space="preserve">      ✅ OK: Duration Log Main (34ms) &lt; Duration Ảnh (222ms)</t>
        </is>
      </c>
    </row>
    <row r="62">
      <c r="A62" t="inlineStr">
        <is>
          <t xml:space="preserve">  - [Ảnh Log Viewer]: Tìm thấy thời gian kết thúc trong ảnh log là '13:35:49'</t>
        </is>
      </c>
    </row>
    <row r="63">
      <c r="A63" s="2" t="inlineStr">
        <is>
          <t xml:space="preserve">      ✅ OK: Giờ kết thúc trong ảnh Log (13:35:49) KHỚP với log text (13:35:49).</t>
        </is>
      </c>
    </row>
    <row r="64">
      <c r="A64" s="2" t="inlineStr">
        <is>
          <t xml:space="preserve">      ✅ OK: Giờ ảnh Log (13:35:49) &gt;= Giờ bắt đầu (13:35:49).</t>
        </is>
      </c>
    </row>
    <row r="65">
      <c r="A65" s="2" t="inlineStr">
        <is>
          <t xml:space="preserve">      ✅ OK: Jobnet ID '' khớp với dữ liệu trong Log.</t>
        </is>
      </c>
    </row>
    <row r="66">
      <c r="A66" t="inlineStr">
        <is>
          <t xml:space="preserve">  - [Đối chiếu Testcase trong Log]:</t>
        </is>
      </c>
    </row>
    <row r="67">
      <c r="A67" t="inlineStr">
        <is>
          <t xml:space="preserve">  - [Đối chiếu テスト計画書兼結果報告書(共通)]: Tìm thấy 2 dòng (9, 15)</t>
        </is>
      </c>
    </row>
    <row r="68">
      <c r="A68" s="2" t="inlineStr">
        <is>
          <t xml:space="preserve">      + Số lần test (Cột K): ✅ Tất cả 2 dòng đều khớp (Lần 2)</t>
        </is>
      </c>
    </row>
    <row r="69">
      <c r="A69" s="2" t="inlineStr">
        <is>
          <t xml:space="preserve">      + Ngày test (Cột I/G): ✅ Khớp ngày (2026/05/18) cho tất cả các dòng có dữ liệu</t>
        </is>
      </c>
    </row>
    <row r="70">
      <c r="A70" t="inlineStr"/>
    </row>
    <row r="71">
      <c r="A71" s="1" t="inlineStr">
        <is>
          <t>[Nhóm Test]: ■3回目 正常系・ファイル送信前結合有無=true</t>
        </is>
      </c>
    </row>
    <row r="72">
      <c r="A72" t="inlineStr">
        <is>
          <t xml:space="preserve">  - Tổng số dòng log: 65</t>
        </is>
      </c>
    </row>
    <row r="73">
      <c r="A73" s="2" t="inlineStr">
        <is>
          <t xml:space="preserve">  - Trạng thái Sort (行): ✅ Đã sắp xếp tăng dần hợp lệ.</t>
        </is>
      </c>
    </row>
    <row r="74">
      <c r="A74" t="inlineStr">
        <is>
          <t xml:space="preserve">  - Ngày chạy log: 2026/05/18</t>
        </is>
      </c>
    </row>
    <row r="75">
      <c r="A75" t="inlineStr">
        <is>
          <t xml:space="preserve">  - [Ảnh Status Panel]: Tìm thấy Jobnet ID: 'P1J0175@10175'</t>
        </is>
      </c>
    </row>
    <row r="76">
      <c r="A76" t="inlineStr">
        <is>
          <t xml:space="preserve">  - [Ảnh Status Panel]: Tìm thấy Interface ID: 'RFSH0175'</t>
        </is>
      </c>
    </row>
    <row r="77">
      <c r="A77" s="2" t="inlineStr">
        <is>
          <t xml:space="preserve">      ✅ OK: Interface ID 'RFSH0175' có tồn tại trong tên file Excel.</t>
        </is>
      </c>
    </row>
    <row r="78">
      <c r="A78" t="inlineStr">
        <is>
          <t xml:space="preserve">  - [Ảnh Status Panel]: Tìm thấy giờ bắt đầu là 13:46:04</t>
        </is>
      </c>
    </row>
    <row r="79">
      <c r="A79" s="2" t="inlineStr">
        <is>
          <t xml:space="preserve">      ✅ OK: Thời gian log (13:46:04) &gt;= Thời gian ảnh (13:46:04)</t>
        </is>
      </c>
    </row>
    <row r="80">
      <c r="A80" s="2" t="inlineStr">
        <is>
          <t xml:space="preserve">      ✅ OK: Duration Log Main (229ms) &lt; Duration Ảnh (430ms)</t>
        </is>
      </c>
    </row>
    <row r="81">
      <c r="A81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82">
      <c r="A82" s="2" t="inlineStr">
        <is>
          <t xml:space="preserve">      ✅ OK: Jobnet ID 'P1J0175@10175' khớp với dữ liệu trong Log.</t>
        </is>
      </c>
    </row>
    <row r="83">
      <c r="A83" t="inlineStr">
        <is>
          <t xml:space="preserve">  - [Kiểm tra File]: Log text báo có tạo ra file 'RFSH0175_output.tsv'.</t>
        </is>
      </c>
    </row>
    <row r="84">
      <c r="A84" s="2" t="inlineStr">
        <is>
          <t xml:space="preserve">      ✅ OK: Tên file trong ảnh File Explorer (RFSH0175_output.tsv) KHỚP với tên file trong Log text.</t>
        </is>
      </c>
    </row>
    <row r="85">
      <c r="A85" t="inlineStr">
        <is>
          <t xml:space="preserve">  - [Ảnh File Explorer]: Tìm thấy file 'RFSH0175_output.tsv' có Date modified là '2026/05/18 13:46'</t>
        </is>
      </c>
    </row>
    <row r="86">
      <c r="A86" s="2" t="inlineStr">
        <is>
          <t xml:space="preserve">      ✅ OK: Thời gian xuất file 'RFSH0175_output.tsv' (2026/05/18 13:46) KHỚP với log (2026/05/18 13:46).</t>
        </is>
      </c>
    </row>
    <row r="87">
      <c r="A87" t="inlineStr">
        <is>
          <t xml:space="preserve">  - [Đối chiếu Testcase trong Log]:</t>
        </is>
      </c>
    </row>
    <row r="88">
      <c r="A88" t="inlineStr">
        <is>
          <t xml:space="preserve">  - [Đối chiếu テスト計画書兼結果報告書(共通)]: Tìm thấy 1 dòng (21)</t>
        </is>
      </c>
    </row>
    <row r="89">
      <c r="A89" s="2" t="inlineStr">
        <is>
          <t xml:space="preserve">      + Số lần test (Cột K): ✅ Tất cả 1 dòng đều khớp (Lần 3)</t>
        </is>
      </c>
    </row>
    <row r="90">
      <c r="A90" s="2" t="inlineStr">
        <is>
          <t xml:space="preserve">      + Ngày test (Cột I/G): ✅ Khớp ngày (2026/05/18) cho tất cả các dòng có dữ liệu</t>
        </is>
      </c>
    </row>
    <row r="91">
      <c r="A91" t="inlineStr"/>
    </row>
    <row r="92">
      <c r="A92" s="1" t="inlineStr">
        <is>
          <t>[Nhóm Test]: ■4回目 異常系・すでにファイルが存在する場合</t>
        </is>
      </c>
    </row>
    <row r="93">
      <c r="A93" t="inlineStr">
        <is>
          <t xml:space="preserve">  - Tổng số dòng log: 55</t>
        </is>
      </c>
    </row>
    <row r="94">
      <c r="A94" s="2" t="inlineStr">
        <is>
          <t xml:space="preserve">  - Trạng thái Sort (行): ✅ Đã sắp xếp tăng dần hợp lệ.</t>
        </is>
      </c>
    </row>
    <row r="95">
      <c r="A95" t="inlineStr">
        <is>
          <t xml:space="preserve">  - Ngày chạy log: 2026/05/18</t>
        </is>
      </c>
    </row>
    <row r="96">
      <c r="A96" t="inlineStr">
        <is>
          <t xml:space="preserve">  - [Ảnh Status Panel]: Tìm thấy Jobnet ID: ''</t>
        </is>
      </c>
    </row>
    <row r="97">
      <c r="A97" t="inlineStr">
        <is>
          <t xml:space="preserve">  - [Ảnh Status Panel]: Tìm thấy Interface ID: ''</t>
        </is>
      </c>
    </row>
    <row r="98">
      <c r="A98" s="3" t="inlineStr">
        <is>
          <t xml:space="preserve">      ⚠️ Interface ID là chuỗi rỗng nên bỏ qua kiểm tra với tên file.</t>
        </is>
      </c>
    </row>
    <row r="99">
      <c r="A99" t="inlineStr">
        <is>
          <t xml:space="preserve">  - [Ảnh Status Panel]: Tìm thấy giờ bắt đầu là 15:10:45</t>
        </is>
      </c>
    </row>
    <row r="100">
      <c r="A100" s="2" t="inlineStr">
        <is>
          <t xml:space="preserve">      ✅ OK: Thời gian log (15:10:45) &gt;= Thời gian ảnh (15:10:45)</t>
        </is>
      </c>
    </row>
    <row r="101">
      <c r="A101" s="2" t="inlineStr">
        <is>
          <t xml:space="preserve">      ✅ OK: Duration Log Main (155ms) &lt; Duration Ảnh (352ms)</t>
        </is>
      </c>
    </row>
    <row r="102">
      <c r="A102" t="inlineStr">
        <is>
          <t xml:space="preserve">  - [Ảnh Log Viewer]: Tìm thấy thời gian kết thúc trong ảnh log là '15:10:46'</t>
        </is>
      </c>
    </row>
    <row r="103">
      <c r="A103" s="2" t="inlineStr">
        <is>
          <t xml:space="preserve">      ✅ OK: Giờ kết thúc trong ảnh Log (15:10:46) KHỚP với log text (15:10:46).</t>
        </is>
      </c>
    </row>
    <row r="104">
      <c r="A104" s="2" t="inlineStr">
        <is>
          <t xml:space="preserve">      ✅ OK: Giờ ảnh Log (15:10:46) &gt;= Giờ bắt đầu (15:10:45).</t>
        </is>
      </c>
    </row>
    <row r="105">
      <c r="A105" s="4" t="inlineStr">
        <is>
          <t xml:space="preserve">      ❌ LỖI: Jobnet ID trong ảnh là '', nhưng trong Log là 'P1J0175'.</t>
        </is>
      </c>
    </row>
    <row r="106">
      <c r="A106" t="inlineStr">
        <is>
          <t xml:space="preserve">  - [Đối chiếu Testcase trong Log]:</t>
        </is>
      </c>
    </row>
    <row r="107">
      <c r="A107" t="inlineStr">
        <is>
          <t xml:space="preserve">  - [Đối chiếu テスト計画書兼結果報告書(共通)]: Tìm thấy 1 dòng (22)</t>
        </is>
      </c>
    </row>
    <row r="108">
      <c r="A108" s="2" t="inlineStr">
        <is>
          <t xml:space="preserve">      + Số lần test (Cột K): ✅ Tất cả 1 dòng đều khớp (Lần 4)</t>
        </is>
      </c>
    </row>
    <row r="109">
      <c r="A109" s="2" t="inlineStr">
        <is>
          <t xml:space="preserve">      + Ngày test (Cột I/G): ✅ Khớp ngày (2026/05/18) cho tất cả các dòng có dữ liệu</t>
        </is>
      </c>
    </row>
    <row r="110">
      <c r="A110" t="inlineStr"/>
    </row>
    <row r="111">
      <c r="A111" s="1" t="inlineStr">
        <is>
          <t>[Nhóm Test]: ■5回目 正常系・0byteファイル</t>
        </is>
      </c>
    </row>
    <row r="112">
      <c r="A112" t="inlineStr">
        <is>
          <t xml:space="preserve">  - Tổng số dòng log: 61</t>
        </is>
      </c>
    </row>
    <row r="113">
      <c r="A113" s="2" t="inlineStr">
        <is>
          <t xml:space="preserve">  - Trạng thái Sort (行): ✅ Đã sắp xếp tăng dần hợp lệ.</t>
        </is>
      </c>
    </row>
    <row r="114">
      <c r="A114" t="inlineStr">
        <is>
          <t xml:space="preserve">  - Ngày chạy log: 2026/05/18</t>
        </is>
      </c>
    </row>
    <row r="115">
      <c r="A115" t="inlineStr">
        <is>
          <t xml:space="preserve">  - [Ảnh Status Panel]: Tìm thấy Jobnet ID: 'P1J0175@10175'</t>
        </is>
      </c>
    </row>
    <row r="116">
      <c r="A116" t="inlineStr">
        <is>
          <t xml:space="preserve">  - [Ảnh Status Panel]: Tìm thấy Interface ID: 'RFSH0175'</t>
        </is>
      </c>
    </row>
    <row r="117">
      <c r="A117" s="2" t="inlineStr">
        <is>
          <t xml:space="preserve">      ✅ OK: Interface ID 'RFSH0175' có tồn tại trong tên file Excel.</t>
        </is>
      </c>
    </row>
    <row r="118">
      <c r="A118" t="inlineStr">
        <is>
          <t xml:space="preserve">  - [Ảnh Status Panel]: Tìm thấy giờ bắt đầu là 15:17:13</t>
        </is>
      </c>
    </row>
    <row r="119">
      <c r="A119" s="2" t="inlineStr">
        <is>
          <t xml:space="preserve">      ✅ OK: Thời gian log (15:17:13) &gt;= Thời gian ảnh (15:17:13)</t>
        </is>
      </c>
    </row>
    <row r="120">
      <c r="A120" s="2" t="inlineStr">
        <is>
          <t xml:space="preserve">      ✅ OK: Duration Log Main (180ms) &lt; Duration Ảnh (380ms)</t>
        </is>
      </c>
    </row>
    <row r="121">
      <c r="A121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22">
      <c r="A122" s="2" t="inlineStr">
        <is>
          <t xml:space="preserve">      ✅ OK: Jobnet ID 'P1J0175@10175' khớp với dữ liệu trong Log.</t>
        </is>
      </c>
    </row>
    <row r="123">
      <c r="A123" t="inlineStr">
        <is>
          <t xml:space="preserve">  - [Kiểm tra File]: Log text báo có tạo ra file 'RFSH0175_output.tsv'.</t>
        </is>
      </c>
    </row>
    <row r="124">
      <c r="A124" s="2" t="inlineStr">
        <is>
          <t xml:space="preserve">      ✅ OK: Tên file trong ảnh File Explorer (RFSH0175_output.tsv) KHỚP với tên file trong Log text.</t>
        </is>
      </c>
    </row>
    <row r="125">
      <c r="A125" t="inlineStr">
        <is>
          <t xml:space="preserve">  - [Ảnh File Explorer]: Tìm thấy file 'RFSH0175_output.tsv' có Date modified là '2026/05/18 15:17'</t>
        </is>
      </c>
    </row>
    <row r="126">
      <c r="A126" s="2" t="inlineStr">
        <is>
          <t xml:space="preserve">      ✅ OK: Thời gian xuất file 'RFSH0175_output.tsv' (2026/05/18 15:17) KHỚP với log (2026/05/18 15:17).</t>
        </is>
      </c>
    </row>
    <row r="127">
      <c r="A127" t="inlineStr">
        <is>
          <t xml:space="preserve">  - [Đối chiếu Testcase trong Log]:</t>
        </is>
      </c>
    </row>
    <row r="128">
      <c r="A128" t="inlineStr">
        <is>
          <t xml:space="preserve">  - [Đối chiếu テスト計画書兼結果報告書(共通)]: Tìm thấy 2 dòng (26, 46)</t>
        </is>
      </c>
    </row>
    <row r="129">
      <c r="A129" s="2" t="inlineStr">
        <is>
          <t xml:space="preserve">      + Số lần test (Cột K): ✅ Tất cả 2 dòng đều khớp (Lần 5)</t>
        </is>
      </c>
    </row>
    <row r="130">
      <c r="A130" s="2" t="inlineStr">
        <is>
          <t xml:space="preserve">      + Ngày test (Cột I/G): ✅ Khớp ngày (2026/05/18) cho tất cả các dòng có dữ liệu</t>
        </is>
      </c>
    </row>
    <row r="131">
      <c r="A131" t="inlineStr"/>
    </row>
    <row r="132">
      <c r="A132" s="1" t="inlineStr">
        <is>
          <t>[Nhóm Test]: ■6回目 正常系・データ行1000行</t>
        </is>
      </c>
    </row>
    <row r="133">
      <c r="A133" t="inlineStr">
        <is>
          <t xml:space="preserve">  - Tổng số dòng log: 65</t>
        </is>
      </c>
    </row>
    <row r="134">
      <c r="A134" s="2" t="inlineStr">
        <is>
          <t xml:space="preserve">  - Trạng thái Sort (行): ✅ Đã sắp xếp tăng dần hợp lệ.</t>
        </is>
      </c>
    </row>
    <row r="135">
      <c r="A135" t="inlineStr">
        <is>
          <t xml:space="preserve">  - Ngày chạy log: 2026/05/18</t>
        </is>
      </c>
    </row>
    <row r="136">
      <c r="A136" t="inlineStr">
        <is>
          <t xml:space="preserve">  - [Ảnh Status Panel]: Tìm thấy Jobnet ID: 'P1J0175@10175'</t>
        </is>
      </c>
    </row>
    <row r="137">
      <c r="A137" t="inlineStr">
        <is>
          <t xml:space="preserve">  - [Ảnh Status Panel]: Tìm thấy Interface ID: 'RFSH0175'</t>
        </is>
      </c>
    </row>
    <row r="138">
      <c r="A138" s="2" t="inlineStr">
        <is>
          <t xml:space="preserve">      ✅ OK: Interface ID 'RFSH0175' có tồn tại trong tên file Excel.</t>
        </is>
      </c>
    </row>
    <row r="139">
      <c r="A139" t="inlineStr">
        <is>
          <t xml:space="preserve">  - [Ảnh Status Panel]: Tìm thấy giờ bắt đầu là 15:20:20</t>
        </is>
      </c>
    </row>
    <row r="140">
      <c r="A140" s="2" t="inlineStr">
        <is>
          <t xml:space="preserve">      ✅ OK: Thời gian log (15:20:20) &gt;= Thời gian ảnh (15:20:20)</t>
        </is>
      </c>
    </row>
    <row r="141">
      <c r="A141" s="2" t="inlineStr">
        <is>
          <t xml:space="preserve">      ✅ OK: Duration Log Main (266ms) &lt; Duration Ảnh (460ms)</t>
        </is>
      </c>
    </row>
    <row r="142">
      <c r="A142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43">
      <c r="A143" s="2" t="inlineStr">
        <is>
          <t xml:space="preserve">      ✅ OK: Jobnet ID 'P1J0175@10175' khớp với dữ liệu trong Log.</t>
        </is>
      </c>
    </row>
    <row r="144">
      <c r="A144" t="inlineStr">
        <is>
          <t xml:space="preserve">  - [Kiểm tra File]: Log text báo có tạo ra file 'RFSH0175_output.tsv'.</t>
        </is>
      </c>
    </row>
    <row r="145">
      <c r="A145" s="2" t="inlineStr">
        <is>
          <t xml:space="preserve">      ✅ OK: Tên file trong ảnh File Explorer (RFSH0175_output.tsv) KHỚP với tên file trong Log text.</t>
        </is>
      </c>
    </row>
    <row r="146">
      <c r="A146" t="inlineStr">
        <is>
          <t xml:space="preserve">  - [Ảnh File Explorer]: Tìm thấy file 'RFSH0175_output.tsv' có Date modified là '2026/05/18 15:20'</t>
        </is>
      </c>
    </row>
    <row r="147">
      <c r="A147" s="2" t="inlineStr">
        <is>
          <t xml:space="preserve">      ✅ OK: Thời gian xuất file 'RFSH0175_output.tsv' (2026/05/18 15:20) KHỚP với log (2026/05/18 15:20).</t>
        </is>
      </c>
    </row>
    <row r="148">
      <c r="A148" t="inlineStr">
        <is>
          <t xml:space="preserve">  - [Đối chiếu Testcase trong Log]:</t>
        </is>
      </c>
    </row>
    <row r="149">
      <c r="A149" t="inlineStr">
        <is>
          <t xml:space="preserve">  - [Đối chiếu テスト計画書兼結果報告書(共通)]: Tìm thấy 1 dòng (29)</t>
        </is>
      </c>
    </row>
    <row r="150">
      <c r="A150" s="2" t="inlineStr">
        <is>
          <t xml:space="preserve">      + Số lần test (Cột K): ✅ Tất cả 1 dòng đều khớp (Lần 6)</t>
        </is>
      </c>
    </row>
    <row r="151">
      <c r="A151" s="2" t="inlineStr">
        <is>
          <t xml:space="preserve">      + Ngày test (Cột I/G): ✅ Khớp ngày (2026/05/18) cho tất cả các dòng có dữ liệu</t>
        </is>
      </c>
    </row>
    <row r="152">
      <c r="A152" t="inlineStr"/>
    </row>
    <row r="153">
      <c r="A153" s="1" t="inlineStr">
        <is>
          <t>[Nhóm Test]: ■7回目 正常系・データ行1000行以上</t>
        </is>
      </c>
    </row>
    <row r="154">
      <c r="A154" t="inlineStr">
        <is>
          <t xml:space="preserve">  - Tổng số dòng log: 77</t>
        </is>
      </c>
    </row>
    <row r="155">
      <c r="A155" s="2" t="inlineStr">
        <is>
          <t xml:space="preserve">  - Trạng thái Sort (行): ✅ Đã sắp xếp tăng dần hợp lệ.</t>
        </is>
      </c>
    </row>
    <row r="156">
      <c r="A156" t="inlineStr">
        <is>
          <t xml:space="preserve">  - Ngày chạy log: 2026/05/18</t>
        </is>
      </c>
    </row>
    <row r="157">
      <c r="A157" t="inlineStr">
        <is>
          <t xml:space="preserve">  - [Ảnh Status Panel]: Tìm thấy Jobnet ID: 'P1J0175@10175'</t>
        </is>
      </c>
    </row>
    <row r="158">
      <c r="A158" t="inlineStr">
        <is>
          <t xml:space="preserve">  - [Ảnh Status Panel]: Tìm thấy Interface ID: 'RFSH0175'</t>
        </is>
      </c>
    </row>
    <row r="159">
      <c r="A159" s="2" t="inlineStr">
        <is>
          <t xml:space="preserve">      ✅ OK: Interface ID 'RFSH0175' có tồn tại trong tên file Excel.</t>
        </is>
      </c>
    </row>
    <row r="160">
      <c r="A160" t="inlineStr">
        <is>
          <t xml:space="preserve">  - [Ảnh Status Panel]: Tìm thấy giờ bắt đầu là 15:23:05</t>
        </is>
      </c>
    </row>
    <row r="161">
      <c r="A161" s="2" t="inlineStr">
        <is>
          <t xml:space="preserve">      ✅ OK: Thời gian log (15:23:05) &gt;= Thời gian ảnh (15:23:05)</t>
        </is>
      </c>
    </row>
    <row r="162">
      <c r="A162" s="2" t="inlineStr">
        <is>
          <t xml:space="preserve">      ✅ OK: Duration Log Main (286ms) &lt; Duration Ảnh (478ms)</t>
        </is>
      </c>
    </row>
    <row r="163">
      <c r="A163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64">
      <c r="A164" s="2" t="inlineStr">
        <is>
          <t xml:space="preserve">      ✅ OK: Jobnet ID 'P1J0175@10175' khớp với dữ liệu trong Log.</t>
        </is>
      </c>
    </row>
    <row r="165">
      <c r="A165" t="inlineStr">
        <is>
          <t xml:space="preserve">  - [Kiểm tra File]: Log text báo có tạo ra file 'RFSH0175_output.tsv'.</t>
        </is>
      </c>
    </row>
    <row r="166">
      <c r="A166" s="2" t="inlineStr">
        <is>
          <t xml:space="preserve">      ✅ OK: Tên file trong ảnh File Explorer (RFSH0175_output.tsv) KHỚP với tên file trong Log text.</t>
        </is>
      </c>
    </row>
    <row r="167">
      <c r="A167" t="inlineStr">
        <is>
          <t xml:space="preserve">  - [Ảnh File Explorer]: Tìm thấy file 'RFSH0175_output.tsv' có Date modified là '2026/05/18 15:23'</t>
        </is>
      </c>
    </row>
    <row r="168">
      <c r="A168" s="2" t="inlineStr">
        <is>
          <t xml:space="preserve">      ✅ OK: Thời gian xuất file 'RFSH0175_output.tsv' (2026/05/18 15:23) KHỚP với log (2026/05/18 15:23).</t>
        </is>
      </c>
    </row>
    <row r="169">
      <c r="A169" t="inlineStr">
        <is>
          <t xml:space="preserve">  - [Đối chiếu Testcase trong Log]:</t>
        </is>
      </c>
    </row>
    <row r="170">
      <c r="A170" t="inlineStr">
        <is>
          <t xml:space="preserve">  - [Đối chiếu テスト計画書兼結果報告書(共通)]: Tìm thấy 2 dòng (30, 35)</t>
        </is>
      </c>
    </row>
    <row r="171">
      <c r="A171" s="2" t="inlineStr">
        <is>
          <t xml:space="preserve">      + Số lần test (Cột K): ✅ Tất cả 2 dòng đều khớp (Lần 7)</t>
        </is>
      </c>
    </row>
    <row r="172">
      <c r="A172" s="2" t="inlineStr">
        <is>
          <t xml:space="preserve">      + Ngày test (Cột I/G): ✅ Khớp ngày (2026/05/18) cho tất cả các dòng có dữ liệu</t>
        </is>
      </c>
    </row>
    <row r="173">
      <c r="A173" t="inlineStr"/>
    </row>
    <row r="174">
      <c r="A174" s="1">
        <f>=============== ĐANG PHÂN TÍCH KẾT QUẢ SHEET: エビデンス(個別) ================</f>
        <v/>
      </c>
    </row>
    <row r="175">
      <c r="A175" t="inlineStr"/>
    </row>
    <row r="176">
      <c r="A176" s="1" t="inlineStr">
        <is>
          <t>[Nhóm Test]: ■1回目 正常系・0byteファイル</t>
        </is>
      </c>
    </row>
    <row r="177">
      <c r="A177" t="inlineStr">
        <is>
          <t xml:space="preserve">  - Tổng số dòng log: 61</t>
        </is>
      </c>
    </row>
    <row r="178">
      <c r="A178" s="2" t="inlineStr">
        <is>
          <t xml:space="preserve">  - Trạng thái Sort (行): ✅ Đã sắp xếp tăng dần hợp lệ.</t>
        </is>
      </c>
    </row>
    <row r="179">
      <c r="A179" t="inlineStr">
        <is>
          <t xml:space="preserve">  - Ngày chạy log: 2026/05/18</t>
        </is>
      </c>
    </row>
    <row r="180">
      <c r="A180" t="inlineStr">
        <is>
          <t xml:space="preserve">  - [Ảnh Status Panel]: Tìm thấy Jobnet ID: 'P1J0175@10175'</t>
        </is>
      </c>
    </row>
    <row r="181">
      <c r="A181" t="inlineStr">
        <is>
          <t xml:space="preserve">  - [Ảnh Status Panel]: Tìm thấy Interface ID: 'RFSH0175'</t>
        </is>
      </c>
    </row>
    <row r="182">
      <c r="A182" s="2" t="inlineStr">
        <is>
          <t xml:space="preserve">      ✅ OK: Interface ID 'RFSH0175' có tồn tại trong tên file Excel.</t>
        </is>
      </c>
    </row>
    <row r="183">
      <c r="A183" t="inlineStr">
        <is>
          <t xml:space="preserve">  - [Ảnh Status Panel]: Tìm thấy giờ bắt đầu là 15:37:27</t>
        </is>
      </c>
    </row>
    <row r="184">
      <c r="A184" s="2" t="inlineStr">
        <is>
          <t xml:space="preserve">      ✅ OK: Thời gian log (15:37:27) &gt;= Thời gian ảnh (15:37:27)</t>
        </is>
      </c>
    </row>
    <row r="185">
      <c r="A185" s="2" t="inlineStr">
        <is>
          <t xml:space="preserve">      ✅ OK: Duration Log Main (187ms) &lt; Duration Ảnh (398ms)</t>
        </is>
      </c>
    </row>
    <row r="186">
      <c r="A186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87">
      <c r="A187" s="2" t="inlineStr">
        <is>
          <t xml:space="preserve">      ✅ OK: Jobnet ID 'P1J0175@10175' khớp với dữ liệu trong Log.</t>
        </is>
      </c>
    </row>
    <row r="188">
      <c r="A188" t="inlineStr">
        <is>
          <t xml:space="preserve">  - [Kiểm tra File]: Log text báo có tạo ra file 'RFSH0175_output.tsv'.</t>
        </is>
      </c>
    </row>
    <row r="189">
      <c r="A189" s="2" t="inlineStr">
        <is>
          <t xml:space="preserve">      ✅ OK: Tên file trong ảnh File Explorer (RFSH0175_output.tsv) KHỚP với tên file trong Log text.</t>
        </is>
      </c>
    </row>
    <row r="190">
      <c r="A190" t="inlineStr">
        <is>
          <t xml:space="preserve">  - [Ảnh File Explorer]: Tìm thấy file 'RFSH0175_output.tsv' có Date modified là '2026/05/18 15:37'</t>
        </is>
      </c>
    </row>
    <row r="191">
      <c r="A191" s="2" t="inlineStr">
        <is>
          <t xml:space="preserve">      ✅ OK: Thời gian xuất file 'RFSH0175_output.tsv' (2026/05/18 15:37) KHỚP với log (2026/05/18 15:37).</t>
        </is>
      </c>
    </row>
    <row r="192">
      <c r="A192" t="inlineStr">
        <is>
          <t xml:space="preserve">  - [Đối chiếu Testcase trong Log]:</t>
        </is>
      </c>
    </row>
    <row r="193">
      <c r="A193" t="inlineStr">
        <is>
          <t xml:space="preserve">  - [Đối chiếu テスト計画書兼結果報告書(個別)]: Tìm thấy 1 dòng (6)</t>
        </is>
      </c>
    </row>
    <row r="194">
      <c r="A194" s="2" t="inlineStr">
        <is>
          <t xml:space="preserve">      + Số lần test (Cột K): ✅ Tất cả 1 dòng đều khớp (Lần 1)</t>
        </is>
      </c>
    </row>
    <row r="195">
      <c r="A195" s="2" t="inlineStr">
        <is>
          <t xml:space="preserve">      + Ngày test (Cột I/G): ✅ Khớp ngày (2026/05/18) cho tất cả các dòng có dữ liệu</t>
        </is>
      </c>
    </row>
    <row r="196">
      <c r="A196" t="inlineStr"/>
    </row>
    <row r="197">
      <c r="A197" s="1" t="inlineStr">
        <is>
          <t>[Nhóm Test]: ■2回目 正常系・全項目空データファイル</t>
        </is>
      </c>
    </row>
    <row r="198">
      <c r="A198" t="inlineStr">
        <is>
          <t xml:space="preserve">  - Tổng số dòng log: 65</t>
        </is>
      </c>
    </row>
    <row r="199">
      <c r="A199" s="2" t="inlineStr">
        <is>
          <t xml:space="preserve">  - Trạng thái Sort (行): ✅ Đã sắp xếp tăng dần hợp lệ.</t>
        </is>
      </c>
    </row>
    <row r="200">
      <c r="A200" t="inlineStr">
        <is>
          <t xml:space="preserve">  - Ngày chạy log: 2026/05/18</t>
        </is>
      </c>
    </row>
    <row r="201">
      <c r="A201" t="inlineStr">
        <is>
          <t xml:space="preserve">  - [Ảnh Status Panel]: Tìm thấy Jobnet ID: 'P1J0175@10175'</t>
        </is>
      </c>
    </row>
    <row r="202">
      <c r="A202" t="inlineStr">
        <is>
          <t xml:space="preserve">  - [Ảnh Status Panel]: Tìm thấy Interface ID: 'RFSH0175'</t>
        </is>
      </c>
    </row>
    <row r="203">
      <c r="A203" s="2" t="inlineStr">
        <is>
          <t xml:space="preserve">      ✅ OK: Interface ID 'RFSH0175' có tồn tại trong tên file Excel.</t>
        </is>
      </c>
    </row>
    <row r="204">
      <c r="A204" t="inlineStr">
        <is>
          <t xml:space="preserve">  - [Ảnh Status Panel]: Tìm thấy giờ bắt đầu là 15:42:48</t>
        </is>
      </c>
    </row>
    <row r="205">
      <c r="A205" s="2" t="inlineStr">
        <is>
          <t xml:space="preserve">      ✅ OK: Thời gian log (15:42:48) &gt;= Thời gian ảnh (15:42:48)</t>
        </is>
      </c>
    </row>
    <row r="206">
      <c r="A206" s="2" t="inlineStr">
        <is>
          <t xml:space="preserve">      ✅ OK: Duration Log Main (194ms) &lt; Duration Ảnh (413ms)</t>
        </is>
      </c>
    </row>
    <row r="207">
      <c r="A207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08">
      <c r="A208" s="2" t="inlineStr">
        <is>
          <t xml:space="preserve">      ✅ OK: Jobnet ID 'P1J0175@10175' khớp với dữ liệu trong Log.</t>
        </is>
      </c>
    </row>
    <row r="209">
      <c r="A209" t="inlineStr">
        <is>
          <t xml:space="preserve">  - [Kiểm tra File]: Log text báo có tạo ra file 'RFSH0175_output.tsv'.</t>
        </is>
      </c>
    </row>
    <row r="210">
      <c r="A210" s="2" t="inlineStr">
        <is>
          <t xml:space="preserve">      ✅ OK: Tên file trong ảnh File Explorer (RFSH0175_output.tsv) KHỚP với tên file trong Log text.</t>
        </is>
      </c>
    </row>
    <row r="211">
      <c r="A211" t="inlineStr">
        <is>
          <t xml:space="preserve">  - [Ảnh File Explorer]: Tìm thấy file 'RFSH0175_output.tsv' có Date modified là '2026/05/18 15:42'</t>
        </is>
      </c>
    </row>
    <row r="212">
      <c r="A212" s="2" t="inlineStr">
        <is>
          <t xml:space="preserve">      ✅ OK: Thời gian xuất file 'RFSH0175_output.tsv' (2026/05/18 15:42) KHỚP với log (2026/05/18 15:42).</t>
        </is>
      </c>
    </row>
    <row r="213">
      <c r="A213" t="inlineStr">
        <is>
          <t xml:space="preserve">  - [Đối chiếu Testcase trong Log]:</t>
        </is>
      </c>
    </row>
    <row r="214">
      <c r="A214" t="inlineStr">
        <is>
          <t xml:space="preserve">  - [Đối chiếu テスト計画書兼結果報告書(個別)]: Tìm thấy 1 dòng (8)</t>
        </is>
      </c>
    </row>
    <row r="215">
      <c r="A215" s="2" t="inlineStr">
        <is>
          <t xml:space="preserve">      + Số lần test (Cột K): ✅ Tất cả 1 dòng đều khớp (Lần 2)</t>
        </is>
      </c>
    </row>
    <row r="216">
      <c r="A216" s="2" t="inlineStr">
        <is>
          <t xml:space="preserve">      + Ngày test (Cột I/G): ✅ Khớp ngày (2026/05/18) cho tất cả các dòng có dữ liệu</t>
        </is>
      </c>
    </row>
    <row r="217">
      <c r="A217" t="inlineStr"/>
    </row>
    <row r="218">
      <c r="A218" s="1" t="inlineStr">
        <is>
          <t>[Nhóm Test]: ■3回目 正常系・ファイル定義確認</t>
        </is>
      </c>
    </row>
    <row r="219">
      <c r="A219" t="inlineStr">
        <is>
          <t xml:space="preserve">  - Tổng số dòng log: 65</t>
        </is>
      </c>
    </row>
    <row r="220">
      <c r="A220" s="2" t="inlineStr">
        <is>
          <t xml:space="preserve">  - Trạng thái Sort (行): ✅ Đã sắp xếp tăng dần hợp lệ.</t>
        </is>
      </c>
    </row>
    <row r="221">
      <c r="A221" t="inlineStr">
        <is>
          <t xml:space="preserve">  - Ngày chạy log: 2026/05/18</t>
        </is>
      </c>
    </row>
    <row r="222">
      <c r="A222" t="inlineStr">
        <is>
          <t xml:space="preserve">  - [Ảnh Status Panel]: Tìm thấy Jobnet ID: 'P1J0175@10175'</t>
        </is>
      </c>
    </row>
    <row r="223">
      <c r="A223" t="inlineStr">
        <is>
          <t xml:space="preserve">  - [Ảnh Status Panel]: Tìm thấy Interface ID: 'RFSH0175'</t>
        </is>
      </c>
    </row>
    <row r="224">
      <c r="A224" s="2" t="inlineStr">
        <is>
          <t xml:space="preserve">      ✅ OK: Interface ID 'RFSH0175' có tồn tại trong tên file Excel.</t>
        </is>
      </c>
    </row>
    <row r="225">
      <c r="A225" t="inlineStr">
        <is>
          <t xml:space="preserve">  - [Ảnh Status Panel]: Tìm thấy giờ bắt đầu là 15:46:15</t>
        </is>
      </c>
    </row>
    <row r="226">
      <c r="A226" s="2" t="inlineStr">
        <is>
          <t xml:space="preserve">      ✅ OK: Thời gian log (15:46:15) &gt;= Thời gian ảnh (15:46:15)</t>
        </is>
      </c>
    </row>
    <row r="227">
      <c r="A227" s="2" t="inlineStr">
        <is>
          <t xml:space="preserve">      ✅ OK: Duration Log Main (207ms) &lt; Duration Ảnh (415ms)</t>
        </is>
      </c>
    </row>
    <row r="228">
      <c r="A228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29">
      <c r="A229" s="2" t="inlineStr">
        <is>
          <t xml:space="preserve">      ✅ OK: Jobnet ID 'P1J0175@10175' khớp với dữ liệu trong Log.</t>
        </is>
      </c>
    </row>
    <row r="230">
      <c r="A230" t="inlineStr">
        <is>
          <t xml:space="preserve">  - [Kiểm tra File]: Log text báo có tạo ra file 'RFSH0175_output.tsv'.</t>
        </is>
      </c>
    </row>
    <row r="231">
      <c r="A231" s="2" t="inlineStr">
        <is>
          <t xml:space="preserve">      ✅ OK: Tên file trong ảnh File Explorer (RFSH0175_output.tsv) KHỚP với tên file trong Log text.</t>
        </is>
      </c>
    </row>
    <row r="232">
      <c r="A232" t="inlineStr">
        <is>
          <t xml:space="preserve">  - [Ảnh File Explorer]: Tìm thấy file 'RFSH0175_output.tsv' có Date modified là '2026/05/18 15:46'</t>
        </is>
      </c>
    </row>
    <row r="233">
      <c r="A233" s="2" t="inlineStr">
        <is>
          <t xml:space="preserve">      ✅ OK: Thời gian xuất file 'RFSH0175_output.tsv' (2026/05/18 15:46) KHỚP với log (2026/05/18 15:46).</t>
        </is>
      </c>
    </row>
    <row r="234">
      <c r="A234" t="inlineStr">
        <is>
          <t xml:space="preserve">  - [Đối chiếu Testcase trong Log]:</t>
        </is>
      </c>
    </row>
    <row r="235">
      <c r="A235" t="inlineStr">
        <is>
          <t xml:space="preserve">  - [Đối chiếu テスト計画書兼結果報告書(個別)]: Tìm thấy 12 dòng (18, 19, 20, 21, 22, 23, 25, 26, 27, 28, 29, 30)</t>
        </is>
      </c>
    </row>
    <row r="236">
      <c r="A236" s="2" t="inlineStr">
        <is>
          <t xml:space="preserve">      + Số lần test (Cột K): ✅ Tất cả 12 dòng đều khớp (Lần 3)</t>
        </is>
      </c>
    </row>
    <row r="237">
      <c r="A237" s="2" t="inlineStr">
        <is>
          <t xml:space="preserve">      + Ngày test (Cột I/G): ✅ Khớp ngày (2026/05/18) cho tất cả các dòng có dữ liệu</t>
        </is>
      </c>
    </row>
    <row r="238">
      <c r="A238" t="inlineStr"/>
    </row>
    <row r="239">
      <c r="A239" s="1" t="inlineStr">
        <is>
          <t>[Nhóm Test]: 4回目正常系・列分割→行変換確認（明細0件）</t>
        </is>
      </c>
    </row>
    <row r="240">
      <c r="A240" t="inlineStr">
        <is>
          <t xml:space="preserve">  - Tổng số dòng log: 65</t>
        </is>
      </c>
    </row>
    <row r="241">
      <c r="A241" s="2" t="inlineStr">
        <is>
          <t xml:space="preserve">  - Trạng thái Sort (行): ✅ Đã sắp xếp tăng dần hợp lệ.</t>
        </is>
      </c>
    </row>
    <row r="242">
      <c r="A242" t="inlineStr">
        <is>
          <t xml:space="preserve">  - Ngày chạy log: 2026/05/18</t>
        </is>
      </c>
    </row>
    <row r="243">
      <c r="A243" t="inlineStr">
        <is>
          <t xml:space="preserve">  - [Ảnh Status Panel]: Tìm thấy Jobnet ID: 'P1J0175@10175'</t>
        </is>
      </c>
    </row>
    <row r="244">
      <c r="A244" t="inlineStr">
        <is>
          <t xml:space="preserve">  - [Ảnh Status Panel]: Tìm thấy Interface ID: 'RFSH0175'</t>
        </is>
      </c>
    </row>
    <row r="245">
      <c r="A245" s="2" t="inlineStr">
        <is>
          <t xml:space="preserve">      ✅ OK: Interface ID 'RFSH0175' có tồn tại trong tên file Excel.</t>
        </is>
      </c>
    </row>
    <row r="246">
      <c r="A246" t="inlineStr">
        <is>
          <t xml:space="preserve">  - [Ảnh Status Panel]: Tìm thấy giờ bắt đầu là 15:49:34</t>
        </is>
      </c>
    </row>
    <row r="247">
      <c r="A247" s="2" t="inlineStr">
        <is>
          <t xml:space="preserve">      ✅ OK: Thời gian log (15:49:34) &gt;= Thời gian ảnh (15:49:34)</t>
        </is>
      </c>
    </row>
    <row r="248">
      <c r="A248" s="2" t="inlineStr">
        <is>
          <t xml:space="preserve">      ✅ OK: Duration Log Main (194ms) &lt; Duration Ảnh (381ms)</t>
        </is>
      </c>
    </row>
    <row r="249">
      <c r="A249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50">
      <c r="A250" s="2" t="inlineStr">
        <is>
          <t xml:space="preserve">      ✅ OK: Jobnet ID 'P1J0175@10175' khớp với dữ liệu trong Log.</t>
        </is>
      </c>
    </row>
    <row r="251">
      <c r="A251" t="inlineStr">
        <is>
          <t xml:space="preserve">  - [Kiểm tra File]: Log text báo có tạo ra file 'RFSH0175_output.tsv'.</t>
        </is>
      </c>
    </row>
    <row r="252">
      <c r="A252" s="2" t="inlineStr">
        <is>
          <t xml:space="preserve">      ✅ OK: Tên file trong ảnh File Explorer (RFSH0175_output.tsv) KHỚP với tên file trong Log text.</t>
        </is>
      </c>
    </row>
    <row r="253">
      <c r="A253" t="inlineStr">
        <is>
          <t xml:space="preserve">  - [Ảnh File Explorer]: Tìm thấy file 'RFSH0175_output.tsv' có Date modified là '2026/05/18 15:49'</t>
        </is>
      </c>
    </row>
    <row r="254">
      <c r="A254" s="2" t="inlineStr">
        <is>
          <t xml:space="preserve">      ✅ OK: Thời gian xuất file 'RFSH0175_output.tsv' (2026/05/18 15:49) KHỚP với log (2026/05/18 15:49).</t>
        </is>
      </c>
    </row>
    <row r="255">
      <c r="A255" t="inlineStr">
        <is>
          <t xml:space="preserve">  - [Đối chiếu Testcase trong Log]:</t>
        </is>
      </c>
    </row>
    <row r="256">
      <c r="A256" t="inlineStr">
        <is>
          <t xml:space="preserve">  - [Đối chiếu テスト計画書兼結果報告書(個別)]: Tìm thấy 1 dòng (11)</t>
        </is>
      </c>
    </row>
    <row r="257">
      <c r="A257" s="2" t="inlineStr">
        <is>
          <t xml:space="preserve">      + Số lần test (Cột K): ✅ Tất cả 1 dòng đều khớp (Lần 4)</t>
        </is>
      </c>
    </row>
    <row r="258">
      <c r="A258" s="2" t="inlineStr">
        <is>
          <t xml:space="preserve">      + Ngày test (Cột I/G): ✅ Khớp ngày (2026/05/18) cho tất cả các dòng có dữ liệu</t>
        </is>
      </c>
    </row>
    <row r="259">
      <c r="A259" t="inlineStr"/>
    </row>
    <row r="260">
      <c r="A260" s="1" t="inlineStr">
        <is>
          <t>[Nhóm Test]: 5回目正常系・列分割→行変換確認（明細1件）</t>
        </is>
      </c>
    </row>
    <row r="261">
      <c r="A261" t="inlineStr">
        <is>
          <t xml:space="preserve">  - Tổng số dòng log: 65</t>
        </is>
      </c>
    </row>
    <row r="262">
      <c r="A262" s="2" t="inlineStr">
        <is>
          <t xml:space="preserve">  - Trạng thái Sort (行): ✅ Đã sắp xếp tăng dần hợp lệ.</t>
        </is>
      </c>
    </row>
    <row r="263">
      <c r="A263" t="inlineStr">
        <is>
          <t xml:space="preserve">  - Ngày chạy log: 2026/05/18</t>
        </is>
      </c>
    </row>
    <row r="264">
      <c r="A264" t="inlineStr">
        <is>
          <t xml:space="preserve">  - [Ảnh Status Panel]: Tìm thấy Jobnet ID: 'P1J0175@10175'</t>
        </is>
      </c>
    </row>
    <row r="265">
      <c r="A265" t="inlineStr">
        <is>
          <t xml:space="preserve">  - [Ảnh Status Panel]: Tìm thấy Interface ID: 'RFSH0175'</t>
        </is>
      </c>
    </row>
    <row r="266">
      <c r="A266" s="2" t="inlineStr">
        <is>
          <t xml:space="preserve">      ✅ OK: Interface ID 'RFSH0175' có tồn tại trong tên file Excel.</t>
        </is>
      </c>
    </row>
    <row r="267">
      <c r="A267" t="inlineStr">
        <is>
          <t xml:space="preserve">  - [Ảnh Status Panel]: Tìm thấy giờ bắt đầu là 15:52:07</t>
        </is>
      </c>
    </row>
    <row r="268">
      <c r="A268" s="2" t="inlineStr">
        <is>
          <t xml:space="preserve">      ✅ OK: Thời gian log (15:52:07) &gt;= Thời gian ảnh (15:52:07)</t>
        </is>
      </c>
    </row>
    <row r="269">
      <c r="A269" s="2" t="inlineStr">
        <is>
          <t xml:space="preserve">      ✅ OK: Duration Log Main (209ms) &lt; Duration Ảnh (446ms)</t>
        </is>
      </c>
    </row>
    <row r="270">
      <c r="A270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71">
      <c r="A271" s="2" t="inlineStr">
        <is>
          <t xml:space="preserve">      ✅ OK: Jobnet ID 'P1J0175@10175' khớp với dữ liệu trong Log.</t>
        </is>
      </c>
    </row>
    <row r="272">
      <c r="A272" t="inlineStr">
        <is>
          <t xml:space="preserve">  - [Kiểm tra File]: Log text báo có tạo ra file 'RFSH0175_output.tsv'.</t>
        </is>
      </c>
    </row>
    <row r="273">
      <c r="A273" s="2" t="inlineStr">
        <is>
          <t xml:space="preserve">      ✅ OK: Tên file trong ảnh File Explorer (RFSH0175_output.tsv) KHỚP với tên file trong Log text.</t>
        </is>
      </c>
    </row>
    <row r="274">
      <c r="A274" t="inlineStr">
        <is>
          <t xml:space="preserve">  - [Ảnh File Explorer]: Tìm thấy file 'RFSH0175_output.tsv' có Date modified là '2026/05/18 15:52'</t>
        </is>
      </c>
    </row>
    <row r="275">
      <c r="A275" s="2" t="inlineStr">
        <is>
          <t xml:space="preserve">      ✅ OK: Thời gian xuất file 'RFSH0175_output.tsv' (2026/05/18 15:52) KHỚP với log (2026/05/18 15:52).</t>
        </is>
      </c>
    </row>
    <row r="276">
      <c r="A276" t="inlineStr">
        <is>
          <t xml:space="preserve">  - [Đối chiếu Testcase trong Log]:</t>
        </is>
      </c>
    </row>
    <row r="277">
      <c r="A277" t="inlineStr">
        <is>
          <t xml:space="preserve">  - [Đối chiếu テスト計画書兼結果報告書(個別)]: Tìm thấy 1 dòng (12)</t>
        </is>
      </c>
    </row>
    <row r="278">
      <c r="A278" s="2" t="inlineStr">
        <is>
          <t xml:space="preserve">      + Số lần test (Cột K): ✅ Tất cả 1 dòng đều khớp (Lần 5)</t>
        </is>
      </c>
    </row>
    <row r="279">
      <c r="A279" s="2" t="inlineStr">
        <is>
          <t xml:space="preserve">      + Ngày test (Cột I/G): ✅ Khớp ngày (2026/05/18) cho tất cả các dòng có dữ liệu</t>
        </is>
      </c>
    </row>
    <row r="280">
      <c r="A280" t="inlineStr"/>
    </row>
    <row r="281">
      <c r="A281" s="1" t="inlineStr">
        <is>
          <t>[Nhóm Test]: 6回目正常系・列分割→行変換確認（明細8件）</t>
        </is>
      </c>
    </row>
    <row r="282">
      <c r="A282" t="inlineStr">
        <is>
          <t xml:space="preserve">  - Tổng số dòng log: 65</t>
        </is>
      </c>
    </row>
    <row r="283">
      <c r="A283" s="2" t="inlineStr">
        <is>
          <t xml:space="preserve">  - Trạng thái Sort (行): ✅ Đã sắp xếp tăng dần hợp lệ.</t>
        </is>
      </c>
    </row>
    <row r="284">
      <c r="A284" t="inlineStr">
        <is>
          <t xml:space="preserve">  - Ngày chạy log: 2026/05/18</t>
        </is>
      </c>
    </row>
    <row r="285">
      <c r="A285" t="inlineStr">
        <is>
          <t xml:space="preserve">  - [Ảnh Status Panel]: Tìm thấy Jobnet ID: 'P1J0175@10175'</t>
        </is>
      </c>
    </row>
    <row r="286">
      <c r="A286" t="inlineStr">
        <is>
          <t xml:space="preserve">  - [Ảnh Status Panel]: Tìm thấy Interface ID: 'RFSH0175'</t>
        </is>
      </c>
    </row>
    <row r="287">
      <c r="A287" s="2" t="inlineStr">
        <is>
          <t xml:space="preserve">      ✅ OK: Interface ID 'RFSH0175' có tồn tại trong tên file Excel.</t>
        </is>
      </c>
    </row>
    <row r="288">
      <c r="A288" t="inlineStr">
        <is>
          <t xml:space="preserve">  - [Ảnh Status Panel]: Tìm thấy giờ bắt đầu là 15:55:26</t>
        </is>
      </c>
    </row>
    <row r="289">
      <c r="A289" s="2" t="inlineStr">
        <is>
          <t xml:space="preserve">      ✅ OK: Thời gian log (15:55:26) &gt;= Thời gian ảnh (15:55:26)</t>
        </is>
      </c>
    </row>
    <row r="290">
      <c r="A290" s="2" t="inlineStr">
        <is>
          <t xml:space="preserve">      ✅ OK: Duration Log Main (200ms) &lt; Duration Ảnh (413ms)</t>
        </is>
      </c>
    </row>
    <row r="291">
      <c r="A291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92">
      <c r="A292" s="2" t="inlineStr">
        <is>
          <t xml:space="preserve">      ✅ OK: Jobnet ID 'P1J0175@10175' khớp với dữ liệu trong Log.</t>
        </is>
      </c>
    </row>
    <row r="293">
      <c r="A293" t="inlineStr">
        <is>
          <t xml:space="preserve">  - [Kiểm tra File]: Log text báo có tạo ra file 'RFSH0175_output.tsv'.</t>
        </is>
      </c>
    </row>
    <row r="294">
      <c r="A294" s="2" t="inlineStr">
        <is>
          <t xml:space="preserve">      ✅ OK: Tên file trong ảnh File Explorer (RFSH0175_output.tsv) KHỚP với tên file trong Log text.</t>
        </is>
      </c>
    </row>
    <row r="295">
      <c r="A295" t="inlineStr">
        <is>
          <t xml:space="preserve">  - [Ảnh File Explorer]: Tìm thấy file 'RFSH0175_output.tsv' có Date modified là '2026/05/18 15:55'</t>
        </is>
      </c>
    </row>
    <row r="296">
      <c r="A296" s="2" t="inlineStr">
        <is>
          <t xml:space="preserve">      ✅ OK: Thời gian xuất file 'RFSH0175_output.tsv' (2026/05/18 15:55) KHỚP với log (2026/05/18 15:55).</t>
        </is>
      </c>
    </row>
    <row r="297">
      <c r="A297" t="inlineStr">
        <is>
          <t xml:space="preserve">  - [Đối chiếu Testcase trong Log]:</t>
        </is>
      </c>
    </row>
    <row r="298">
      <c r="A298" t="inlineStr">
        <is>
          <t xml:space="preserve">  - [Đối chiếu テスト計画書兼結果報告書(個別)]: Tìm thấy 1 dòng (13)</t>
        </is>
      </c>
    </row>
    <row r="299">
      <c r="A299" s="2" t="inlineStr">
        <is>
          <t xml:space="preserve">      + Số lần test (Cột K): ✅ Tất cả 1 dòng đều khớp (Lần 6)</t>
        </is>
      </c>
    </row>
    <row r="300">
      <c r="A300" s="2" t="inlineStr">
        <is>
          <t xml:space="preserve">      + Ngày test (Cột I/G): ✅ Khớp ngày (2026/05/18) cho tất cả các dòng có dữ liệu</t>
        </is>
      </c>
    </row>
    <row r="301">
      <c r="A301" t="inlineStr"/>
    </row>
    <row r="302">
      <c r="A302" s="1" t="inlineStr">
        <is>
          <t>[Nhóm Test]: 7回目正常系・列分割→行変換確認（明細4件）</t>
        </is>
      </c>
    </row>
    <row r="303">
      <c r="A303" t="inlineStr">
        <is>
          <t xml:space="preserve">  - Tổng số dòng log: 65</t>
        </is>
      </c>
    </row>
    <row r="304">
      <c r="A304" s="2" t="inlineStr">
        <is>
          <t xml:space="preserve">  - Trạng thái Sort (行): ✅ Đã sắp xếp tăng dần hợp lệ.</t>
        </is>
      </c>
    </row>
    <row r="305">
      <c r="A305" t="inlineStr">
        <is>
          <t xml:space="preserve">  - Ngày chạy log: 2026/05/18</t>
        </is>
      </c>
    </row>
    <row r="306">
      <c r="A306" t="inlineStr">
        <is>
          <t xml:space="preserve">  - [Ảnh Status Panel]: Tìm thấy Jobnet ID: 'P1J0175@10175'</t>
        </is>
      </c>
    </row>
    <row r="307">
      <c r="A307" t="inlineStr">
        <is>
          <t xml:space="preserve">  - [Ảnh Status Panel]: Tìm thấy Interface ID: 'RFSH0175'</t>
        </is>
      </c>
    </row>
    <row r="308">
      <c r="A308" s="2" t="inlineStr">
        <is>
          <t xml:space="preserve">      ✅ OK: Interface ID 'RFSH0175' có tồn tại trong tên file Excel.</t>
        </is>
      </c>
    </row>
    <row r="309">
      <c r="A309" t="inlineStr">
        <is>
          <t xml:space="preserve">  - [Ảnh Status Panel]: Tìm thấy giờ bắt đầu là 16:00:11</t>
        </is>
      </c>
    </row>
    <row r="310">
      <c r="A310" s="2" t="inlineStr">
        <is>
          <t xml:space="preserve">      ✅ OK: Thời gian log (16:00:11) &gt;= Thời gian ảnh (16:00:11)</t>
        </is>
      </c>
    </row>
    <row r="311">
      <c r="A311" s="2" t="inlineStr">
        <is>
          <t xml:space="preserve">      ✅ OK: Duration Log Main (547ms) &lt; Duration Ảnh (785ms)</t>
        </is>
      </c>
    </row>
    <row r="312">
      <c r="A312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313">
      <c r="A313" s="2" t="inlineStr">
        <is>
          <t xml:space="preserve">      ✅ OK: Jobnet ID 'P1J0175@10175' khớp với dữ liệu trong Log.</t>
        </is>
      </c>
    </row>
    <row r="314">
      <c r="A314" t="inlineStr">
        <is>
          <t xml:space="preserve">  - [Kiểm tra File]: Log text báo có tạo ra file 'RFSH0175_output.tsv'.</t>
        </is>
      </c>
    </row>
    <row r="315">
      <c r="A315" s="2" t="inlineStr">
        <is>
          <t xml:space="preserve">      ✅ OK: Tên file trong ảnh File Explorer (RFSH0175_output.tsv) KHỚP với tên file trong Log text.</t>
        </is>
      </c>
    </row>
    <row r="316">
      <c r="A316" t="inlineStr">
        <is>
          <t xml:space="preserve">  - [Ảnh File Explorer]: Tìm thấy file 'RFSH0175_output.tsv' có Date modified là '2026/05/18 16:00'</t>
        </is>
      </c>
    </row>
    <row r="317">
      <c r="A317" s="2" t="inlineStr">
        <is>
          <t xml:space="preserve">      ✅ OK: Thời gian xuất file 'RFSH0175_output.tsv' (2026/05/18 16:00) KHỚP với log (2026/05/18 16:00).</t>
        </is>
      </c>
    </row>
    <row r="318">
      <c r="A318" t="inlineStr">
        <is>
          <t xml:space="preserve">  - [Đối chiếu Testcase trong Log]:</t>
        </is>
      </c>
    </row>
    <row r="319">
      <c r="A319" t="inlineStr">
        <is>
          <t xml:space="preserve">  - [Đối chiếu テスト計画書兼結果報告書(個別)]: Tìm thấy 1 dòng (14)</t>
        </is>
      </c>
    </row>
    <row r="320">
      <c r="A320" s="2" t="inlineStr">
        <is>
          <t xml:space="preserve">      + Số lần test (Cột K): ✅ Tất cả 1 dòng đều khớp (Lần 7)</t>
        </is>
      </c>
    </row>
    <row r="321">
      <c r="A321" s="2" t="inlineStr">
        <is>
          <t xml:space="preserve">      + Ngày test (Cột I/G): ✅ Khớp ngày (2026/05/18) cho tất cả các dòng có dữ liệu</t>
        </is>
      </c>
    </row>
    <row r="322">
      <c r="A322" t="inlineStr"/>
    </row>
    <row r="323">
      <c r="A323" s="1" t="inlineStr">
        <is>
          <t>[Nhóm Test]: 8回目正常系・列分割→行変換確認（レコードが複数件あり）</t>
        </is>
      </c>
    </row>
    <row r="324">
      <c r="A324" t="inlineStr">
        <is>
          <t xml:space="preserve">  - Tổng số dòng log: 65</t>
        </is>
      </c>
    </row>
    <row r="325">
      <c r="A325" s="2" t="inlineStr">
        <is>
          <t xml:space="preserve">  - Trạng thái Sort (行): ✅ Đã sắp xếp tăng dần hợp lệ.</t>
        </is>
      </c>
    </row>
    <row r="326">
      <c r="A326" t="inlineStr">
        <is>
          <t xml:space="preserve">  - Ngày chạy log: 2026/05/18</t>
        </is>
      </c>
    </row>
    <row r="327">
      <c r="A327" t="inlineStr">
        <is>
          <t xml:space="preserve">  - [Ảnh Status Panel]: Tìm thấy Jobnet ID: 'P1J0175@10175'</t>
        </is>
      </c>
    </row>
    <row r="328">
      <c r="A328" t="inlineStr">
        <is>
          <t xml:space="preserve">  - [Ảnh Status Panel]: Tìm thấy Interface ID: 'RFSH0175'</t>
        </is>
      </c>
    </row>
    <row r="329">
      <c r="A329" s="2" t="inlineStr">
        <is>
          <t xml:space="preserve">      ✅ OK: Interface ID 'RFSH0175' có tồn tại trong tên file Excel.</t>
        </is>
      </c>
    </row>
    <row r="330">
      <c r="A330" t="inlineStr">
        <is>
          <t xml:space="preserve">  - [Ảnh Status Panel]: Tìm thấy giờ bắt đầu là 16:04:09</t>
        </is>
      </c>
    </row>
    <row r="331">
      <c r="A331" s="2" t="inlineStr">
        <is>
          <t xml:space="preserve">      ✅ OK: Thời gian log (16:04:09) &gt;= Thời gian ảnh (16:04:09)</t>
        </is>
      </c>
    </row>
    <row r="332">
      <c r="A332" s="2" t="inlineStr">
        <is>
          <t xml:space="preserve">      ✅ OK: Duration Log Main (213ms) &lt; Duration Ảnh (411ms)</t>
        </is>
      </c>
    </row>
    <row r="333">
      <c r="A333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334">
      <c r="A334" s="2" t="inlineStr">
        <is>
          <t xml:space="preserve">      ✅ OK: Jobnet ID 'P1J0175@10175' khớp với dữ liệu trong Log.</t>
        </is>
      </c>
    </row>
    <row r="335">
      <c r="A335" t="inlineStr">
        <is>
          <t xml:space="preserve">  - [Kiểm tra File]: Log text báo có tạo ra file 'RFSH0175_output.tsv'.</t>
        </is>
      </c>
    </row>
    <row r="336">
      <c r="A336" s="2" t="inlineStr">
        <is>
          <t xml:space="preserve">      ✅ OK: Tên file trong ảnh File Explorer (RFSH0175_output.tsv) KHỚP với tên file trong Log text.</t>
        </is>
      </c>
    </row>
    <row r="337">
      <c r="A337" t="inlineStr">
        <is>
          <t xml:space="preserve">  - [Ảnh File Explorer]: Tìm thấy file 'RFSH0175_output.tsv' có Date modified là '2026/05/18 16:04'</t>
        </is>
      </c>
    </row>
    <row r="338">
      <c r="A338" s="2" t="inlineStr">
        <is>
          <t xml:space="preserve">      ✅ OK: Thời gian xuất file 'RFSH0175_output.tsv' (2026/05/18 16:04) KHỚP với log (2026/05/18 16:04).</t>
        </is>
      </c>
    </row>
    <row r="339">
      <c r="A339" t="inlineStr">
        <is>
          <t xml:space="preserve">  - [Đối chiếu Testcase trong Log]:</t>
        </is>
      </c>
    </row>
    <row r="340">
      <c r="A340" t="inlineStr">
        <is>
          <t xml:space="preserve">  - [Đối chiếu テスト計画書兼結果報告書(個別)]: Tìm thấy 1 dòng (15)</t>
        </is>
      </c>
    </row>
    <row r="341">
      <c r="A341" s="2" t="inlineStr">
        <is>
          <t xml:space="preserve">      + Số lần test (Cột K): ✅ Tất cả 1 dòng đều khớp (Lần 8)</t>
        </is>
      </c>
    </row>
    <row r="342">
      <c r="A342" s="2" t="inlineStr">
        <is>
          <t xml:space="preserve">      + Ngày test (Cột I/G): ✅ Khớp ngày (2026/05/18) cho tất cả các dòng có dữ liệu</t>
        </is>
      </c>
    </row>
    <row r="343">
      <c r="A343" t="inlineStr"/>
    </row>
    <row r="344">
      <c r="A344" s="1">
        <f>=============== TỔNG KẾT COVERAGE CHO SHEET エビデンス(共通) ================</f>
        <v/>
      </c>
    </row>
    <row r="345">
      <c r="A345" s="2" t="inlineStr">
        <is>
          <t xml:space="preserve">  - ✅ Nhóm 1 (gồm TC: 1-1-1, 1-2-1, 2-1-1, 2-2-1, 3-1-1, 3-2-1, 4-1-1, 4-2-1, 5-1-1, 5-3-1, 5-4-1, 6-1-1, 7-1-1): Đã có Log Evidence.</t>
        </is>
      </c>
    </row>
    <row r="346">
      <c r="A346" s="2" t="inlineStr">
        <is>
          <t xml:space="preserve">  - ✅ Nhóm 2 (gồm TC: 1-2-2, 2-2-2): Đã có Log Evidence.</t>
        </is>
      </c>
    </row>
    <row r="347">
      <c r="A347" s="2" t="inlineStr">
        <is>
          <t xml:space="preserve">  - ✅ Nhóm 3 (gồm TC: 3-2-2): Đã có Log Evidence.</t>
        </is>
      </c>
    </row>
    <row r="348">
      <c r="A348" s="2" t="inlineStr">
        <is>
          <t xml:space="preserve">  - ✅ Nhóm 4 (gồm TC: 3-2-3): Đã có Log Evidence.</t>
        </is>
      </c>
    </row>
    <row r="349">
      <c r="A349" s="2" t="inlineStr">
        <is>
          <t xml:space="preserve">  - ✅ Nhóm 5 (gồm TC: 4-1-2, 7-1-2): Đã có Log Evidence.</t>
        </is>
      </c>
    </row>
    <row r="350">
      <c r="A350" s="2" t="inlineStr">
        <is>
          <t xml:space="preserve">  - ✅ Nhóm 6 (gồm TC: 4-2-2): Đã có Log Evidence.</t>
        </is>
      </c>
    </row>
    <row r="351">
      <c r="A351" s="2" t="inlineStr">
        <is>
          <t xml:space="preserve">  - ✅ Nhóm 7 (gồm TC: 4-2-3, 5-2-1): Đã có Log Evidence.</t>
        </is>
      </c>
    </row>
    <row r="352">
      <c r="A352" t="inlineStr">
        <is>
          <t xml:space="preserve">  =&gt; TOÀN BỘ CÁC NHÓM TEST TRONG KẾ HOẠCH ĐỀU ĐÃ CÓ EVIDENCE!</t>
        </is>
      </c>
    </row>
    <row r="353">
      <c r="A353" t="inlineStr"/>
    </row>
    <row r="354">
      <c r="A354" t="inlineStr"/>
    </row>
    <row r="355">
      <c r="A355" s="1">
        <f>=============== TỔNG KẾT COVERAGE CHO SHEET エビデンス(個別) ================</f>
        <v/>
      </c>
    </row>
    <row r="356">
      <c r="A356" s="2" t="inlineStr">
        <is>
          <t xml:space="preserve">  - ✅ Nhóm 1 (gồm TC: 1-1-1): Đã có Log Evidence.</t>
        </is>
      </c>
    </row>
    <row r="357">
      <c r="A357" s="2" t="inlineStr">
        <is>
          <t xml:space="preserve">  - ✅ Nhóm 2 (gồm TC: 1-2-1): Đã có Log Evidence.</t>
        </is>
      </c>
    </row>
    <row r="358">
      <c r="A358" s="2" t="inlineStr">
        <is>
          <t xml:space="preserve">  - ✅ Nhóm 3 (gồm TC: 3-1-1, 3-1-2, 3-1-3, 3-1-4, 3-1-5, 3-1-6, 3-2-1, 3-2-2, 3-2-3, 3-2-4, 3-2-5, 3-2-6): Đã có Log Evidence.</t>
        </is>
      </c>
    </row>
    <row r="359">
      <c r="A359" s="2" t="inlineStr">
        <is>
          <t xml:space="preserve">  - ✅ Nhóm 4 (gồm TC: 2-1-1): Đã có Log Evidence.</t>
        </is>
      </c>
    </row>
    <row r="360">
      <c r="A360" s="2" t="inlineStr">
        <is>
          <t xml:space="preserve">  - ✅ Nhóm 5 (gồm TC: 2-1-2): Đã có Log Evidence.</t>
        </is>
      </c>
    </row>
    <row r="361">
      <c r="A361" s="2" t="inlineStr">
        <is>
          <t xml:space="preserve">  - ✅ Nhóm 6 (gồm TC: 2-1-3): Đã có Log Evidence.</t>
        </is>
      </c>
    </row>
    <row r="362">
      <c r="A362" s="2" t="inlineStr">
        <is>
          <t xml:space="preserve">  - ✅ Nhóm 7 (gồm TC: 2-1-4): Đã có Log Evidence.</t>
        </is>
      </c>
    </row>
    <row r="363">
      <c r="A363" s="2" t="inlineStr">
        <is>
          <t xml:space="preserve">  - ✅ Nhóm 8 (gồm TC: 2-1-5): Đã có Log Evidence.</t>
        </is>
      </c>
    </row>
    <row r="364">
      <c r="A364" t="inlineStr">
        <is>
          <t xml:space="preserve">  =&gt; TOÀN BỘ CÁC NHÓM TEST TRONG KẾ HOẠCH ĐỀU ĐÃ CÓ EVIDENCE!</t>
        </is>
      </c>
    </row>
    <row r="365">
      <c r="A365" t="inlineStr"/>
    </row>
    <row r="366">
      <c r="A3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5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" t="inlineStr">
        <is>
          <t>✅ Đã check xong file '単体テスト仕様書兼成績書_E304_RFSH0175.xlsx'. Nhấn Enter để tiếp tục sang file tiếp theo...</t>
        </is>
      </c>
    </row>
    <row r="2">
      <c r="A2" s="1">
        <f>======================== [3/16] ĐANG XỬ LÝ FILE: 単体テスト仕様書兼成績書_E304_RFSH0203.xlsx =========================</f>
        <v/>
      </c>
    </row>
    <row r="3">
      <c r="A3" t="inlineStr">
        <is>
          <t>Đang đọc dữ liệu từ file: 単体テスト仕様書兼成績書_E304_RFSH0203.xlsx ...</t>
        </is>
      </c>
    </row>
    <row r="4">
      <c r="A4" t="inlineStr"/>
    </row>
    <row r="5">
      <c r="A5" s="1">
        <f>=============== TRẠNG THÁI OCR ================</f>
        <v/>
      </c>
    </row>
    <row r="6">
      <c r="A6" s="2" t="inlineStr">
        <is>
          <t>✅ Đã bật (Sẵn sàng đọc ảnh)</t>
        </is>
      </c>
    </row>
    <row r="7">
      <c r="A7" t="inlineStr"/>
    </row>
    <row r="8">
      <c r="A8" s="1">
        <f>=============== KIỂM TRA TRẠNG THÁI MỞ FILE ================</f>
        <v/>
      </c>
    </row>
    <row r="9">
      <c r="A9" s="4" t="inlineStr">
        <is>
          <t>❌ LỖI: File đang mở ở sheet 'エビデンス(共通)' (yêu cầu sheet đầu tiên '表紙 ').</t>
        </is>
      </c>
    </row>
    <row r="10">
      <c r="A10" s="4" t="inlineStr">
        <is>
          <t>❌ LỖI: Con trỏ chuột đang nằm ở ô 'S154' (yêu cầu ô 'A1').</t>
        </is>
      </c>
    </row>
    <row r="11">
      <c r="A11" t="inlineStr"/>
    </row>
    <row r="12">
      <c r="A12" s="1">
        <f>=============== SHEET: エビデンス(共通) ================</f>
        <v/>
      </c>
    </row>
    <row r="13">
      <c r="A13" t="inlineStr">
        <is>
          <t xml:space="preserve">  -&gt; Tìm thấy 42 ảnh trong sheet này.</t>
        </is>
      </c>
    </row>
    <row r="14">
      <c r="A14" s="1">
        <f>=============== SHEET: エビデンス(個別) ================</f>
        <v/>
      </c>
    </row>
    <row r="15">
      <c r="A15" t="inlineStr">
        <is>
          <t xml:space="preserve">  -&gt; Tìm thấy 40 ảnh trong sheet này.</t>
        </is>
      </c>
    </row>
    <row r="16">
      <c r="A16" t="inlineStr"/>
    </row>
    <row r="17">
      <c r="A17" s="1" t="inlineStr">
        <is>
          <t>[GEMINI MANUAL MODE] ♻️ Đã tìm thấy file JSON kết quả cũ tại:</t>
        </is>
      </c>
    </row>
    <row r="18">
      <c r="A18" t="inlineStr">
        <is>
          <t>D:\project\tool\New folder\Gemini_Upload_単体テスト仕様書兼成績書_E304_RFSH0203\gemini_result.json</t>
        </is>
      </c>
    </row>
    <row r="19">
      <c r="A19">
        <f>&gt; Sử dụng luôn kết quả này, bỏ qua bước xuất ảnh PDF và hỏi lại Gemini.</f>
        <v/>
      </c>
    </row>
    <row r="20">
      <c r="A20" t="inlineStr"/>
    </row>
    <row r="21">
      <c r="A21" s="1">
        <f>=============== ĐANG PHÂN TÍCH KẾT QUẢ SHEET: エビデンス(共通) ================</f>
        <v/>
      </c>
    </row>
    <row r="22">
      <c r="A22" t="inlineStr"/>
    </row>
    <row r="23">
      <c r="A23" s="1" t="inlineStr">
        <is>
          <t>[Kiểm tra Cấu hình Flow - Trước khi Test]:</t>
        </is>
      </c>
    </row>
    <row r="24">
      <c r="A24" s="2" t="inlineStr">
        <is>
          <t xml:space="preserve">  - [Ảnh Flow]: ✅ Tìm thấy P_JobnetID: 'P1J0203@10203'</t>
        </is>
      </c>
    </row>
    <row r="25">
      <c r="A25" s="2" t="inlineStr">
        <is>
          <t xml:space="preserve">      ✅ OK: P_JobnetID 'P1J0203@10203' có chứa mã '0203' của file.</t>
        </is>
      </c>
    </row>
    <row r="26">
      <c r="A26" s="2" t="inlineStr">
        <is>
          <t xml:space="preserve">  - [Ảnh Flow]: ✅ Tìm thấy P_InterfaceID: 'RFSH0203'</t>
        </is>
      </c>
    </row>
    <row r="27">
      <c r="A27" s="2" t="inlineStr">
        <is>
          <t xml:space="preserve">      ✅ OK: P_InterfaceID 'RFSH0203' có chứa mã '0203' của file.</t>
        </is>
      </c>
    </row>
    <row r="28">
      <c r="A28" t="inlineStr"/>
    </row>
    <row r="29">
      <c r="A29" s="1" t="inlineStr">
        <is>
          <t>[Nhóm Test]: ■1回目 正常系・1000件未満・ファイル送信前結合有無=false</t>
        </is>
      </c>
    </row>
    <row r="30">
      <c r="A30" t="inlineStr">
        <is>
          <t xml:space="preserve">  - Tổng số dòng log: 51</t>
        </is>
      </c>
    </row>
    <row r="31">
      <c r="A31" s="2" t="inlineStr">
        <is>
          <t xml:space="preserve">  - Trạng thái Sort (行): ✅ Đã sắp xếp tăng dần hợp lệ.</t>
        </is>
      </c>
    </row>
    <row r="32">
      <c r="A32" t="inlineStr">
        <is>
          <t xml:space="preserve">  - Ngày chạy log: 2026/05/18</t>
        </is>
      </c>
    </row>
    <row r="33">
      <c r="A33" t="inlineStr">
        <is>
          <t xml:space="preserve">  - [Ảnh Status Panel]: Tìm thấy Jobnet ID: 'P1J0203@10203'</t>
        </is>
      </c>
    </row>
    <row r="34">
      <c r="A34" t="inlineStr">
        <is>
          <t xml:space="preserve">  - [Ảnh Status Panel]: Tìm thấy Interface ID: 'RFSH0203'</t>
        </is>
      </c>
    </row>
    <row r="35">
      <c r="A35" s="2" t="inlineStr">
        <is>
          <t xml:space="preserve">      ✅ OK: Interface ID 'RFSH0203' có tồn tại trong tên file Excel.</t>
        </is>
      </c>
    </row>
    <row r="36">
      <c r="A36" t="inlineStr">
        <is>
          <t xml:space="preserve">  - [Ảnh Status Panel]: Tìm thấy giờ bắt đầu là 17:14:33</t>
        </is>
      </c>
    </row>
    <row r="37">
      <c r="A37" s="4" t="inlineStr">
        <is>
          <t xml:space="preserve">      ❌ LỖI: Thời gian log (16:30:20) &lt; Thời gian ảnh (17:14:33) (Chênh lệch 2653s)</t>
        </is>
      </c>
    </row>
    <row r="38">
      <c r="A38" s="2" t="inlineStr">
        <is>
          <t xml:space="preserve">      ✅ OK: Duration Log Main (327ms) &lt; Duration Ảnh (766ms)</t>
        </is>
      </c>
    </row>
    <row r="39">
      <c r="A39" t="inlineStr">
        <is>
          <t xml:space="preserve">  - [Ảnh Log Viewer]: Tìm thấy thời gian kết thúc trong ảnh log là '16:30:20'</t>
        </is>
      </c>
    </row>
    <row r="40">
      <c r="A40" s="2" t="inlineStr">
        <is>
          <t xml:space="preserve">      ✅ OK: Giờ kết thúc trong ảnh Log (16:30:20) KHỚP với log text (16:30:20).</t>
        </is>
      </c>
    </row>
    <row r="41">
      <c r="A41" s="4" t="inlineStr">
        <is>
          <t xml:space="preserve">      ❌ LỖI: Giờ ảnh Log (16:30:20) &lt; Giờ bắt đầu (17:14:33).</t>
        </is>
      </c>
    </row>
    <row r="42">
      <c r="A42" s="2" t="inlineStr">
        <is>
          <t xml:space="preserve">      ✅ OK: Jobnet ID 'P1J0203@10203' khớp với dữ liệu trong Log.</t>
        </is>
      </c>
    </row>
    <row r="43">
      <c r="A43" t="inlineStr">
        <is>
          <t xml:space="preserve">  - [Kiểm tra File]: Log text báo có tạo ra file 'RFSH0203_output.tsv'.</t>
        </is>
      </c>
    </row>
    <row r="44">
      <c r="A44" s="4" t="inlineStr">
        <is>
          <t xml:space="preserve">      ❌ LỖI: Log báo có tạo file nhưng không tìm thấy ảnh chụp File Explorer chứa file này!</t>
        </is>
      </c>
    </row>
    <row r="45">
      <c r="A45" t="inlineStr">
        <is>
          <t xml:space="preserve">  - [Đối chiếu Testcase trong Log]:</t>
        </is>
      </c>
    </row>
    <row r="46">
      <c r="A46" t="inlineStr">
        <is>
          <t xml:space="preserve">  - [Đối chiếu テスト計画書兼結果報告書(共通)]: Tìm thấy 13 dòng (6, 8, 12, 14, 18, 20, 25, 28, 33, 37, 39, 42, 45)</t>
        </is>
      </c>
    </row>
    <row r="47">
      <c r="A47" s="2" t="inlineStr">
        <is>
          <t xml:space="preserve">      + Số lần test (Cột K): ✅ Tất cả 13 dòng đều khớp (Lần 1)</t>
        </is>
      </c>
    </row>
    <row r="48">
      <c r="A48" s="2" t="inlineStr">
        <is>
          <t xml:space="preserve">      + Ngày test (Cột I/G): ✅ Khớp ngày (2026/05/18) cho tất cả các dòng có dữ liệu</t>
        </is>
      </c>
    </row>
    <row r="49">
      <c r="A49" t="inlineStr"/>
    </row>
    <row r="50">
      <c r="A50" s="1" t="inlineStr">
        <is>
          <t>[Nhóm Test]: ■2回目 異常系・起動パラメータ不正</t>
        </is>
      </c>
    </row>
    <row r="51">
      <c r="A51" t="inlineStr">
        <is>
          <t xml:space="preserve">  - Tổng số dòng log: 23</t>
        </is>
      </c>
    </row>
    <row r="52">
      <c r="A52" s="2" t="inlineStr">
        <is>
          <t xml:space="preserve">  - Trạng thái Sort (行): ✅ Đã sắp xếp tăng dần hợp lệ.</t>
        </is>
      </c>
    </row>
    <row r="53">
      <c r="A53" t="inlineStr">
        <is>
          <t xml:space="preserve">  - Ngày chạy log: 2026/05/18</t>
        </is>
      </c>
    </row>
    <row r="54">
      <c r="A54" t="inlineStr">
        <is>
          <t xml:space="preserve">  - [Ảnh Status Panel]: Tìm thấy Jobnet ID: ''</t>
        </is>
      </c>
    </row>
    <row r="55">
      <c r="A55" t="inlineStr">
        <is>
          <t xml:space="preserve">  - [Ảnh Status Panel]: Tìm thấy Interface ID: ''</t>
        </is>
      </c>
    </row>
    <row r="56">
      <c r="A56" s="3" t="inlineStr">
        <is>
          <t xml:space="preserve">      ⚠️ Interface ID là chuỗi rỗng nên bỏ qua kiểm tra với tên file.</t>
        </is>
      </c>
    </row>
    <row r="57">
      <c r="A57" t="inlineStr">
        <is>
          <t xml:space="preserve">  - [Ảnh Status Panel]: Tìm thấy giờ bắt đầu là 16:41:55</t>
        </is>
      </c>
    </row>
    <row r="58">
      <c r="A58" s="2" t="inlineStr">
        <is>
          <t xml:space="preserve">      ✅ OK: Thời gian log (16:41:55) &gt;= Thời gian ảnh (16:41:55)</t>
        </is>
      </c>
    </row>
    <row r="59">
      <c r="A59" s="2" t="inlineStr">
        <is>
          <t xml:space="preserve">      ✅ OK: Duration Log Main (98ms) &lt; Duration Ảnh (302ms)</t>
        </is>
      </c>
    </row>
    <row r="60">
      <c r="A60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61">
      <c r="A61" s="2" t="inlineStr">
        <is>
          <t xml:space="preserve">      ✅ OK: Jobnet ID '' khớp với dữ liệu trong Log.</t>
        </is>
      </c>
    </row>
    <row r="62">
      <c r="A62" t="inlineStr">
        <is>
          <t xml:space="preserve">  - [Đối chiếu Testcase trong Log]:</t>
        </is>
      </c>
    </row>
    <row r="63">
      <c r="A63" t="inlineStr">
        <is>
          <t xml:space="preserve">  - [Đối chiếu テスト計画書兼結果報告書(共通)]: Tìm thấy 2 dòng (9, 15)</t>
        </is>
      </c>
    </row>
    <row r="64">
      <c r="A64" s="2" t="inlineStr">
        <is>
          <t xml:space="preserve">      + Số lần test (Cột K): ✅ Tất cả 2 dòng đều khớp (Lần 2)</t>
        </is>
      </c>
    </row>
    <row r="65">
      <c r="A65" s="2" t="inlineStr">
        <is>
          <t xml:space="preserve">      + Ngày test (Cột I/G): ✅ Khớp ngày (2026/05/18) cho tất cả các dòng có dữ liệu</t>
        </is>
      </c>
    </row>
    <row r="66">
      <c r="A66" t="inlineStr"/>
    </row>
    <row r="67">
      <c r="A67" s="1" t="inlineStr">
        <is>
          <t>[Nhóm Test]: ■3回目 正常系・ファイル送信前結合有無=true</t>
        </is>
      </c>
    </row>
    <row r="68">
      <c r="A68" t="inlineStr">
        <is>
          <t xml:space="preserve">  - Tổng số dòng log: 65</t>
        </is>
      </c>
    </row>
    <row r="69">
      <c r="A69" s="2" t="inlineStr">
        <is>
          <t xml:space="preserve">  - Trạng thái Sort (行): ✅ Đã sắp xếp tăng dần hợp lệ.</t>
        </is>
      </c>
    </row>
    <row r="70">
      <c r="A70" t="inlineStr">
        <is>
          <t xml:space="preserve">  - Ngày chạy log: 2026/05/18</t>
        </is>
      </c>
    </row>
    <row r="71">
      <c r="A71" t="inlineStr">
        <is>
          <t xml:space="preserve">  - [Ảnh Status Panel]: Tìm thấy Jobnet ID: 'P1J0203@10203'</t>
        </is>
      </c>
    </row>
    <row r="72">
      <c r="A72" t="inlineStr">
        <is>
          <t xml:space="preserve">  - [Ảnh Status Panel]: Tìm thấy Interface ID: 'RFSH0203'</t>
        </is>
      </c>
    </row>
    <row r="73">
      <c r="A73" s="2" t="inlineStr">
        <is>
          <t xml:space="preserve">      ✅ OK: Interface ID 'RFSH0203' có tồn tại trong tên file Excel.</t>
        </is>
      </c>
    </row>
    <row r="74">
      <c r="A74" t="inlineStr">
        <is>
          <t xml:space="preserve">  - [Ảnh Status Panel]: Tìm thấy giờ bắt đầu là 16:51:07</t>
        </is>
      </c>
    </row>
    <row r="75">
      <c r="A75" s="2" t="inlineStr">
        <is>
          <t xml:space="preserve">      ✅ OK: Thời gian log (16:51:07) &gt;= Thời gian ảnh (16:51:07)</t>
        </is>
      </c>
    </row>
    <row r="76">
      <c r="A76" s="2" t="inlineStr">
        <is>
          <t xml:space="preserve">      ✅ OK: Duration Log Main (221ms) &lt; Duration Ảnh (414ms)</t>
        </is>
      </c>
    </row>
    <row r="77">
      <c r="A77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78">
      <c r="A78" s="2" t="inlineStr">
        <is>
          <t xml:space="preserve">      ✅ OK: Jobnet ID 'P1J0203@10203' khớp với dữ liệu trong Log.</t>
        </is>
      </c>
    </row>
    <row r="79">
      <c r="A79" t="inlineStr">
        <is>
          <t xml:space="preserve">  - [Kiểm tra File]: Log text báo có tạo ra file 'RFSH0203_output.tsv'.</t>
        </is>
      </c>
    </row>
    <row r="80">
      <c r="A80" s="2" t="inlineStr">
        <is>
          <t xml:space="preserve">      ✅ OK: Tên file trong ảnh File Explorer (RFSH0203_output.tsv) KHỚP với tên file trong Log text.</t>
        </is>
      </c>
    </row>
    <row r="81">
      <c r="A81" t="inlineStr">
        <is>
          <t xml:space="preserve">  - [Ảnh File Explorer]: Tìm thấy file 'RFSH0203_output.tsv' có Date modified là '2026/05/18 16:51'</t>
        </is>
      </c>
    </row>
    <row r="82">
      <c r="A82" s="2" t="inlineStr">
        <is>
          <t xml:space="preserve">      ✅ OK: Thời gian xuất file 'RFSH0203_output.tsv' (2026/05/18 16:51) KHỚP với log (2026/05/18 16:51).</t>
        </is>
      </c>
    </row>
    <row r="83">
      <c r="A83" t="inlineStr">
        <is>
          <t xml:space="preserve">  - [Đối chiếu Testcase trong Log]:</t>
        </is>
      </c>
    </row>
    <row r="84">
      <c r="A84" t="inlineStr">
        <is>
          <t xml:space="preserve">  - [Đối chiếu テスト計画書兼結果報告書(共通)]: Tìm thấy 1 dòng (21)</t>
        </is>
      </c>
    </row>
    <row r="85">
      <c r="A85" s="2" t="inlineStr">
        <is>
          <t xml:space="preserve">      + Số lần test (Cột K): ✅ Tất cả 1 dòng đều khớp (Lần 3)</t>
        </is>
      </c>
    </row>
    <row r="86">
      <c r="A86" s="2" t="inlineStr">
        <is>
          <t xml:space="preserve">      + Ngày test (Cột I/G): ✅ Khớp ngày (2026/05/18) cho tất cả các dòng có dữ liệu</t>
        </is>
      </c>
    </row>
    <row r="87">
      <c r="A87" t="inlineStr"/>
    </row>
    <row r="88">
      <c r="A88" s="1" t="inlineStr">
        <is>
          <t>[Nhóm Test]: ■4回目 異常系・すでにファイルが存在する場合</t>
        </is>
      </c>
    </row>
    <row r="89">
      <c r="A89" t="inlineStr">
        <is>
          <t xml:space="preserve">  - Tổng số dòng log: 55</t>
        </is>
      </c>
    </row>
    <row r="90">
      <c r="A90" s="2" t="inlineStr">
        <is>
          <t xml:space="preserve">  - Trạng thái Sort (行): ✅ Đã sắp xếp tăng dần hợp lệ.</t>
        </is>
      </c>
    </row>
    <row r="91">
      <c r="A91" t="inlineStr">
        <is>
          <t xml:space="preserve">  - Ngày chạy log: 2026/05/18</t>
        </is>
      </c>
    </row>
    <row r="92">
      <c r="A92" t="inlineStr">
        <is>
          <t xml:space="preserve">  - [Ảnh Status Panel]: Tìm thấy Jobnet ID: ''</t>
        </is>
      </c>
    </row>
    <row r="93">
      <c r="A93" t="inlineStr">
        <is>
          <t xml:space="preserve">  - [Ảnh Status Panel]: Tìm thấy Interface ID: ''</t>
        </is>
      </c>
    </row>
    <row r="94">
      <c r="A94" s="3" t="inlineStr">
        <is>
          <t xml:space="preserve">      ⚠️ Interface ID là chuỗi rỗng nên bỏ qua kiểm tra với tên file.</t>
        </is>
      </c>
    </row>
    <row r="95">
      <c r="A95" t="inlineStr">
        <is>
          <t xml:space="preserve">  - [Ảnh Status Panel]: Tìm thấy giờ bắt đầu là 16:55:07</t>
        </is>
      </c>
    </row>
    <row r="96">
      <c r="A96" s="2" t="inlineStr">
        <is>
          <t xml:space="preserve">      ✅ OK: Thời gian log (16:55:07) &gt;= Thời gian ảnh (16:55:07)</t>
        </is>
      </c>
    </row>
    <row r="97">
      <c r="A97" s="2" t="inlineStr">
        <is>
          <t xml:space="preserve">      ✅ OK: Duration Log Main (328ms) &lt; Duration Ảnh (687ms)</t>
        </is>
      </c>
    </row>
    <row r="98">
      <c r="A98" t="inlineStr">
        <is>
          <t xml:space="preserve">  - [Ảnh Log Viewer]: Tìm thấy thời gian kết thúc trong ảnh log là '16:55:08'</t>
        </is>
      </c>
    </row>
    <row r="99">
      <c r="A99" s="2" t="inlineStr">
        <is>
          <t xml:space="preserve">      ✅ OK: Giờ kết thúc trong ảnh Log (16:55:08) KHỚP với log text (16:55:08).</t>
        </is>
      </c>
    </row>
    <row r="100">
      <c r="A100" s="2" t="inlineStr">
        <is>
          <t xml:space="preserve">      ✅ OK: Giờ ảnh Log (16:55:08) &gt;= Giờ bắt đầu (16:55:07).</t>
        </is>
      </c>
    </row>
    <row r="101">
      <c r="A101" s="4" t="inlineStr">
        <is>
          <t xml:space="preserve">      ❌ LỖI: Jobnet ID trong ảnh là '', nhưng trong Log là 'P1J0203'.</t>
        </is>
      </c>
    </row>
    <row r="102">
      <c r="A102" t="inlineStr">
        <is>
          <t xml:space="preserve">  - [Đối chiếu Testcase trong Log]:</t>
        </is>
      </c>
    </row>
    <row r="103">
      <c r="A103" t="inlineStr">
        <is>
          <t xml:space="preserve">  - [Đối chiếu テスト計画書兼結果報告書(共通)]: Tìm thấy 1 dòng (22)</t>
        </is>
      </c>
    </row>
    <row r="104">
      <c r="A104" s="2" t="inlineStr">
        <is>
          <t xml:space="preserve">      + Số lần test (Cột K): ✅ Tất cả 1 dòng đều khớp (Lần 4)</t>
        </is>
      </c>
    </row>
    <row r="105">
      <c r="A105" s="2" t="inlineStr">
        <is>
          <t xml:space="preserve">      + Ngày test (Cột I/G): ✅ Khớp ngày (2026/05/18) cho tất cả các dòng có dữ liệu</t>
        </is>
      </c>
    </row>
    <row r="106">
      <c r="A106" t="inlineStr"/>
    </row>
    <row r="107">
      <c r="A107" s="1" t="inlineStr">
        <is>
          <t>[Nhóm Test]: ■5回目 正常系・0byteファイル</t>
        </is>
      </c>
    </row>
    <row r="108">
      <c r="A108" t="inlineStr">
        <is>
          <t xml:space="preserve">  - Tổng số dòng log: 61</t>
        </is>
      </c>
    </row>
    <row r="109">
      <c r="A109" s="2" t="inlineStr">
        <is>
          <t xml:space="preserve">  - Trạng thái Sort (行): ✅ Đã sắp xếp tăng dần hợp lệ.</t>
        </is>
      </c>
    </row>
    <row r="110">
      <c r="A110" t="inlineStr">
        <is>
          <t xml:space="preserve">  - Ngày chạy log: 2026/05/18</t>
        </is>
      </c>
    </row>
    <row r="111">
      <c r="A111" t="inlineStr">
        <is>
          <t xml:space="preserve">  - [Ảnh Status Panel]: Tìm thấy Jobnet ID: 'P1J0203@10203'</t>
        </is>
      </c>
    </row>
    <row r="112">
      <c r="A112" t="inlineStr">
        <is>
          <t xml:space="preserve">  - [Ảnh Status Panel]: Tìm thấy Interface ID: 'RFSH0203'</t>
        </is>
      </c>
    </row>
    <row r="113">
      <c r="A113" s="2" t="inlineStr">
        <is>
          <t xml:space="preserve">      ✅ OK: Interface ID 'RFSH0203' có tồn tại trong tên file Excel.</t>
        </is>
      </c>
    </row>
    <row r="114">
      <c r="A114" t="inlineStr">
        <is>
          <t xml:space="preserve">  - [Ảnh Status Panel]: Tìm thấy giờ bắt đầu là 16:59:45</t>
        </is>
      </c>
    </row>
    <row r="115">
      <c r="A115" s="2" t="inlineStr">
        <is>
          <t xml:space="preserve">      ✅ OK: Thời gian log (16:59:45) &gt;= Thời gian ảnh (16:59:45)</t>
        </is>
      </c>
    </row>
    <row r="116">
      <c r="A116" s="2" t="inlineStr">
        <is>
          <t xml:space="preserve">      ✅ OK: Duration Log Main (182ms) &lt; Duration Ảnh (383ms)</t>
        </is>
      </c>
    </row>
    <row r="117">
      <c r="A117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18">
      <c r="A118" s="2" t="inlineStr">
        <is>
          <t xml:space="preserve">      ✅ OK: Jobnet ID 'P1J0203@10203' khớp với dữ liệu trong Log.</t>
        </is>
      </c>
    </row>
    <row r="119">
      <c r="A119" t="inlineStr">
        <is>
          <t xml:space="preserve">  - [Kiểm tra File]: Log text báo có tạo ra file 'RFSH0203_output.tsv'.</t>
        </is>
      </c>
    </row>
    <row r="120">
      <c r="A120" s="4" t="inlineStr">
        <is>
          <t xml:space="preserve">      ❌ LỖI: Log báo có tạo file nhưng không tìm thấy ảnh chụp File Explorer chứa file này!</t>
        </is>
      </c>
    </row>
    <row r="121">
      <c r="A121" t="inlineStr">
        <is>
          <t xml:space="preserve">  - [Đối chiếu Testcase trong Log]:</t>
        </is>
      </c>
    </row>
    <row r="122">
      <c r="A122" t="inlineStr">
        <is>
          <t xml:space="preserve">  - [Đối chiếu テスト計画書兼結果報告書(共通)]: Tìm thấy 2 dòng (26, 46)</t>
        </is>
      </c>
    </row>
    <row r="123">
      <c r="A123" s="2" t="inlineStr">
        <is>
          <t xml:space="preserve">      + Số lần test (Cột K): ✅ Tất cả 2 dòng đều khớp (Lần 5)</t>
        </is>
      </c>
    </row>
    <row r="124">
      <c r="A124" s="2" t="inlineStr">
        <is>
          <t xml:space="preserve">      + Ngày test (Cột I/G): ✅ Khớp ngày (2026/05/18) cho tất cả các dòng có dữ liệu</t>
        </is>
      </c>
    </row>
    <row r="125">
      <c r="A125" t="inlineStr"/>
    </row>
    <row r="126">
      <c r="A126" s="1" t="inlineStr">
        <is>
          <t>[Nhóm Test]: ■6回目 正常系・データ行1000行</t>
        </is>
      </c>
    </row>
    <row r="127">
      <c r="A127" t="inlineStr">
        <is>
          <t xml:space="preserve">  - Tổng số dòng log: 65</t>
        </is>
      </c>
    </row>
    <row r="128">
      <c r="A128" s="2" t="inlineStr">
        <is>
          <t xml:space="preserve">  - Trạng thái Sort (行): ✅ Đã sắp xếp tăng dần hợp lệ.</t>
        </is>
      </c>
    </row>
    <row r="129">
      <c r="A129" t="inlineStr">
        <is>
          <t xml:space="preserve">  - Ngày chạy log: 2026/05/18</t>
        </is>
      </c>
    </row>
    <row r="130">
      <c r="A130" t="inlineStr">
        <is>
          <t xml:space="preserve">  - [Ảnh Status Panel]: Tìm thấy Jobnet ID: 'P1J0203@10203'</t>
        </is>
      </c>
    </row>
    <row r="131">
      <c r="A131" t="inlineStr">
        <is>
          <t xml:space="preserve">  - [Ảnh Status Panel]: Tìm thấy Interface ID: 'RFSH0203'</t>
        </is>
      </c>
    </row>
    <row r="132">
      <c r="A132" s="2" t="inlineStr">
        <is>
          <t xml:space="preserve">      ✅ OK: Interface ID 'RFSH0203' có tồn tại trong tên file Excel.</t>
        </is>
      </c>
    </row>
    <row r="133">
      <c r="A133" t="inlineStr">
        <is>
          <t xml:space="preserve">  - [Ảnh Status Panel]: Tìm thấy giờ bắt đầu là 17:02:36</t>
        </is>
      </c>
    </row>
    <row r="134">
      <c r="A134" s="2" t="inlineStr">
        <is>
          <t xml:space="preserve">      ✅ OK: Thời gian log (17:02:36) &gt;= Thời gian ảnh (17:02:36)</t>
        </is>
      </c>
    </row>
    <row r="135">
      <c r="A135" s="2" t="inlineStr">
        <is>
          <t xml:space="preserve">      ✅ OK: Duration Log Main (276ms) &lt; Duration Ảnh (477ms)</t>
        </is>
      </c>
    </row>
    <row r="136">
      <c r="A136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37">
      <c r="A137" s="2" t="inlineStr">
        <is>
          <t xml:space="preserve">      ✅ OK: Jobnet ID 'P1J0203@10203' khớp với dữ liệu trong Log.</t>
        </is>
      </c>
    </row>
    <row r="138">
      <c r="A138" t="inlineStr">
        <is>
          <t xml:space="preserve">  - [Kiểm tra File]: Log text báo có tạo ra file 'RFSH0203_output.tsv'.</t>
        </is>
      </c>
    </row>
    <row r="139">
      <c r="A139" s="2" t="inlineStr">
        <is>
          <t xml:space="preserve">      ✅ OK: Tên file trong ảnh File Explorer (RFSH0203_output.tsv) KHỚP với tên file trong Log text.</t>
        </is>
      </c>
    </row>
    <row r="140">
      <c r="A140" t="inlineStr">
        <is>
          <t xml:space="preserve">  - [Ảnh File Explorer]: Tìm thấy file 'RFSH0203_output.tsv' có Date modified là '2026/05/18 17:02'</t>
        </is>
      </c>
    </row>
    <row r="141">
      <c r="A141" s="2" t="inlineStr">
        <is>
          <t xml:space="preserve">      ✅ OK: Thời gian xuất file 'RFSH0203_output.tsv' (2026/05/18 17:02) KHỚP với log (2026/05/18 17:02).</t>
        </is>
      </c>
    </row>
    <row r="142">
      <c r="A142" t="inlineStr">
        <is>
          <t xml:space="preserve">  - [Đối chiếu Testcase trong Log]:</t>
        </is>
      </c>
    </row>
    <row r="143">
      <c r="A143" t="inlineStr">
        <is>
          <t xml:space="preserve">  - [Đối chiếu テスト計画書兼結果報告書(共通)]: Tìm thấy 1 dòng (29)</t>
        </is>
      </c>
    </row>
    <row r="144">
      <c r="A144" s="2" t="inlineStr">
        <is>
          <t xml:space="preserve">      + Số lần test (Cột K): ✅ Tất cả 1 dòng đều khớp (Lần 6)</t>
        </is>
      </c>
    </row>
    <row r="145">
      <c r="A145" s="2" t="inlineStr">
        <is>
          <t xml:space="preserve">      + Ngày test (Cột I/G): ✅ Khớp ngày (2026/05/18) cho tất cả các dòng có dữ liệu</t>
        </is>
      </c>
    </row>
    <row r="146">
      <c r="A146" t="inlineStr"/>
    </row>
    <row r="147">
      <c r="A147" s="1" t="inlineStr">
        <is>
          <t>[Nhóm Test]: ■7回目 正常系・データ行1000行以上</t>
        </is>
      </c>
    </row>
    <row r="148">
      <c r="A148" t="inlineStr">
        <is>
          <t xml:space="preserve">  - Tổng số dòng log: 77</t>
        </is>
      </c>
    </row>
    <row r="149">
      <c r="A149" s="2" t="inlineStr">
        <is>
          <t xml:space="preserve">  - Trạng thái Sort (行): ✅ Đã sắp xếp tăng dần hợp lệ.</t>
        </is>
      </c>
    </row>
    <row r="150">
      <c r="A150" t="inlineStr">
        <is>
          <t xml:space="preserve">  - Ngày chạy log: 2026/05/18</t>
        </is>
      </c>
    </row>
    <row r="151">
      <c r="A151" t="inlineStr">
        <is>
          <t xml:space="preserve">  - [Ảnh Status Panel]: Tìm thấy Jobnet ID: 'P1J0203@10203'</t>
        </is>
      </c>
    </row>
    <row r="152">
      <c r="A152" t="inlineStr">
        <is>
          <t xml:space="preserve">  - [Ảnh Status Panel]: Tìm thấy Interface ID: 'RFSH0203'</t>
        </is>
      </c>
    </row>
    <row r="153">
      <c r="A153" s="2" t="inlineStr">
        <is>
          <t xml:space="preserve">      ✅ OK: Interface ID 'RFSH0203' có tồn tại trong tên file Excel.</t>
        </is>
      </c>
    </row>
    <row r="154">
      <c r="A154" t="inlineStr">
        <is>
          <t xml:space="preserve">  - [Ảnh Status Panel]: Tìm thấy giờ bắt đầu là 17:05:01</t>
        </is>
      </c>
    </row>
    <row r="155">
      <c r="A155" s="2" t="inlineStr">
        <is>
          <t xml:space="preserve">      ✅ OK: Thời gian log (17:05:02) &gt;= Thời gian ảnh (17:05:01)</t>
        </is>
      </c>
    </row>
    <row r="156">
      <c r="A156" s="2" t="inlineStr">
        <is>
          <t xml:space="preserve">      ✅ OK: Duration Log Main (284ms) &lt; Duration Ảnh (493ms)</t>
        </is>
      </c>
    </row>
    <row r="157">
      <c r="A157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58">
      <c r="A158" s="2" t="inlineStr">
        <is>
          <t xml:space="preserve">      ✅ OK: Jobnet ID 'P1J0203@10203' khớp với dữ liệu trong Log.</t>
        </is>
      </c>
    </row>
    <row r="159">
      <c r="A159" t="inlineStr">
        <is>
          <t xml:space="preserve">  - [Kiểm tra File]: Log text báo có tạo ra file 'RFSH0203_output.tsv'.</t>
        </is>
      </c>
    </row>
    <row r="160">
      <c r="A160" s="2" t="inlineStr">
        <is>
          <t xml:space="preserve">      ✅ OK: Tên file trong ảnh File Explorer (RFSH0203_output.tsv) KHỚP với tên file trong Log text.</t>
        </is>
      </c>
    </row>
    <row r="161">
      <c r="A161" t="inlineStr">
        <is>
          <t xml:space="preserve">  - [Ảnh File Explorer]: Tìm thấy file 'RFSH0203_output.tsv' có Date modified là '2026/05/18 17:05'</t>
        </is>
      </c>
    </row>
    <row r="162">
      <c r="A162" s="2" t="inlineStr">
        <is>
          <t xml:space="preserve">      ✅ OK: Thời gian xuất file 'RFSH0203_output.tsv' (2026/05/18 17:05) KHỚP với log (2026/05/18 17:05).</t>
        </is>
      </c>
    </row>
    <row r="163">
      <c r="A163" t="inlineStr">
        <is>
          <t xml:space="preserve">  - [Đối chiếu Testcase trong Log]:</t>
        </is>
      </c>
    </row>
    <row r="164">
      <c r="A164" t="inlineStr">
        <is>
          <t xml:space="preserve">  - [Đối chiếu テスト計画書兼結果報告書(共通)]: Tìm thấy 2 dòng (30, 35)</t>
        </is>
      </c>
    </row>
    <row r="165">
      <c r="A165" s="2" t="inlineStr">
        <is>
          <t xml:space="preserve">      + Số lần test (Cột K): ✅ Tất cả 2 dòng đều khớp (Lần 7)</t>
        </is>
      </c>
    </row>
    <row r="166">
      <c r="A166" s="2" t="inlineStr">
        <is>
          <t xml:space="preserve">      + Ngày test (Cột I/G): ✅ Khớp ngày (2026/05/18) cho tất cả các dòng có dữ liệu</t>
        </is>
      </c>
    </row>
    <row r="167">
      <c r="A167" t="inlineStr"/>
    </row>
    <row r="168">
      <c r="A168" s="1">
        <f>=============== ĐANG PHÂN TÍCH KẾT QUẢ SHEET: エビデンス(個別) ================</f>
        <v/>
      </c>
    </row>
    <row r="169">
      <c r="A169" t="inlineStr"/>
    </row>
    <row r="170">
      <c r="A170" s="1" t="inlineStr">
        <is>
          <t>[Nhóm Test]: ■1回目 正常系・0byteファイル</t>
        </is>
      </c>
    </row>
    <row r="171">
      <c r="A171" t="inlineStr">
        <is>
          <t xml:space="preserve">  - Tổng số dòng log: 61</t>
        </is>
      </c>
    </row>
    <row r="172">
      <c r="A172" s="2" t="inlineStr">
        <is>
          <t xml:space="preserve">  - Trạng thái Sort (行): ✅ Đã sắp xếp tăng dần hợp lệ.</t>
        </is>
      </c>
    </row>
    <row r="173">
      <c r="A173" t="inlineStr">
        <is>
          <t xml:space="preserve">  - Ngày chạy log: 2026/05/18</t>
        </is>
      </c>
    </row>
    <row r="174">
      <c r="A174" t="inlineStr">
        <is>
          <t xml:space="preserve">  - [Ảnh Status Panel]: Tìm thấy Jobnet ID: 'P1J0203@10203'</t>
        </is>
      </c>
    </row>
    <row r="175">
      <c r="A175" t="inlineStr">
        <is>
          <t xml:space="preserve">  - [Ảnh Status Panel]: Tìm thấy Interface ID: 'RFSH0203'</t>
        </is>
      </c>
    </row>
    <row r="176">
      <c r="A176" s="2" t="inlineStr">
        <is>
          <t xml:space="preserve">      ✅ OK: Interface ID 'RFSH0203' có tồn tại trong tên file Excel.</t>
        </is>
      </c>
    </row>
    <row r="177">
      <c r="A177" t="inlineStr">
        <is>
          <t xml:space="preserve">  - [Ảnh Status Panel]: Tìm thấy giờ bắt đầu là 17:10:08</t>
        </is>
      </c>
    </row>
    <row r="178">
      <c r="A178" s="2" t="inlineStr">
        <is>
          <t xml:space="preserve">      ✅ OK: Thời gian log (17:10:08) &gt;= Thời gian ảnh (17:10:08)</t>
        </is>
      </c>
    </row>
    <row r="179">
      <c r="A179" s="2" t="inlineStr">
        <is>
          <t xml:space="preserve">      ✅ OK: Duration Log Main (549ms) &lt; Duration Ảnh (765ms)</t>
        </is>
      </c>
    </row>
    <row r="180">
      <c r="A180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81">
      <c r="A181" s="2" t="inlineStr">
        <is>
          <t xml:space="preserve">      ✅ OK: Jobnet ID 'P1J0203@10203' khớp với dữ liệu trong Log.</t>
        </is>
      </c>
    </row>
    <row r="182">
      <c r="A182" t="inlineStr">
        <is>
          <t xml:space="preserve">  - [Kiểm tra File]: Log text báo có tạo ra file 'RFSH0203_output.tsv'.</t>
        </is>
      </c>
    </row>
    <row r="183">
      <c r="A183" s="2" t="inlineStr">
        <is>
          <t xml:space="preserve">      ✅ OK: Tên file trong ảnh File Explorer (RFSH0203_output.tsv) KHỚP với tên file trong Log text.</t>
        </is>
      </c>
    </row>
    <row r="184">
      <c r="A184" t="inlineStr">
        <is>
          <t xml:space="preserve">  - [Ảnh File Explorer]: Tìm thấy file 'RFSH0203_output.tsv' có Date modified là '2026/05/18 17:10'</t>
        </is>
      </c>
    </row>
    <row r="185">
      <c r="A185" s="2" t="inlineStr">
        <is>
          <t xml:space="preserve">      ✅ OK: Thời gian xuất file 'RFSH0203_output.tsv' (2026/05/18 17:10) KHỚP với log (2026/05/18 17:10).</t>
        </is>
      </c>
    </row>
    <row r="186">
      <c r="A186" t="inlineStr">
        <is>
          <t xml:space="preserve">  - [Đối chiếu Testcase trong Log]:</t>
        </is>
      </c>
    </row>
    <row r="187">
      <c r="A187" t="inlineStr">
        <is>
          <t xml:space="preserve">  - [Đối chiếu テスト計画書兼結果報告書(個別)]: Tìm thấy 1 dòng (6)</t>
        </is>
      </c>
    </row>
    <row r="188">
      <c r="A188" s="2" t="inlineStr">
        <is>
          <t xml:space="preserve">      + Số lần test (Cột K): ✅ Tất cả 1 dòng đều khớp (Lần 1)</t>
        </is>
      </c>
    </row>
    <row r="189">
      <c r="A189" s="2" t="inlineStr">
        <is>
          <t xml:space="preserve">      + Ngày test (Cột I/G): ✅ Khớp ngày (2026/05/18) cho tất cả các dòng có dữ liệu</t>
        </is>
      </c>
    </row>
    <row r="190">
      <c r="A190" t="inlineStr"/>
    </row>
    <row r="191">
      <c r="A191" s="1" t="inlineStr">
        <is>
          <t>[Nhóm Test]: ■2回目 正常系・全項目空データファイル</t>
        </is>
      </c>
    </row>
    <row r="192">
      <c r="A192" t="inlineStr">
        <is>
          <t xml:space="preserve">  - Tổng số dòng log: 65</t>
        </is>
      </c>
    </row>
    <row r="193">
      <c r="A193" s="2" t="inlineStr">
        <is>
          <t xml:space="preserve">  - Trạng thái Sort (行): ✅ Đã sắp xếp tăng dần hợp lệ.</t>
        </is>
      </c>
    </row>
    <row r="194">
      <c r="A194" t="inlineStr">
        <is>
          <t xml:space="preserve">  - Ngày chạy log: 2026/05/18</t>
        </is>
      </c>
    </row>
    <row r="195">
      <c r="A195" t="inlineStr">
        <is>
          <t xml:space="preserve">  - [Ảnh Status Panel]: Tìm thấy Jobnet ID: 'P1J0203@10203'</t>
        </is>
      </c>
    </row>
    <row r="196">
      <c r="A196" t="inlineStr">
        <is>
          <t xml:space="preserve">  - [Ảnh Status Panel]: Tìm thấy Interface ID: 'RFSH0203'</t>
        </is>
      </c>
    </row>
    <row r="197">
      <c r="A197" s="2" t="inlineStr">
        <is>
          <t xml:space="preserve">      ✅ OK: Interface ID 'RFSH0203' có tồn tại trong tên file Excel.</t>
        </is>
      </c>
    </row>
    <row r="198">
      <c r="A198" t="inlineStr">
        <is>
          <t xml:space="preserve">  - [Ảnh Status Panel]: Tìm thấy giờ bắt đầu là 17:11:57</t>
        </is>
      </c>
    </row>
    <row r="199">
      <c r="A199" s="2" t="inlineStr">
        <is>
          <t xml:space="preserve">      ✅ OK: Thời gian log (17:11:57) &gt;= Thời gian ảnh (17:11:57)</t>
        </is>
      </c>
    </row>
    <row r="200">
      <c r="A200" s="2" t="inlineStr">
        <is>
          <t xml:space="preserve">      ✅ OK: Duration Log Main (354ms) &lt; Duration Ảnh (572ms)</t>
        </is>
      </c>
    </row>
    <row r="201">
      <c r="A201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02">
      <c r="A202" s="2" t="inlineStr">
        <is>
          <t xml:space="preserve">      ✅ OK: Jobnet ID 'P1J0203@10203' khớp với dữ liệu trong Log.</t>
        </is>
      </c>
    </row>
    <row r="203">
      <c r="A203" t="inlineStr">
        <is>
          <t xml:space="preserve">  - [Kiểm tra File]: Log text báo có tạo ra file 'RFSH0203_output.tsv'.</t>
        </is>
      </c>
    </row>
    <row r="204">
      <c r="A204" s="2" t="inlineStr">
        <is>
          <t xml:space="preserve">      ✅ OK: Tên file trong ảnh File Explorer (RFSH0203_output.tsv) KHỚP với tên file trong Log text.</t>
        </is>
      </c>
    </row>
    <row r="205">
      <c r="A205" t="inlineStr">
        <is>
          <t xml:space="preserve">  - [Ảnh File Explorer]: Tìm thấy file 'RFSH0203_output.tsv' có Date modified là '2026/05/18 17:11'</t>
        </is>
      </c>
    </row>
    <row r="206">
      <c r="A206" s="2" t="inlineStr">
        <is>
          <t xml:space="preserve">      ✅ OK: Thời gian xuất file 'RFSH0203_output.tsv' (2026/05/18 17:11) KHỚP với log (2026/05/18 17:11).</t>
        </is>
      </c>
    </row>
    <row r="207">
      <c r="A207" t="inlineStr">
        <is>
          <t xml:space="preserve">  - [Đối chiếu Testcase trong Log]:</t>
        </is>
      </c>
    </row>
    <row r="208">
      <c r="A208" t="inlineStr">
        <is>
          <t xml:space="preserve">  - [Đối chiếu テスト計画書兼結果報告書(個別)]: Tìm thấy 1 dòng (8)</t>
        </is>
      </c>
    </row>
    <row r="209">
      <c r="A209" s="2" t="inlineStr">
        <is>
          <t xml:space="preserve">      + Số lần test (Cột K): ✅ Tất cả 1 dòng đều khớp (Lần 2)</t>
        </is>
      </c>
    </row>
    <row r="210">
      <c r="A210" s="2" t="inlineStr">
        <is>
          <t xml:space="preserve">      + Ngày test (Cột I/G): ✅ Khớp ngày (2026/05/18) cho tất cả các dòng có dữ liệu</t>
        </is>
      </c>
    </row>
    <row r="211">
      <c r="A211" t="inlineStr"/>
    </row>
    <row r="212">
      <c r="A212" s="1" t="inlineStr">
        <is>
          <t>[Nhóm Test]: ■3回目 正常系・ファイル定義確認</t>
        </is>
      </c>
    </row>
    <row r="213">
      <c r="A213" t="inlineStr">
        <is>
          <t xml:space="preserve">  - Tổng số dòng log: 65</t>
        </is>
      </c>
    </row>
    <row r="214">
      <c r="A214" s="2" t="inlineStr">
        <is>
          <t xml:space="preserve">  - Trạng thái Sort (行): ✅ Đã sắp xếp tăng dần hợp lệ.</t>
        </is>
      </c>
    </row>
    <row r="215">
      <c r="A215" t="inlineStr">
        <is>
          <t xml:space="preserve">  - Ngày chạy log: 2026/05/18</t>
        </is>
      </c>
    </row>
    <row r="216">
      <c r="A216" t="inlineStr">
        <is>
          <t xml:space="preserve">  - [Ảnh Status Panel]: Tìm thấy Jobnet ID: 'P1J0203@10203'</t>
        </is>
      </c>
    </row>
    <row r="217">
      <c r="A217" t="inlineStr">
        <is>
          <t xml:space="preserve">  - [Ảnh Status Panel]: Tìm thấy Interface ID: 'RFSH0203'</t>
        </is>
      </c>
    </row>
    <row r="218">
      <c r="A218" s="2" t="inlineStr">
        <is>
          <t xml:space="preserve">      ✅ OK: Interface ID 'RFSH0203' có tồn tại trong tên file Excel.</t>
        </is>
      </c>
    </row>
    <row r="219">
      <c r="A219" t="inlineStr">
        <is>
          <t xml:space="preserve">  - [Ảnh Status Panel]: Tìm thấy giờ bắt đầu là 17:14:33</t>
        </is>
      </c>
    </row>
    <row r="220">
      <c r="A220" s="2" t="inlineStr">
        <is>
          <t xml:space="preserve">      ✅ OK: Thời gian log (17:14:34) &gt;= Thời gian ảnh (17:14:33)</t>
        </is>
      </c>
    </row>
    <row r="221">
      <c r="A221" s="2" t="inlineStr">
        <is>
          <t xml:space="preserve">      ✅ OK: Duration Log Main (537ms) &lt; Duration Ảnh (766ms)</t>
        </is>
      </c>
    </row>
    <row r="222">
      <c r="A222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23">
      <c r="A223" s="2" t="inlineStr">
        <is>
          <t xml:space="preserve">      ✅ OK: Jobnet ID 'P1J0203@10203' khớp với dữ liệu trong Log.</t>
        </is>
      </c>
    </row>
    <row r="224">
      <c r="A224" t="inlineStr">
        <is>
          <t xml:space="preserve">  - [Kiểm tra File]: Log text báo có tạo ra file 'RFSH0203_output.tsv'.</t>
        </is>
      </c>
    </row>
    <row r="225">
      <c r="A225" s="2" t="inlineStr">
        <is>
          <t xml:space="preserve">      ✅ OK: Tên file trong ảnh File Explorer (RFSH0203_output.tsv) KHỚP với tên file trong Log text.</t>
        </is>
      </c>
    </row>
    <row r="226">
      <c r="A226" t="inlineStr">
        <is>
          <t xml:space="preserve">  - [Ảnh File Explorer]: Tìm thấy file 'RFSH0203_output.tsv' có Date modified là '2026/05/18 17:14'</t>
        </is>
      </c>
    </row>
    <row r="227">
      <c r="A227" s="2" t="inlineStr">
        <is>
          <t xml:space="preserve">      ✅ OK: Thời gian xuất file 'RFSH0203_output.tsv' (2026/05/18 17:14) KHỚP với log (2026/05/18 17:14).</t>
        </is>
      </c>
    </row>
    <row r="228">
      <c r="A228" t="inlineStr">
        <is>
          <t xml:space="preserve">  - [Đối chiếu Testcase trong Log]:</t>
        </is>
      </c>
    </row>
    <row r="229">
      <c r="A229" t="inlineStr">
        <is>
          <t xml:space="preserve">  - [Đối chiếu テスト計画書兼結果報告書(個別)]: Tìm thấy 12 dòng (18, 19, 20, 21, 22, 23, 25, 26, 27, 28, 29, 30)</t>
        </is>
      </c>
    </row>
    <row r="230">
      <c r="A230" s="2" t="inlineStr">
        <is>
          <t xml:space="preserve">      + Số lần test (Cột K): ✅ Tất cả 12 dòng đều khớp (Lần 3)</t>
        </is>
      </c>
    </row>
    <row r="231">
      <c r="A231" s="2" t="inlineStr">
        <is>
          <t xml:space="preserve">      + Ngày test (Cột I/G): ✅ Khớp ngày (2026/05/18) cho tất cả các dòng có dữ liệu</t>
        </is>
      </c>
    </row>
    <row r="232">
      <c r="A232" t="inlineStr"/>
    </row>
    <row r="233">
      <c r="A233" s="1" t="inlineStr">
        <is>
          <t>[Nhóm Test]: 4回目正常系・列分割→行変換確認（明細0件）</t>
        </is>
      </c>
    </row>
    <row r="234">
      <c r="A234" t="inlineStr">
        <is>
          <t xml:space="preserve">  - Tổng số dòng log: 65</t>
        </is>
      </c>
    </row>
    <row r="235">
      <c r="A235" s="2" t="inlineStr">
        <is>
          <t xml:space="preserve">  - Trạng thái Sort (行): ✅ Đã sắp xếp tăng dần hợp lệ.</t>
        </is>
      </c>
    </row>
    <row r="236">
      <c r="A236" t="inlineStr">
        <is>
          <t xml:space="preserve">  - Ngày chạy log: 2026/05/18</t>
        </is>
      </c>
    </row>
    <row r="237">
      <c r="A237" t="inlineStr">
        <is>
          <t xml:space="preserve">  - [Ảnh Status Panel]: Tìm thấy Jobnet ID: 'P1J0203@10203'</t>
        </is>
      </c>
    </row>
    <row r="238">
      <c r="A238" t="inlineStr">
        <is>
          <t xml:space="preserve">  - [Ảnh Status Panel]: Tìm thấy Interface ID: 'RFSH0203'</t>
        </is>
      </c>
    </row>
    <row r="239">
      <c r="A239" s="2" t="inlineStr">
        <is>
          <t xml:space="preserve">      ✅ OK: Interface ID 'RFSH0203' có tồn tại trong tên file Excel.</t>
        </is>
      </c>
    </row>
    <row r="240">
      <c r="A240" t="inlineStr">
        <is>
          <t xml:space="preserve">  - [Ảnh Status Panel]: Tìm thấy giờ bắt đầu là 17:17:04</t>
        </is>
      </c>
    </row>
    <row r="241">
      <c r="A241" s="2" t="inlineStr">
        <is>
          <t xml:space="preserve">      ✅ OK: Thời gian log (17:17:04) &gt;= Thời gian ảnh (17:17:04)</t>
        </is>
      </c>
    </row>
    <row r="242">
      <c r="A242" s="2" t="inlineStr">
        <is>
          <t xml:space="preserve">      ✅ OK: Duration Log Main (187ms) &lt; Duration Ảnh (399ms)</t>
        </is>
      </c>
    </row>
    <row r="243">
      <c r="A243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44">
      <c r="A244" s="2" t="inlineStr">
        <is>
          <t xml:space="preserve">      ✅ OK: Jobnet ID 'P1J0203@10203' khớp với dữ liệu trong Log.</t>
        </is>
      </c>
    </row>
    <row r="245">
      <c r="A245" t="inlineStr">
        <is>
          <t xml:space="preserve">  - [Kiểm tra File]: Log text báo có tạo ra file 'RFSH0203_output.tsv'.</t>
        </is>
      </c>
    </row>
    <row r="246">
      <c r="A246" s="4" t="inlineStr">
        <is>
          <t xml:space="preserve">      ❌ LỖI: Log báo có tạo file nhưng không tìm thấy ảnh chụp File Explorer chứa file này!</t>
        </is>
      </c>
    </row>
    <row r="247">
      <c r="A247" t="inlineStr">
        <is>
          <t xml:space="preserve">  - [Đối chiếu Testcase trong Log]:</t>
        </is>
      </c>
    </row>
    <row r="248">
      <c r="A248" t="inlineStr">
        <is>
          <t xml:space="preserve">  - [Đối chiếu テスト計画書兼結果報告書(個別)]: Tìm thấy 1 dòng (11)</t>
        </is>
      </c>
    </row>
    <row r="249">
      <c r="A249" s="2" t="inlineStr">
        <is>
          <t xml:space="preserve">      + Số lần test (Cột K): ✅ Tất cả 1 dòng đều khớp (Lần 4)</t>
        </is>
      </c>
    </row>
    <row r="250">
      <c r="A250" s="2" t="inlineStr">
        <is>
          <t xml:space="preserve">      + Ngày test (Cột I/G): ✅ Khớp ngày (2026/05/18) cho tất cả các dòng có dữ liệu</t>
        </is>
      </c>
    </row>
    <row r="251">
      <c r="A251" t="inlineStr"/>
    </row>
    <row r="252">
      <c r="A252" s="1" t="inlineStr">
        <is>
          <t>[Nhóm Test]: 5回目正常系・列分割→行変換確認（明細1件）</t>
        </is>
      </c>
    </row>
    <row r="253">
      <c r="A253" t="inlineStr">
        <is>
          <t xml:space="preserve">  - Tổng số dòng log: 65</t>
        </is>
      </c>
    </row>
    <row r="254">
      <c r="A254" s="2" t="inlineStr">
        <is>
          <t xml:space="preserve">  - Trạng thái Sort (行): ✅ Đã sắp xếp tăng dần hợp lệ.</t>
        </is>
      </c>
    </row>
    <row r="255">
      <c r="A255" t="inlineStr">
        <is>
          <t xml:space="preserve">  - Ngày chạy log: 2026/05/18</t>
        </is>
      </c>
    </row>
    <row r="256">
      <c r="A256" t="inlineStr">
        <is>
          <t xml:space="preserve">  - [Ảnh Status Panel]: Tìm thấy Jobnet ID: 'P1J0203@10203'</t>
        </is>
      </c>
    </row>
    <row r="257">
      <c r="A257" t="inlineStr">
        <is>
          <t xml:space="preserve">  - [Ảnh Status Panel]: Tìm thấy Interface ID: 'RFSH0203'</t>
        </is>
      </c>
    </row>
    <row r="258">
      <c r="A258" s="2" t="inlineStr">
        <is>
          <t xml:space="preserve">      ✅ OK: Interface ID 'RFSH0203' có tồn tại trong tên file Excel.</t>
        </is>
      </c>
    </row>
    <row r="259">
      <c r="A259" t="inlineStr">
        <is>
          <t xml:space="preserve">  - [Ảnh Status Panel]: Tìm thấy giờ bắt đầu là 17:19:34</t>
        </is>
      </c>
    </row>
    <row r="260">
      <c r="A260" s="2" t="inlineStr">
        <is>
          <t xml:space="preserve">      ✅ OK: Thời gian log (17:19:34) &gt;= Thời gian ảnh (17:19:34)</t>
        </is>
      </c>
    </row>
    <row r="261">
      <c r="A261" s="2" t="inlineStr">
        <is>
          <t xml:space="preserve">      ✅ OK: Duration Log Main (204ms) &lt; Duration Ảnh (445ms)</t>
        </is>
      </c>
    </row>
    <row r="262">
      <c r="A262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63">
      <c r="A263" s="2" t="inlineStr">
        <is>
          <t xml:space="preserve">      ✅ OK: Jobnet ID 'P1J0203@10203' khớp với dữ liệu trong Log.</t>
        </is>
      </c>
    </row>
    <row r="264">
      <c r="A264" t="inlineStr">
        <is>
          <t xml:space="preserve">  - [Kiểm tra File]: Log text báo có tạo ra file 'RFSH0203_output.tsv'.</t>
        </is>
      </c>
    </row>
    <row r="265">
      <c r="A265" s="2" t="inlineStr">
        <is>
          <t xml:space="preserve">      ✅ OK: Tên file trong ảnh File Explorer (RFSH0203_output.tsv) KHỚP với tên file trong Log text.</t>
        </is>
      </c>
    </row>
    <row r="266">
      <c r="A266" t="inlineStr">
        <is>
          <t xml:space="preserve">  - [Ảnh File Explorer]: Tìm thấy file 'RFSH0203_output.tsv' có Date modified là '2026/05/18 17:19'</t>
        </is>
      </c>
    </row>
    <row r="267">
      <c r="A267" s="2" t="inlineStr">
        <is>
          <t xml:space="preserve">      ✅ OK: Thời gian xuất file 'RFSH0203_output.tsv' (2026/05/18 17:19) KHỚP với log (2026/05/18 17:19).</t>
        </is>
      </c>
    </row>
    <row r="268">
      <c r="A268" t="inlineStr">
        <is>
          <t xml:space="preserve">  - [Đối chiếu Testcase trong Log]:</t>
        </is>
      </c>
    </row>
    <row r="269">
      <c r="A269" t="inlineStr">
        <is>
          <t xml:space="preserve">  - [Đối chiếu テスト計画書兼結果報告書(個別)]: Tìm thấy 1 dòng (12)</t>
        </is>
      </c>
    </row>
    <row r="270">
      <c r="A270" s="2" t="inlineStr">
        <is>
          <t xml:space="preserve">      + Số lần test (Cột K): ✅ Tất cả 1 dòng đều khớp (Lần 5)</t>
        </is>
      </c>
    </row>
    <row r="271">
      <c r="A271" s="2" t="inlineStr">
        <is>
          <t xml:space="preserve">      + Ngày test (Cột I/G): ✅ Khớp ngày (2026/05/18) cho tất cả các dòng có dữ liệu</t>
        </is>
      </c>
    </row>
    <row r="272">
      <c r="A272" t="inlineStr"/>
    </row>
    <row r="273">
      <c r="A273" s="1" t="inlineStr">
        <is>
          <t>[Nhóm Test]: 6回目正常系・列分割→行変換確認（明細8件）</t>
        </is>
      </c>
    </row>
    <row r="274">
      <c r="A274" t="inlineStr">
        <is>
          <t xml:space="preserve">  - Tổng số dòng log: 65</t>
        </is>
      </c>
    </row>
    <row r="275">
      <c r="A275" s="2" t="inlineStr">
        <is>
          <t xml:space="preserve">  - Trạng thái Sort (行): ✅ Đã sắp xếp tăng dần hợp lệ.</t>
        </is>
      </c>
    </row>
    <row r="276">
      <c r="A276" t="inlineStr">
        <is>
          <t xml:space="preserve">  - Ngày chạy log: 2026/05/18</t>
        </is>
      </c>
    </row>
    <row r="277">
      <c r="A277" t="inlineStr">
        <is>
          <t xml:space="preserve">  - [Ảnh Status Panel]: Tìm thấy Jobnet ID: 'P1J0203@10203'</t>
        </is>
      </c>
    </row>
    <row r="278">
      <c r="A278" t="inlineStr">
        <is>
          <t xml:space="preserve">  - [Ảnh Status Panel]: Tìm thấy Interface ID: 'RFSH0203'</t>
        </is>
      </c>
    </row>
    <row r="279">
      <c r="A279" s="2" t="inlineStr">
        <is>
          <t xml:space="preserve">      ✅ OK: Interface ID 'RFSH0203' có tồn tại trong tên file Excel.</t>
        </is>
      </c>
    </row>
    <row r="280">
      <c r="A280" t="inlineStr">
        <is>
          <t xml:space="preserve">  - [Ảnh Status Panel]: Tìm thấy giờ bắt đầu là 17:37:21</t>
        </is>
      </c>
    </row>
    <row r="281">
      <c r="A281" s="2" t="inlineStr">
        <is>
          <t xml:space="preserve">      ✅ OK: Thời gian log (17:37:21) &gt;= Thời gian ảnh (17:37:21)</t>
        </is>
      </c>
    </row>
    <row r="282">
      <c r="A282" s="2" t="inlineStr">
        <is>
          <t xml:space="preserve">      ✅ OK: Duration Log Main (208ms) &lt; Duration Ảnh (415ms)</t>
        </is>
      </c>
    </row>
    <row r="283">
      <c r="A283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84">
      <c r="A284" s="2" t="inlineStr">
        <is>
          <t xml:space="preserve">      ✅ OK: Jobnet ID 'P1J0203@10203' khớp với dữ liệu trong Log.</t>
        </is>
      </c>
    </row>
    <row r="285">
      <c r="A285" t="inlineStr">
        <is>
          <t xml:space="preserve">  - [Kiểm tra File]: Log text báo có tạo ra file 'RFSH0203_output.tsv'.</t>
        </is>
      </c>
    </row>
    <row r="286">
      <c r="A286" s="2" t="inlineStr">
        <is>
          <t xml:space="preserve">      ✅ OK: Tên file trong ảnh File Explorer (RFSH0203_output.tsv) KHỚP với tên file trong Log text.</t>
        </is>
      </c>
    </row>
    <row r="287">
      <c r="A287" t="inlineStr">
        <is>
          <t xml:space="preserve">  - [Ảnh File Explorer]: Tìm thấy file 'RFSH0203_output.tsv' có Date modified là '2026/05/18 17:37'</t>
        </is>
      </c>
    </row>
    <row r="288">
      <c r="A288" s="2" t="inlineStr">
        <is>
          <t xml:space="preserve">      ✅ OK: Thời gian xuất file 'RFSH0203_output.tsv' (2026/05/18 17:37) KHỚP với log (2026/05/18 17:37).</t>
        </is>
      </c>
    </row>
    <row r="289">
      <c r="A289" t="inlineStr">
        <is>
          <t xml:space="preserve">  - [Đối chiếu Testcase trong Log]:</t>
        </is>
      </c>
    </row>
    <row r="290">
      <c r="A290" t="inlineStr">
        <is>
          <t xml:space="preserve">  - [Đối chiếu テスト計画書兼結果報告書(個別)]: Tìm thấy 1 dòng (13)</t>
        </is>
      </c>
    </row>
    <row r="291">
      <c r="A291" s="2" t="inlineStr">
        <is>
          <t xml:space="preserve">      + Số lần test (Cột K): ✅ Tất cả 1 dòng đều khớp (Lần 6)</t>
        </is>
      </c>
    </row>
    <row r="292">
      <c r="A292" s="2" t="inlineStr">
        <is>
          <t xml:space="preserve">      + Ngày test (Cột I/G): ✅ Khớp ngày (2026/05/18) cho tất cả các dòng có dữ liệu</t>
        </is>
      </c>
    </row>
    <row r="293">
      <c r="A293" t="inlineStr"/>
    </row>
    <row r="294">
      <c r="A294" s="1" t="inlineStr">
        <is>
          <t>[Nhóm Test]: 7回目正常系・列分割→行変換確認（明細4件）</t>
        </is>
      </c>
    </row>
    <row r="295">
      <c r="A295" t="inlineStr">
        <is>
          <t xml:space="preserve">  - Tổng số dòng log: 65</t>
        </is>
      </c>
    </row>
    <row r="296">
      <c r="A296" s="2" t="inlineStr">
        <is>
          <t xml:space="preserve">  - Trạng thái Sort (行): ✅ Đã sắp xếp tăng dần hợp lệ.</t>
        </is>
      </c>
    </row>
    <row r="297">
      <c r="A297" t="inlineStr">
        <is>
          <t xml:space="preserve">  - Ngày chạy log: 2026/05/18</t>
        </is>
      </c>
    </row>
    <row r="298">
      <c r="A298" t="inlineStr">
        <is>
          <t xml:space="preserve">  - [Ảnh Status Panel]: Tìm thấy Jobnet ID: 'P1J0203@10203'</t>
        </is>
      </c>
    </row>
    <row r="299">
      <c r="A299" t="inlineStr">
        <is>
          <t xml:space="preserve">  - [Ảnh Status Panel]: Tìm thấy Interface ID: 'RFSH0203'</t>
        </is>
      </c>
    </row>
    <row r="300">
      <c r="A300" s="2" t="inlineStr">
        <is>
          <t xml:space="preserve">      ✅ OK: Interface ID 'RFSH0203' có tồn tại trong tên file Excel.</t>
        </is>
      </c>
    </row>
    <row r="301">
      <c r="A301" t="inlineStr">
        <is>
          <t xml:space="preserve">  - [Ảnh Status Panel]: Tìm thấy giờ bắt đầu là 17:40:29</t>
        </is>
      </c>
    </row>
    <row r="302">
      <c r="A302" s="2" t="inlineStr">
        <is>
          <t xml:space="preserve">      ✅ OK: Thời gian log (17:40:29) &gt;= Thời gian ảnh (17:40:29)</t>
        </is>
      </c>
    </row>
    <row r="303">
      <c r="A303" s="2" t="inlineStr">
        <is>
          <t xml:space="preserve">      ✅ OK: Duration Log Main (223ms) &lt; Duration Ảnh (415ms)</t>
        </is>
      </c>
    </row>
    <row r="304">
      <c r="A304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305">
      <c r="A305" s="2" t="inlineStr">
        <is>
          <t xml:space="preserve">      ✅ OK: Jobnet ID 'P1J0203@10203' khớp với dữ liệu trong Log.</t>
        </is>
      </c>
    </row>
    <row r="306">
      <c r="A306" t="inlineStr">
        <is>
          <t xml:space="preserve">  - [Kiểm tra File]: Log text báo có tạo ra file 'RFSH0203_output.tsv'.</t>
        </is>
      </c>
    </row>
    <row r="307">
      <c r="A307" s="2" t="inlineStr">
        <is>
          <t xml:space="preserve">      ✅ OK: Tên file trong ảnh File Explorer (RFSH0203_output.tsv) KHỚP với tên file trong Log text.</t>
        </is>
      </c>
    </row>
    <row r="308">
      <c r="A308" t="inlineStr">
        <is>
          <t xml:space="preserve">  - [Ảnh File Explorer]: Tìm thấy file 'RFSH0203_output.tsv' có Date modified là '2026/05/18 17:40'</t>
        </is>
      </c>
    </row>
    <row r="309">
      <c r="A309" s="2" t="inlineStr">
        <is>
          <t xml:space="preserve">      ✅ OK: Thời gian xuất file 'RFSH0203_output.tsv' (2026/05/18 17:40) KHỚP với log (2026/05/18 17:40).</t>
        </is>
      </c>
    </row>
    <row r="310">
      <c r="A310" t="inlineStr">
        <is>
          <t xml:space="preserve">  - [Đối chiếu Testcase trong Log]:</t>
        </is>
      </c>
    </row>
    <row r="311">
      <c r="A311" t="inlineStr">
        <is>
          <t xml:space="preserve">  - [Đối chiếu テスト計画書兼結果報告書(個別)]: Tìm thấy 1 dòng (14)</t>
        </is>
      </c>
    </row>
    <row r="312">
      <c r="A312" s="2" t="inlineStr">
        <is>
          <t xml:space="preserve">      + Số lần test (Cột K): ✅ Tất cả 1 dòng đều khớp (Lần 7)</t>
        </is>
      </c>
    </row>
    <row r="313">
      <c r="A313" s="2" t="inlineStr">
        <is>
          <t xml:space="preserve">      + Ngày test (Cột I/G): ✅ Khớp ngày (2026/05/18) cho tất cả các dòng có dữ liệu</t>
        </is>
      </c>
    </row>
    <row r="314">
      <c r="A314" t="inlineStr"/>
    </row>
    <row r="315">
      <c r="A315" s="1" t="inlineStr">
        <is>
          <t>[Nhóm Test]: 8回目正常系・列分割→行変換確認（レコードが複数件あり）</t>
        </is>
      </c>
    </row>
    <row r="316">
      <c r="A316" t="inlineStr">
        <is>
          <t xml:space="preserve">  - Tổng số dòng log: 65</t>
        </is>
      </c>
    </row>
    <row r="317">
      <c r="A317" s="2" t="inlineStr">
        <is>
          <t xml:space="preserve">  - Trạng thái Sort (行): ✅ Đã sắp xếp tăng dần hợp lệ.</t>
        </is>
      </c>
    </row>
    <row r="318">
      <c r="A318" t="inlineStr">
        <is>
          <t xml:space="preserve">  - Ngày chạy log: 2026/05/18</t>
        </is>
      </c>
    </row>
    <row r="319">
      <c r="A319" t="inlineStr">
        <is>
          <t xml:space="preserve">  - [Ảnh Status Panel]: Tìm thấy Jobnet ID: 'P1J0203@10203'</t>
        </is>
      </c>
    </row>
    <row r="320">
      <c r="A320" t="inlineStr">
        <is>
          <t xml:space="preserve">  - [Ảnh Status Panel]: Tìm thấy Interface ID: 'RFSH0203'</t>
        </is>
      </c>
    </row>
    <row r="321">
      <c r="A321" s="2" t="inlineStr">
        <is>
          <t xml:space="preserve">      ✅ OK: Interface ID 'RFSH0203' có tồn tại trong tên file Excel.</t>
        </is>
      </c>
    </row>
    <row r="322">
      <c r="A322" t="inlineStr">
        <is>
          <t xml:space="preserve">  - [Ảnh Status Panel]: Tìm thấy giờ bắt đầu là 17:42:31</t>
        </is>
      </c>
    </row>
    <row r="323">
      <c r="A323" s="2" t="inlineStr">
        <is>
          <t xml:space="preserve">      ✅ OK: Thời gian log (17:42:31) &gt;= Thời gian ảnh (17:42:31)</t>
        </is>
      </c>
    </row>
    <row r="324">
      <c r="A324" s="2" t="inlineStr">
        <is>
          <t xml:space="preserve">      ✅ OK: Duration Log Main (241ms) &lt; Duration Ảnh (444ms)</t>
        </is>
      </c>
    </row>
    <row r="325">
      <c r="A325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326">
      <c r="A326" s="2" t="inlineStr">
        <is>
          <t xml:space="preserve">      ✅ OK: Jobnet ID 'P1J0203@10203' khớp với dữ liệu trong Log.</t>
        </is>
      </c>
    </row>
    <row r="327">
      <c r="A327" t="inlineStr">
        <is>
          <t xml:space="preserve">  - [Kiểm tra File]: Log text báo có tạo ra file 'RFSH0203_output.tsv'.</t>
        </is>
      </c>
    </row>
    <row r="328">
      <c r="A328" s="2" t="inlineStr">
        <is>
          <t xml:space="preserve">      ✅ OK: Tên file trong ảnh File Explorer (RFSH0203_output.tsv) KHỚP với tên file trong Log text.</t>
        </is>
      </c>
    </row>
    <row r="329">
      <c r="A329" t="inlineStr">
        <is>
          <t xml:space="preserve">  - [Ảnh File Explorer]: Tìm thấy file 'RFSH0203_output.tsv' có Date modified là '2026/05/18 17:42'</t>
        </is>
      </c>
    </row>
    <row r="330">
      <c r="A330" s="2" t="inlineStr">
        <is>
          <t xml:space="preserve">      ✅ OK: Thời gian xuất file 'RFSH0203_output.tsv' (2026/05/18 17:42) KHỚP với log (2026/05/18 17:42).</t>
        </is>
      </c>
    </row>
    <row r="331">
      <c r="A331" t="inlineStr">
        <is>
          <t xml:space="preserve">  - [Đối chiếu Testcase trong Log]:</t>
        </is>
      </c>
    </row>
    <row r="332">
      <c r="A332" t="inlineStr">
        <is>
          <t xml:space="preserve">  - [Đối chiếu テスト計画書兼結果報告書(個別)]: Tìm thấy 1 dòng (15)</t>
        </is>
      </c>
    </row>
    <row r="333">
      <c r="A333" s="2" t="inlineStr">
        <is>
          <t xml:space="preserve">      + Số lần test (Cột K): ✅ Tất cả 1 dòng đều khớp (Lần 8)</t>
        </is>
      </c>
    </row>
    <row r="334">
      <c r="A334" s="2" t="inlineStr">
        <is>
          <t xml:space="preserve">      + Ngày test (Cột I/G): ✅ Khớp ngày (2026/05/18) cho tất cả các dòng có dữ liệu</t>
        </is>
      </c>
    </row>
    <row r="335">
      <c r="A335" t="inlineStr"/>
    </row>
    <row r="336">
      <c r="A336" s="1">
        <f>=============== TỔNG KẾT COVERAGE CHO SHEET エビデンス(共通) ================</f>
        <v/>
      </c>
    </row>
    <row r="337">
      <c r="A337" s="2" t="inlineStr">
        <is>
          <t xml:space="preserve">  - ✅ Nhóm 1 (gồm TC: 1-1-1, 1-2-1, 2-1-1, 2-2-1, 3-1-1, 3-2-1, 4-1-1, 4-2-1, 5-1-1, 5-3-1, 5-4-1, 6-1-1, 7-1-1): Đã có Log Evidence.</t>
        </is>
      </c>
    </row>
    <row r="338">
      <c r="A338" s="2" t="inlineStr">
        <is>
          <t xml:space="preserve">  - ✅ Nhóm 2 (gồm TC: 1-2-2, 2-2-2): Đã có Log Evidence.</t>
        </is>
      </c>
    </row>
    <row r="339">
      <c r="A339" s="2" t="inlineStr">
        <is>
          <t xml:space="preserve">  - ✅ Nhóm 3 (gồm TC: 3-2-2): Đã có Log Evidence.</t>
        </is>
      </c>
    </row>
    <row r="340">
      <c r="A340" s="2" t="inlineStr">
        <is>
          <t xml:space="preserve">  - ✅ Nhóm 4 (gồm TC: 3-2-3): Đã có Log Evidence.</t>
        </is>
      </c>
    </row>
    <row r="341">
      <c r="A341" s="2" t="inlineStr">
        <is>
          <t xml:space="preserve">  - ✅ Nhóm 5 (gồm TC: 4-1-2, 7-1-2): Đã có Log Evidence.</t>
        </is>
      </c>
    </row>
    <row r="342">
      <c r="A342" s="2" t="inlineStr">
        <is>
          <t xml:space="preserve">  - ✅ Nhóm 6 (gồm TC: 4-2-2): Đã có Log Evidence.</t>
        </is>
      </c>
    </row>
    <row r="343">
      <c r="A343" s="2" t="inlineStr">
        <is>
          <t xml:space="preserve">  - ✅ Nhóm 7 (gồm TC: 4-2-3, 5-2-1): Đã có Log Evidence.</t>
        </is>
      </c>
    </row>
    <row r="344">
      <c r="A344" t="inlineStr">
        <is>
          <t xml:space="preserve">  =&gt; TOÀN BỘ CÁC NHÓM TEST TRONG KẾ HOẠCH ĐỀU ĐÃ CÓ EVIDENCE!</t>
        </is>
      </c>
    </row>
    <row r="345">
      <c r="A345" t="inlineStr"/>
    </row>
    <row r="346">
      <c r="A346" t="inlineStr"/>
    </row>
    <row r="347">
      <c r="A347" s="1">
        <f>=============== TỔNG KẾT COVERAGE CHO SHEET エビデンス(個別) ================</f>
        <v/>
      </c>
    </row>
    <row r="348">
      <c r="A348" s="2" t="inlineStr">
        <is>
          <t xml:space="preserve">  - ✅ Nhóm 1 (gồm TC: 1-1-1): Đã có Log Evidence.</t>
        </is>
      </c>
    </row>
    <row r="349">
      <c r="A349" s="2" t="inlineStr">
        <is>
          <t xml:space="preserve">  - ✅ Nhóm 2 (gồm TC: 1-2-1): Đã có Log Evidence.</t>
        </is>
      </c>
    </row>
    <row r="350">
      <c r="A350" s="2" t="inlineStr">
        <is>
          <t xml:space="preserve">  - ✅ Nhóm 3 (gồm TC: 3-1-1, 3-1-2, 3-1-3, 3-1-4, 3-1-5, 3-1-6, 3-2-1, 3-2-2, 3-2-3, 3-2-4, 3-2-5, 3-2-6): Đã có Log Evidence.</t>
        </is>
      </c>
    </row>
    <row r="351">
      <c r="A351" s="2" t="inlineStr">
        <is>
          <t xml:space="preserve">  - ✅ Nhóm 4 (gồm TC: 2-1-1): Đã có Log Evidence.</t>
        </is>
      </c>
    </row>
    <row r="352">
      <c r="A352" s="2" t="inlineStr">
        <is>
          <t xml:space="preserve">  - ✅ Nhóm 5 (gồm TC: 2-1-2): Đã có Log Evidence.</t>
        </is>
      </c>
    </row>
    <row r="353">
      <c r="A353" s="2" t="inlineStr">
        <is>
          <t xml:space="preserve">  - ✅ Nhóm 6 (gồm TC: 2-1-3): Đã có Log Evidence.</t>
        </is>
      </c>
    </row>
    <row r="354">
      <c r="A354" s="2" t="inlineStr">
        <is>
          <t xml:space="preserve">  - ✅ Nhóm 7 (gồm TC: 2-1-4): Đã có Log Evidence.</t>
        </is>
      </c>
    </row>
    <row r="355">
      <c r="A355" s="2" t="inlineStr">
        <is>
          <t xml:space="preserve">  - ✅ Nhóm 8 (gồm TC: 2-1-5): Đã có Log Evidence.</t>
        </is>
      </c>
    </row>
    <row r="356">
      <c r="A356" t="inlineStr">
        <is>
          <t xml:space="preserve">  =&gt; TOÀN BỘ CÁC NHÓM TEST TRONG KẾ HOẠCH ĐỀU ĐÃ CÓ EVIDENCE!</t>
        </is>
      </c>
    </row>
    <row r="357">
      <c r="A357" t="inlineStr"/>
    </row>
    <row r="358">
      <c r="A35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6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" t="inlineStr">
        <is>
          <t>✅ Đã check xong file '単体テスト仕様書兼成績書_E304_RFSH0203.xlsx'. Nhấn Enter để tiếp tục sang file tiếp theo...</t>
        </is>
      </c>
    </row>
    <row r="2">
      <c r="A2" s="1">
        <f>======================== [4/16] ĐANG XỬ LÝ FILE: 単体テスト仕様書兼成績書_E304_RFSH0206.xlsx =========================</f>
        <v/>
      </c>
    </row>
    <row r="3">
      <c r="A3" t="inlineStr">
        <is>
          <t>Đang đọc dữ liệu từ file: 単体テスト仕様書兼成績書_E304_RFSH0206.xlsx ...</t>
        </is>
      </c>
    </row>
    <row r="4">
      <c r="A4" t="inlineStr"/>
    </row>
    <row r="5">
      <c r="A5" s="1">
        <f>=============== TRẠNG THÁI OCR ================</f>
        <v/>
      </c>
    </row>
    <row r="6">
      <c r="A6" s="2" t="inlineStr">
        <is>
          <t>✅ Đã bật (Sẵn sàng đọc ảnh)</t>
        </is>
      </c>
    </row>
    <row r="7">
      <c r="A7" t="inlineStr"/>
    </row>
    <row r="8">
      <c r="A8" s="1">
        <f>=============== KIỂM TRA TRẠNG THÁI MỞ FILE ================</f>
        <v/>
      </c>
    </row>
    <row r="9">
      <c r="A9" s="2" t="inlineStr">
        <is>
          <t>✅ File đang mở ở sheet đầu tiên '表紙 '.</t>
        </is>
      </c>
    </row>
    <row r="10">
      <c r="A10" s="2" t="inlineStr">
        <is>
          <t>✅ Con trỏ chuột đang nằm ở ô 'A1'.</t>
        </is>
      </c>
    </row>
    <row r="11">
      <c r="A11" t="inlineStr"/>
    </row>
    <row r="12">
      <c r="A12" s="1">
        <f>=============== SHEET: エビデンス(共通) ================</f>
        <v/>
      </c>
    </row>
    <row r="13">
      <c r="A13" t="inlineStr">
        <is>
          <t xml:space="preserve">  -&gt; Tìm thấy 42 ảnh trong sheet này.</t>
        </is>
      </c>
    </row>
    <row r="14">
      <c r="A14" s="1">
        <f>=============== SHEET: エビデンス(個別) ================</f>
        <v/>
      </c>
    </row>
    <row r="15">
      <c r="A15" t="inlineStr">
        <is>
          <t xml:space="preserve">  -&gt; Tìm thấy 40 ảnh trong sheet này.</t>
        </is>
      </c>
    </row>
    <row r="16">
      <c r="A16" t="inlineStr"/>
    </row>
    <row r="17">
      <c r="A17" s="1" t="inlineStr">
        <is>
          <t>[GEMINI MANUAL MODE] ♻️ Đã tìm thấy file JSON kết quả cũ tại:</t>
        </is>
      </c>
    </row>
    <row r="18">
      <c r="A18" t="inlineStr">
        <is>
          <t>D:\project\tool\New folder\Gemini_Upload_単体テスト仕様書兼成績書_E304_RFSH0206\gemini_result.json</t>
        </is>
      </c>
    </row>
    <row r="19">
      <c r="A19">
        <f>&gt; Sử dụng luôn kết quả này, bỏ qua bước xuất ảnh PDF và hỏi lại Gemini.</f>
        <v/>
      </c>
    </row>
    <row r="20">
      <c r="A20" t="inlineStr"/>
    </row>
    <row r="21">
      <c r="A21" s="1">
        <f>=============== ĐANG PHÂN TÍCH KẾT QUẢ SHEET: エビデンス(共通) ================</f>
        <v/>
      </c>
    </row>
    <row r="22">
      <c r="A22" t="inlineStr"/>
    </row>
    <row r="23">
      <c r="A23" s="1" t="inlineStr">
        <is>
          <t>[Kiểm tra Cấu hình Flow - Trước khi Test]:</t>
        </is>
      </c>
    </row>
    <row r="24">
      <c r="A24" s="2" t="inlineStr">
        <is>
          <t xml:space="preserve">  - [Ảnh Flow]: ✅ Tìm thấy P_JobnetID: 'P1J0206@10206'</t>
        </is>
      </c>
    </row>
    <row r="25">
      <c r="A25" s="2" t="inlineStr">
        <is>
          <t xml:space="preserve">      ✅ OK: P_JobnetID 'P1J0206@10206' có chứa mã '0206' của file.</t>
        </is>
      </c>
    </row>
    <row r="26">
      <c r="A26" s="2" t="inlineStr">
        <is>
          <t xml:space="preserve">  - [Ảnh Flow]: ✅ Tìm thấy P_InterfaceID: 'RFSH0206'</t>
        </is>
      </c>
    </row>
    <row r="27">
      <c r="A27" s="2" t="inlineStr">
        <is>
          <t xml:space="preserve">      ✅ OK: P_InterfaceID 'RFSH0206' có chứa mã '0206' của file.</t>
        </is>
      </c>
    </row>
    <row r="28">
      <c r="A28" t="inlineStr"/>
    </row>
    <row r="29">
      <c r="A29" s="1" t="inlineStr">
        <is>
          <t>[Nhóm Test]: ■1回目 正常系・1000件未満・ファイル送信前結合有無=false</t>
        </is>
      </c>
    </row>
    <row r="30">
      <c r="A30" t="inlineStr">
        <is>
          <t xml:space="preserve">  - Tổng số dòng log: 51</t>
        </is>
      </c>
    </row>
    <row r="31">
      <c r="A31" s="2" t="inlineStr">
        <is>
          <t xml:space="preserve">  - Trạng thái Sort (行): ✅ Đã sắp xếp tăng dần hợp lệ.</t>
        </is>
      </c>
    </row>
    <row r="32">
      <c r="A32" t="inlineStr">
        <is>
          <t xml:space="preserve">  - Ngày chạy log: 2026/05/18</t>
        </is>
      </c>
    </row>
    <row r="33">
      <c r="A33" t="inlineStr">
        <is>
          <t xml:space="preserve">  - [Ảnh Status Panel]: Tìm thấy Jobnet ID: 'P1J0206@10206'</t>
        </is>
      </c>
    </row>
    <row r="34">
      <c r="A34" t="inlineStr">
        <is>
          <t xml:space="preserve">  - [Ảnh Status Panel]: Tìm thấy Interface ID: 'RFSH0206'</t>
        </is>
      </c>
    </row>
    <row r="35">
      <c r="A35" s="2" t="inlineStr">
        <is>
          <t xml:space="preserve">      ✅ OK: Interface ID 'RFSH0206' có tồn tại trong tên file Excel.</t>
        </is>
      </c>
    </row>
    <row r="36">
      <c r="A36" t="inlineStr">
        <is>
          <t xml:space="preserve">  - [Ảnh Status Panel]: Tìm thấy giờ bắt đầu là 17:51:08</t>
        </is>
      </c>
    </row>
    <row r="37">
      <c r="A37" s="2" t="inlineStr">
        <is>
          <t xml:space="preserve">      ✅ OK: Thời gian log (17:51:08) &gt;= Thời gian ảnh (17:51:08)</t>
        </is>
      </c>
    </row>
    <row r="38">
      <c r="A38" s="2" t="inlineStr">
        <is>
          <t xml:space="preserve">      ✅ OK: Duration Log Main (272ms) &lt; Duration Ảnh (383ms)</t>
        </is>
      </c>
    </row>
    <row r="39">
      <c r="A39" t="inlineStr">
        <is>
          <t xml:space="preserve">  - [Ảnh Log Viewer]: Tìm thấy thời gian kết thúc trong ảnh log là '17:51:08'</t>
        </is>
      </c>
    </row>
    <row r="40">
      <c r="A40" s="2" t="inlineStr">
        <is>
          <t xml:space="preserve">      ✅ OK: Giờ kết thúc trong ảnh Log (17:51:08) KHỚP với log text (17:51:08).</t>
        </is>
      </c>
    </row>
    <row r="41">
      <c r="A41" s="2" t="inlineStr">
        <is>
          <t xml:space="preserve">      ✅ OK: Giờ ảnh Log (17:51:08) &gt;= Giờ bắt đầu (17:51:08).</t>
        </is>
      </c>
    </row>
    <row r="42">
      <c r="A42" s="2" t="inlineStr">
        <is>
          <t xml:space="preserve">      ✅ OK: Jobnet ID 'P1J0206@10206' khớp với dữ liệu trong Log.</t>
        </is>
      </c>
    </row>
    <row r="43">
      <c r="A43" t="inlineStr">
        <is>
          <t xml:space="preserve">  - [Kiểm tra File]: Log text báo có tạo ra file 'RFSH0206_output.tsv'.</t>
        </is>
      </c>
    </row>
    <row r="44">
      <c r="A44" s="2" t="inlineStr">
        <is>
          <t xml:space="preserve">      ✅ OK: Tên file trong ảnh File Explorer (RFSH0206_output.tsv) KHỚP với tên file trong Log text.</t>
        </is>
      </c>
    </row>
    <row r="45">
      <c r="A45" t="inlineStr">
        <is>
          <t xml:space="preserve">  - [Ảnh File Explorer]: Tìm thấy file 'RFSH0206_output.tsv' có Date modified là '2026/05/18 17:51'</t>
        </is>
      </c>
    </row>
    <row r="46">
      <c r="A46" s="2" t="inlineStr">
        <is>
          <t xml:space="preserve">      ✅ OK: Thời gian xuất file 'RFSH0206_output.tsv' (2026/05/18 17:51) KHỚP với log (2026/05/18 17:51).</t>
        </is>
      </c>
    </row>
    <row r="47">
      <c r="A47" t="inlineStr">
        <is>
          <t xml:space="preserve">  - [Đối chiếu Testcase trong Log]:</t>
        </is>
      </c>
    </row>
    <row r="48">
      <c r="A48" t="inlineStr">
        <is>
          <t xml:space="preserve">  - [Đối chiếu テスト計画書兼結果報告書(共通)]: Tìm thấy 13 dòng (6, 8, 12, 14, 18, 20, 25, 28, 33, 37, 39, 42, 45)</t>
        </is>
      </c>
    </row>
    <row r="49">
      <c r="A49" s="2" t="inlineStr">
        <is>
          <t xml:space="preserve">      + Số lần test (Cột K): ✅ Tất cả 13 dòng đều khớp (Lần 1)</t>
        </is>
      </c>
    </row>
    <row r="50">
      <c r="A50" s="2" t="inlineStr">
        <is>
          <t xml:space="preserve">      + Ngày test (Cột I/G): ✅ Khớp ngày (2026/05/18) cho tất cả các dòng có dữ liệu</t>
        </is>
      </c>
    </row>
    <row r="51">
      <c r="A51" t="inlineStr"/>
    </row>
    <row r="52">
      <c r="A52" s="1" t="inlineStr">
        <is>
          <t>[Nhóm Test]: ■2回目 異常系・起動パラメータ不正</t>
        </is>
      </c>
    </row>
    <row r="53">
      <c r="A53" t="inlineStr">
        <is>
          <t xml:space="preserve">  - Tổng số dòng log: 23</t>
        </is>
      </c>
    </row>
    <row r="54">
      <c r="A54" s="2" t="inlineStr">
        <is>
          <t xml:space="preserve">  - Trạng thái Sort (行): ✅ Đã sắp xếp tăng dần hợp lệ.</t>
        </is>
      </c>
    </row>
    <row r="55">
      <c r="A55" t="inlineStr">
        <is>
          <t xml:space="preserve">  - Ngày chạy log: 2026/05/18</t>
        </is>
      </c>
    </row>
    <row r="56">
      <c r="A56" t="inlineStr">
        <is>
          <t xml:space="preserve">  - [Ảnh Status Panel]: Tìm thấy Jobnet ID: ''</t>
        </is>
      </c>
    </row>
    <row r="57">
      <c r="A57" t="inlineStr">
        <is>
          <t xml:space="preserve">  - [Ảnh Status Panel]: Tìm thấy Interface ID: ''</t>
        </is>
      </c>
    </row>
    <row r="58">
      <c r="A58" s="3" t="inlineStr">
        <is>
          <t xml:space="preserve">      ⚠️ Interface ID là chuỗi rỗng nên bỏ qua kiểm tra với tên file.</t>
        </is>
      </c>
    </row>
    <row r="59">
      <c r="A59" t="inlineStr">
        <is>
          <t xml:space="preserve">  - [Ảnh Status Panel]: Tìm thấy giờ bắt đầu là 17:56:00</t>
        </is>
      </c>
    </row>
    <row r="60">
      <c r="A60" s="2" t="inlineStr">
        <is>
          <t xml:space="preserve">      ✅ OK: Thời gian log (17:56:00) &gt;= Thời gian ảnh (17:56:00)</t>
        </is>
      </c>
    </row>
    <row r="61">
      <c r="A61" s="2" t="inlineStr">
        <is>
          <t xml:space="preserve">      ✅ OK: Duration Log Main (57ms) &lt; Duration Ảnh (270ms)</t>
        </is>
      </c>
    </row>
    <row r="62">
      <c r="A62" t="inlineStr">
        <is>
          <t xml:space="preserve">  - [Ảnh Log Viewer]: Tìm thấy thời gian kết thúc trong ảnh log là '17:56:00'</t>
        </is>
      </c>
    </row>
    <row r="63">
      <c r="A63" s="2" t="inlineStr">
        <is>
          <t xml:space="preserve">      ✅ OK: Giờ kết thúc trong ảnh Log (17:56:00) KHỚP với log text (17:56:00).</t>
        </is>
      </c>
    </row>
    <row r="64">
      <c r="A64" s="2" t="inlineStr">
        <is>
          <t xml:space="preserve">      ✅ OK: Giờ ảnh Log (17:56:00) &gt;= Giờ bắt đầu (17:56:00).</t>
        </is>
      </c>
    </row>
    <row r="65">
      <c r="A65" s="2" t="inlineStr">
        <is>
          <t xml:space="preserve">      ✅ OK: Jobnet ID '' khớp với dữ liệu trong Log.</t>
        </is>
      </c>
    </row>
    <row r="66">
      <c r="A66" t="inlineStr">
        <is>
          <t xml:space="preserve">  - [Đối chiếu Testcase trong Log]:</t>
        </is>
      </c>
    </row>
    <row r="67">
      <c r="A67" t="inlineStr">
        <is>
          <t xml:space="preserve">  - [Đối chiếu テスト計画書兼結果報告書(共通)]: Tìm thấy 2 dòng (9, 15)</t>
        </is>
      </c>
    </row>
    <row r="68">
      <c r="A68" s="2" t="inlineStr">
        <is>
          <t xml:space="preserve">      + Số lần test (Cột K): ✅ Tất cả 2 dòng đều khớp (Lần 2)</t>
        </is>
      </c>
    </row>
    <row r="69">
      <c r="A69" s="2" t="inlineStr">
        <is>
          <t xml:space="preserve">      + Ngày test (Cột I/G): ✅ Khớp ngày (2026/05/18) cho tất cả các dòng có dữ liệu</t>
        </is>
      </c>
    </row>
    <row r="70">
      <c r="A70" t="inlineStr"/>
    </row>
    <row r="71">
      <c r="A71" s="1" t="inlineStr">
        <is>
          <t>[Nhóm Test]: ■3回目 正常系・ファイル送信前結合有無=true</t>
        </is>
      </c>
    </row>
    <row r="72">
      <c r="A72" t="inlineStr">
        <is>
          <t xml:space="preserve">  - Tổng số dòng log: 65</t>
        </is>
      </c>
    </row>
    <row r="73">
      <c r="A73" s="2" t="inlineStr">
        <is>
          <t xml:space="preserve">  - Trạng thái Sort (行): ✅ Đã sắp xếp tăng dần hợp lệ.</t>
        </is>
      </c>
    </row>
    <row r="74">
      <c r="A74" t="inlineStr">
        <is>
          <t xml:space="preserve">  - Ngày chạy log: 2026/05/18</t>
        </is>
      </c>
    </row>
    <row r="75">
      <c r="A75" t="inlineStr">
        <is>
          <t xml:space="preserve">  - [Ảnh Status Panel]: Tìm thấy Jobnet ID: 'P1J0206@10206'</t>
        </is>
      </c>
    </row>
    <row r="76">
      <c r="A76" t="inlineStr">
        <is>
          <t xml:space="preserve">  - [Ảnh Status Panel]: Tìm thấy Interface ID: 'RFSH0206'</t>
        </is>
      </c>
    </row>
    <row r="77">
      <c r="A77" s="2" t="inlineStr">
        <is>
          <t xml:space="preserve">      ✅ OK: Interface ID 'RFSH0206' có tồn tại trong tên file Excel.</t>
        </is>
      </c>
    </row>
    <row r="78">
      <c r="A78" t="inlineStr">
        <is>
          <t xml:space="preserve">  - [Ảnh Status Panel]: Tìm thấy giờ bắt đầu là 18:04:50</t>
        </is>
      </c>
    </row>
    <row r="79">
      <c r="A79" s="2" t="inlineStr">
        <is>
          <t xml:space="preserve">      ✅ OK: Thời gian log (18:04:50) &gt;= Thời gian ảnh (18:04:50)</t>
        </is>
      </c>
    </row>
    <row r="80">
      <c r="A80" s="2" t="inlineStr">
        <is>
          <t xml:space="preserve">      ✅ OK: Duration Log Main (214ms) &lt; Duration Ảnh (400ms)</t>
        </is>
      </c>
    </row>
    <row r="81">
      <c r="A81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82">
      <c r="A82" s="2" t="inlineStr">
        <is>
          <t xml:space="preserve">      ✅ OK: Jobnet ID 'P1J0206@10206' khớp với dữ liệu trong Log.</t>
        </is>
      </c>
    </row>
    <row r="83">
      <c r="A83" t="inlineStr">
        <is>
          <t xml:space="preserve">  - [Kiểm tra File]: Log text báo có tạo ra file 'RFSH0206_output.tsv'.</t>
        </is>
      </c>
    </row>
    <row r="84">
      <c r="A84" s="2" t="inlineStr">
        <is>
          <t xml:space="preserve">      ✅ OK: Tên file trong ảnh File Explorer (RFSH0206_output.tsv) KHỚP với tên file trong Log text.</t>
        </is>
      </c>
    </row>
    <row r="85">
      <c r="A85" t="inlineStr">
        <is>
          <t xml:space="preserve">  - [Ảnh File Explorer]: Tìm thấy file 'RFSH0206_output.tsv' có Date modified là '2026/05/18 18:04'</t>
        </is>
      </c>
    </row>
    <row r="86">
      <c r="A86" s="2" t="inlineStr">
        <is>
          <t xml:space="preserve">      ✅ OK: Thời gian xuất file 'RFSH0206_output.tsv' (2026/05/18 18:04) KHỚP với log (2026/05/18 18:04).</t>
        </is>
      </c>
    </row>
    <row r="87">
      <c r="A87" t="inlineStr">
        <is>
          <t xml:space="preserve">  - [Đối chiếu Testcase trong Log]:</t>
        </is>
      </c>
    </row>
    <row r="88">
      <c r="A88" t="inlineStr">
        <is>
          <t xml:space="preserve">  - [Đối chiếu テスト計画書兼結果報告書(共通)]: Tìm thấy 1 dòng (21)</t>
        </is>
      </c>
    </row>
    <row r="89">
      <c r="A89" s="2" t="inlineStr">
        <is>
          <t xml:space="preserve">      + Số lần test (Cột K): ✅ Tất cả 1 dòng đều khớp (Lần 3)</t>
        </is>
      </c>
    </row>
    <row r="90">
      <c r="A90" s="2" t="inlineStr">
        <is>
          <t xml:space="preserve">      + Ngày test (Cột I/G): ✅ Khớp ngày (2026/05/18) cho tất cả các dòng có dữ liệu</t>
        </is>
      </c>
    </row>
    <row r="91">
      <c r="A91" t="inlineStr"/>
    </row>
    <row r="92">
      <c r="A92" s="1" t="inlineStr">
        <is>
          <t>[Nhóm Test]: ■4回目 異常系・すでにファイルが存在する場合</t>
        </is>
      </c>
    </row>
    <row r="93">
      <c r="A93" t="inlineStr">
        <is>
          <t xml:space="preserve">  - Tổng số dòng log: 55</t>
        </is>
      </c>
    </row>
    <row r="94">
      <c r="A94" s="2" t="inlineStr">
        <is>
          <t xml:space="preserve">  - Trạng thái Sort (行): ✅ Đã sắp xếp tăng dần hợp lệ.</t>
        </is>
      </c>
    </row>
    <row r="95">
      <c r="A95" t="inlineStr">
        <is>
          <t xml:space="preserve">  - Ngày chạy log: 2026/05/18</t>
        </is>
      </c>
    </row>
    <row r="96">
      <c r="A96" t="inlineStr">
        <is>
          <t xml:space="preserve">  - [Ảnh Status Panel]: Tìm thấy Jobnet ID: ''</t>
        </is>
      </c>
    </row>
    <row r="97">
      <c r="A97" t="inlineStr">
        <is>
          <t xml:space="preserve">  - [Ảnh Status Panel]: Tìm thấy Interface ID: ''</t>
        </is>
      </c>
    </row>
    <row r="98">
      <c r="A98" s="3" t="inlineStr">
        <is>
          <t xml:space="preserve">      ⚠️ Interface ID là chuỗi rỗng nên bỏ qua kiểm tra với tên file.</t>
        </is>
      </c>
    </row>
    <row r="99">
      <c r="A99" t="inlineStr">
        <is>
          <t xml:space="preserve">  - [Ảnh Status Panel]: Tìm thấy giờ bắt đầu là 18:08:26</t>
        </is>
      </c>
    </row>
    <row r="100">
      <c r="A100" s="2" t="inlineStr">
        <is>
          <t xml:space="preserve">      ✅ OK: Thời gian log (18:08:26) &gt;= Thời gian ảnh (18:08:26)</t>
        </is>
      </c>
    </row>
    <row r="101">
      <c r="A101" s="2" t="inlineStr">
        <is>
          <t xml:space="preserve">      ✅ OK: Duration Log Main (167ms) &lt; Duration Ảnh (365ms)</t>
        </is>
      </c>
    </row>
    <row r="102">
      <c r="A102" t="inlineStr">
        <is>
          <t xml:space="preserve">  - [Ảnh Log Viewer]: Tìm thấy thời gian kết thúc trong ảnh log là '18:08:26'</t>
        </is>
      </c>
    </row>
    <row r="103">
      <c r="A103" s="2" t="inlineStr">
        <is>
          <t xml:space="preserve">      ✅ OK: Giờ kết thúc trong ảnh Log (18:08:26) KHỚP với log text (18:08:26).</t>
        </is>
      </c>
    </row>
    <row r="104">
      <c r="A104" s="2" t="inlineStr">
        <is>
          <t xml:space="preserve">      ✅ OK: Giờ ảnh Log (18:08:26) &gt;= Giờ bắt đầu (18:08:26).</t>
        </is>
      </c>
    </row>
    <row r="105">
      <c r="A105" s="4" t="inlineStr">
        <is>
          <t xml:space="preserve">      ❌ LỖI: Jobnet ID trong ảnh là '', nhưng trong Log là 'P1J0206'.</t>
        </is>
      </c>
    </row>
    <row r="106">
      <c r="A106" t="inlineStr">
        <is>
          <t xml:space="preserve">  - [Đối chiếu Testcase trong Log]:</t>
        </is>
      </c>
    </row>
    <row r="107">
      <c r="A107" t="inlineStr">
        <is>
          <t xml:space="preserve">  - [Đối chiếu テスト計画書兼結果報告書(共通)]: Tìm thấy 1 dòng (22)</t>
        </is>
      </c>
    </row>
    <row r="108">
      <c r="A108" s="2" t="inlineStr">
        <is>
          <t xml:space="preserve">      + Số lần test (Cột K): ✅ Tất cả 1 dòng đều khớp (Lần 4)</t>
        </is>
      </c>
    </row>
    <row r="109">
      <c r="A109" s="2" t="inlineStr">
        <is>
          <t xml:space="preserve">      + Ngày test (Cột I/G): ✅ Khớp ngày (2026/05/18) cho tất cả các dòng có dữ liệu</t>
        </is>
      </c>
    </row>
    <row r="110">
      <c r="A110" t="inlineStr"/>
    </row>
    <row r="111">
      <c r="A111" s="1" t="inlineStr">
        <is>
          <t>[Nhóm Test]: ■5回目 正常系・0byteファイル</t>
        </is>
      </c>
    </row>
    <row r="112">
      <c r="A112" t="inlineStr">
        <is>
          <t xml:space="preserve">  - Tổng số dòng log: 61</t>
        </is>
      </c>
    </row>
    <row r="113">
      <c r="A113" s="2" t="inlineStr">
        <is>
          <t xml:space="preserve">  - Trạng thái Sort (行): ✅ Đã sắp xếp tăng dần hợp lệ.</t>
        </is>
      </c>
    </row>
    <row r="114">
      <c r="A114" t="inlineStr">
        <is>
          <t xml:space="preserve">  - Ngày chạy log: 2026/05/18</t>
        </is>
      </c>
    </row>
    <row r="115">
      <c r="A115" t="inlineStr">
        <is>
          <t xml:space="preserve">  - [Ảnh Status Panel]: Tìm thấy Jobnet ID: 'P1J0206@10206'</t>
        </is>
      </c>
    </row>
    <row r="116">
      <c r="A116" t="inlineStr">
        <is>
          <t xml:space="preserve">  - [Ảnh Status Panel]: Tìm thấy Interface ID: 'RFSH0206'</t>
        </is>
      </c>
    </row>
    <row r="117">
      <c r="A117" s="2" t="inlineStr">
        <is>
          <t xml:space="preserve">      ✅ OK: Interface ID 'RFSH0206' có tồn tại trong tên file Excel.</t>
        </is>
      </c>
    </row>
    <row r="118">
      <c r="A118" t="inlineStr">
        <is>
          <t xml:space="preserve">  - [Ảnh Status Panel]: Tìm thấy giờ bắt đầu là 18:11:12</t>
        </is>
      </c>
    </row>
    <row r="119">
      <c r="A119" s="2" t="inlineStr">
        <is>
          <t xml:space="preserve">      ✅ OK: Thời gian log (18:11:12) &gt;= Thời gian ảnh (18:11:12)</t>
        </is>
      </c>
    </row>
    <row r="120">
      <c r="A120" s="2" t="inlineStr">
        <is>
          <t xml:space="preserve">      ✅ OK: Duration Log Main (182ms) &lt; Duration Ảnh (366ms)</t>
        </is>
      </c>
    </row>
    <row r="121">
      <c r="A121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22">
      <c r="A122" s="2" t="inlineStr">
        <is>
          <t xml:space="preserve">      ✅ OK: Jobnet ID 'P1J0206@10206' khớp với dữ liệu trong Log.</t>
        </is>
      </c>
    </row>
    <row r="123">
      <c r="A123" t="inlineStr">
        <is>
          <t xml:space="preserve">  - [Kiểm tra File]: Log text báo có tạo ra file 'RFSH0206_output.tsv'.</t>
        </is>
      </c>
    </row>
    <row r="124">
      <c r="A124" s="2" t="inlineStr">
        <is>
          <t xml:space="preserve">      ✅ OK: Tên file trong ảnh File Explorer (RFSH0206_output.tsv) KHỚP với tên file trong Log text.</t>
        </is>
      </c>
    </row>
    <row r="125">
      <c r="A125" t="inlineStr">
        <is>
          <t xml:space="preserve">  - [Ảnh File Explorer]: Tìm thấy file 'RFSH0206_output.tsv' có Date modified là '2026/05/18 18:11'</t>
        </is>
      </c>
    </row>
    <row r="126">
      <c r="A126" s="2" t="inlineStr">
        <is>
          <t xml:space="preserve">      ✅ OK: Thời gian xuất file 'RFSH0206_output.tsv' (2026/05/18 18:11) KHỚP với log (2026/05/18 18:11).</t>
        </is>
      </c>
    </row>
    <row r="127">
      <c r="A127" t="inlineStr">
        <is>
          <t xml:space="preserve">  - [Đối chiếu Testcase trong Log]:</t>
        </is>
      </c>
    </row>
    <row r="128">
      <c r="A128" t="inlineStr">
        <is>
          <t xml:space="preserve">  - [Đối chiếu テスト計画書兼結果報告書(共通)]: Tìm thấy 2 dòng (26, 46)</t>
        </is>
      </c>
    </row>
    <row r="129">
      <c r="A129" s="2" t="inlineStr">
        <is>
          <t xml:space="preserve">      + Số lần test (Cột K): ✅ Tất cả 2 dòng đều khớp (Lần 5)</t>
        </is>
      </c>
    </row>
    <row r="130">
      <c r="A130" s="2" t="inlineStr">
        <is>
          <t xml:space="preserve">      + Ngày test (Cột I/G): ✅ Khớp ngày (2026/05/18) cho tất cả các dòng có dữ liệu</t>
        </is>
      </c>
    </row>
    <row r="131">
      <c r="A131" t="inlineStr"/>
    </row>
    <row r="132">
      <c r="A132" s="1" t="inlineStr">
        <is>
          <t>[Nhóm Test]: ■6回目 正常系・データ行1000行</t>
        </is>
      </c>
    </row>
    <row r="133">
      <c r="A133" t="inlineStr">
        <is>
          <t xml:space="preserve">  - Tổng số dòng log: 65</t>
        </is>
      </c>
    </row>
    <row r="134">
      <c r="A134" s="2" t="inlineStr">
        <is>
          <t xml:space="preserve">  - Trạng thái Sort (行): ✅ Đã sắp xếp tăng dần hợp lệ.</t>
        </is>
      </c>
    </row>
    <row r="135">
      <c r="A135" t="inlineStr">
        <is>
          <t xml:space="preserve">  - Ngày chạy log: 2026/05/18</t>
        </is>
      </c>
    </row>
    <row r="136">
      <c r="A136" t="inlineStr">
        <is>
          <t xml:space="preserve">  - [Ảnh Status Panel]: Tìm thấy Jobnet ID: 'P1J0206@10206'</t>
        </is>
      </c>
    </row>
    <row r="137">
      <c r="A137" t="inlineStr">
        <is>
          <t xml:space="preserve">  - [Ảnh Status Panel]: Tìm thấy Interface ID: 'RFSH0206'</t>
        </is>
      </c>
    </row>
    <row r="138">
      <c r="A138" s="2" t="inlineStr">
        <is>
          <t xml:space="preserve">      ✅ OK: Interface ID 'RFSH0206' có tồn tại trong tên file Excel.</t>
        </is>
      </c>
    </row>
    <row r="139">
      <c r="A139" t="inlineStr">
        <is>
          <t xml:space="preserve">  - [Ảnh Status Panel]: Tìm thấy giờ bắt đầu là 18:15:32</t>
        </is>
      </c>
    </row>
    <row r="140">
      <c r="A140" s="2" t="inlineStr">
        <is>
          <t xml:space="preserve">      ✅ OK: Thời gian log (18:15:32) &gt;= Thời gian ảnh (18:15:32)</t>
        </is>
      </c>
    </row>
    <row r="141">
      <c r="A141" s="2" t="inlineStr">
        <is>
          <t xml:space="preserve">      ✅ OK: Duration Log Main (274ms) &lt; Duration Ảnh (478ms)</t>
        </is>
      </c>
    </row>
    <row r="142">
      <c r="A142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43">
      <c r="A143" s="2" t="inlineStr">
        <is>
          <t xml:space="preserve">      ✅ OK: Jobnet ID 'P1J0206@10206' khớp với dữ liệu trong Log.</t>
        </is>
      </c>
    </row>
    <row r="144">
      <c r="A144" t="inlineStr">
        <is>
          <t xml:space="preserve">  - [Kiểm tra File]: Log text báo có tạo ra file 'RFSH0206_output.tsv'.</t>
        </is>
      </c>
    </row>
    <row r="145">
      <c r="A145" s="2" t="inlineStr">
        <is>
          <t xml:space="preserve">      ✅ OK: Tên file trong ảnh File Explorer (RFSH0206_output.tsv) KHỚP với tên file trong Log text.</t>
        </is>
      </c>
    </row>
    <row r="146">
      <c r="A146" t="inlineStr">
        <is>
          <t xml:space="preserve">  - [Ảnh File Explorer]: Tìm thấy file 'RFSH0206_output.tsv' có Date modified là '2026/05/18 18:15'</t>
        </is>
      </c>
    </row>
    <row r="147">
      <c r="A147" s="2" t="inlineStr">
        <is>
          <t xml:space="preserve">      ✅ OK: Thời gian xuất file 'RFSH0206_output.tsv' (2026/05/18 18:15) KHỚP với log (2026/05/18 18:15).</t>
        </is>
      </c>
    </row>
    <row r="148">
      <c r="A148" t="inlineStr">
        <is>
          <t xml:space="preserve">  - [Đối chiếu Testcase trong Log]:</t>
        </is>
      </c>
    </row>
    <row r="149">
      <c r="A149" t="inlineStr">
        <is>
          <t xml:space="preserve">  - [Đối chiếu テスト計画書兼結果報告書(共通)]: Tìm thấy 1 dòng (29)</t>
        </is>
      </c>
    </row>
    <row r="150">
      <c r="A150" s="2" t="inlineStr">
        <is>
          <t xml:space="preserve">      + Số lần test (Cột K): ✅ Tất cả 1 dòng đều khớp (Lần 6)</t>
        </is>
      </c>
    </row>
    <row r="151">
      <c r="A151" s="2" t="inlineStr">
        <is>
          <t xml:space="preserve">      + Ngày test (Cột I/G): ✅ Khớp ngày (2026/05/18) cho tất cả các dòng có dữ liệu</t>
        </is>
      </c>
    </row>
    <row r="152">
      <c r="A152" t="inlineStr"/>
    </row>
    <row r="153">
      <c r="A153" s="1" t="inlineStr">
        <is>
          <t>[Nhóm Test]: ■7回目 正常系・データ行1000行以上</t>
        </is>
      </c>
    </row>
    <row r="154">
      <c r="A154" t="inlineStr">
        <is>
          <t xml:space="preserve">  - Tổng số dòng log: 77</t>
        </is>
      </c>
    </row>
    <row r="155">
      <c r="A155" s="2" t="inlineStr">
        <is>
          <t xml:space="preserve">  - Trạng thái Sort (行): ✅ Đã sắp xếp tăng dần hợp lệ.</t>
        </is>
      </c>
    </row>
    <row r="156">
      <c r="A156" t="inlineStr">
        <is>
          <t xml:space="preserve">  - Ngày chạy log: 2026/05/18</t>
        </is>
      </c>
    </row>
    <row r="157">
      <c r="A157" t="inlineStr">
        <is>
          <t xml:space="preserve">  - [Ảnh Status Panel]: Tìm thấy Jobnet ID: 'P1J0206@10206'</t>
        </is>
      </c>
    </row>
    <row r="158">
      <c r="A158" t="inlineStr">
        <is>
          <t xml:space="preserve">  - [Ảnh Status Panel]: Tìm thấy Interface ID: 'RFSH0206'</t>
        </is>
      </c>
    </row>
    <row r="159">
      <c r="A159" s="2" t="inlineStr">
        <is>
          <t xml:space="preserve">      ✅ OK: Interface ID 'RFSH0206' có tồn tại trong tên file Excel.</t>
        </is>
      </c>
    </row>
    <row r="160">
      <c r="A160" t="inlineStr">
        <is>
          <t xml:space="preserve">  - [Ảnh Status Panel]: Tìm thấy giờ bắt đầu là 18:18:17</t>
        </is>
      </c>
    </row>
    <row r="161">
      <c r="A161" s="2" t="inlineStr">
        <is>
          <t xml:space="preserve">      ✅ OK: Thời gian log (18:18:17) &gt;= Thời gian ảnh (18:18:17)</t>
        </is>
      </c>
    </row>
    <row r="162">
      <c r="A162" s="2" t="inlineStr">
        <is>
          <t xml:space="preserve">      ✅ OK: Duration Log Main (298ms) &lt; Duration Ảnh (508ms)</t>
        </is>
      </c>
    </row>
    <row r="163">
      <c r="A163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64">
      <c r="A164" s="2" t="inlineStr">
        <is>
          <t xml:space="preserve">      ✅ OK: Jobnet ID 'P1J0206@10206' khớp với dữ liệu trong Log.</t>
        </is>
      </c>
    </row>
    <row r="165">
      <c r="A165" t="inlineStr">
        <is>
          <t xml:space="preserve">  - [Kiểm tra File]: Log text báo có tạo ra file 'RFSH0206_output.tsv'.</t>
        </is>
      </c>
    </row>
    <row r="166">
      <c r="A166" s="2" t="inlineStr">
        <is>
          <t xml:space="preserve">      ✅ OK: Tên file trong ảnh File Explorer (RFSH0206_output.tsv) KHỚP với tên file trong Log text.</t>
        </is>
      </c>
    </row>
    <row r="167">
      <c r="A167" t="inlineStr">
        <is>
          <t xml:space="preserve">  - [Ảnh File Explorer]: Tìm thấy file 'RFSH0206_output.tsv' có Date modified là '2026/05/18 18:18'</t>
        </is>
      </c>
    </row>
    <row r="168">
      <c r="A168" s="2" t="inlineStr">
        <is>
          <t xml:space="preserve">      ✅ OK: Thời gian xuất file 'RFSH0206_output.tsv' (2026/05/18 18:18) KHỚP với log (2026/05/18 18:18).</t>
        </is>
      </c>
    </row>
    <row r="169">
      <c r="A169" t="inlineStr">
        <is>
          <t xml:space="preserve">  - [Đối chiếu Testcase trong Log]:</t>
        </is>
      </c>
    </row>
    <row r="170">
      <c r="A170" t="inlineStr">
        <is>
          <t xml:space="preserve">  - [Đối chiếu テスト計画書兼結果報告書(共通)]: Tìm thấy 2 dòng (30, 35)</t>
        </is>
      </c>
    </row>
    <row r="171">
      <c r="A171" s="2" t="inlineStr">
        <is>
          <t xml:space="preserve">      + Số lần test (Cột K): ✅ Tất cả 2 dòng đều khớp (Lần 7)</t>
        </is>
      </c>
    </row>
    <row r="172">
      <c r="A172" s="2" t="inlineStr">
        <is>
          <t xml:space="preserve">      + Ngày test (Cột I/G): ✅ Khớp ngày (2026/05/18) cho tất cả các dòng có dữ liệu</t>
        </is>
      </c>
    </row>
    <row r="173">
      <c r="A173" t="inlineStr"/>
    </row>
    <row r="174">
      <c r="A174" s="1">
        <f>=============== ĐANG PHÂN TÍCH KẾT QUẢ SHEET: エビデンス(個別) ================</f>
        <v/>
      </c>
    </row>
    <row r="175">
      <c r="A175" t="inlineStr"/>
    </row>
    <row r="176">
      <c r="A176" s="1" t="inlineStr">
        <is>
          <t>[Nhóm Test]: ■1回目 正常系・0byteファイル</t>
        </is>
      </c>
    </row>
    <row r="177">
      <c r="A177" t="inlineStr">
        <is>
          <t xml:space="preserve">  - Tổng số dòng log: 61</t>
        </is>
      </c>
    </row>
    <row r="178">
      <c r="A178" s="2" t="inlineStr">
        <is>
          <t xml:space="preserve">  - Trạng thái Sort (行): ✅ Đã sắp xếp tăng dần hợp lệ.</t>
        </is>
      </c>
    </row>
    <row r="179">
      <c r="A179" t="inlineStr">
        <is>
          <t xml:space="preserve">  - Ngày chạy log: 2026/05/18</t>
        </is>
      </c>
    </row>
    <row r="180">
      <c r="A180" t="inlineStr">
        <is>
          <t xml:space="preserve">  - [Ảnh Status Panel]: Tìm thấy Jobnet ID: 'P1J0206@10206'</t>
        </is>
      </c>
    </row>
    <row r="181">
      <c r="A181" t="inlineStr">
        <is>
          <t xml:space="preserve">  - [Ảnh Status Panel]: Tìm thấy Interface ID: 'RFSH0206'</t>
        </is>
      </c>
    </row>
    <row r="182">
      <c r="A182" s="2" t="inlineStr">
        <is>
          <t xml:space="preserve">      ✅ OK: Interface ID 'RFSH0206' có tồn tại trong tên file Excel.</t>
        </is>
      </c>
    </row>
    <row r="183">
      <c r="A183" t="inlineStr">
        <is>
          <t xml:space="preserve">  - [Ảnh Status Panel]: Tìm thấy giờ bắt đầu là 18:26:07</t>
        </is>
      </c>
    </row>
    <row r="184">
      <c r="A184" s="2" t="inlineStr">
        <is>
          <t xml:space="preserve">      ✅ OK: Thời gian log (18:26:07) &gt;= Thời gian ảnh (18:26:07)</t>
        </is>
      </c>
    </row>
    <row r="185">
      <c r="A185" s="2" t="inlineStr">
        <is>
          <t xml:space="preserve">      ✅ OK: Duration Log Main (180ms) &lt; Duration Ảnh (413ms)</t>
        </is>
      </c>
    </row>
    <row r="186">
      <c r="A186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87">
      <c r="A187" s="2" t="inlineStr">
        <is>
          <t xml:space="preserve">      ✅ OK: Jobnet ID 'P1J0206@10206' khớp với dữ liệu trong Log.</t>
        </is>
      </c>
    </row>
    <row r="188">
      <c r="A188" t="inlineStr">
        <is>
          <t xml:space="preserve">  - [Kiểm tra File]: Log text báo có tạo ra file 'RFSH0206_output.tsv'.</t>
        </is>
      </c>
    </row>
    <row r="189">
      <c r="A189" s="2" t="inlineStr">
        <is>
          <t xml:space="preserve">      ✅ OK: Tên file trong ảnh File Explorer (RFSH0206_output.tsv) KHỚP với tên file trong Log text.</t>
        </is>
      </c>
    </row>
    <row r="190">
      <c r="A190" t="inlineStr">
        <is>
          <t xml:space="preserve">  - [Ảnh File Explorer]: Tìm thấy file 'RFSH0206_output.tsv' có Date modified là '2026/05/18 18:26'</t>
        </is>
      </c>
    </row>
    <row r="191">
      <c r="A191" s="2" t="inlineStr">
        <is>
          <t xml:space="preserve">      ✅ OK: Thời gian xuất file 'RFSH0206_output.tsv' (2026/05/18 18:26) KHỚP với log (2026/05/18 18:26).</t>
        </is>
      </c>
    </row>
    <row r="192">
      <c r="A192" t="inlineStr">
        <is>
          <t xml:space="preserve">  - [Đối chiếu Testcase trong Log]:</t>
        </is>
      </c>
    </row>
    <row r="193">
      <c r="A193" t="inlineStr">
        <is>
          <t xml:space="preserve">  - [Đối chiếu テスト計画書兼結果報告書(個別)]: Tìm thấy 1 dòng (6)</t>
        </is>
      </c>
    </row>
    <row r="194">
      <c r="A194" s="2" t="inlineStr">
        <is>
          <t xml:space="preserve">      + Số lần test (Cột K): ✅ Tất cả 1 dòng đều khớp (Lần 1)</t>
        </is>
      </c>
    </row>
    <row r="195">
      <c r="A195" s="2" t="inlineStr">
        <is>
          <t xml:space="preserve">      + Ngày test (Cột I/G): ✅ Khớp ngày (2026/05/18) cho tất cả các dòng có dữ liệu</t>
        </is>
      </c>
    </row>
    <row r="196">
      <c r="A196" t="inlineStr"/>
    </row>
    <row r="197">
      <c r="A197" s="1" t="inlineStr">
        <is>
          <t>[Nhóm Test]: ■2回目 正常系・全項目空データファイル</t>
        </is>
      </c>
    </row>
    <row r="198">
      <c r="A198" t="inlineStr">
        <is>
          <t xml:space="preserve">  - Tổng số dòng log: 65</t>
        </is>
      </c>
    </row>
    <row r="199">
      <c r="A199" s="2" t="inlineStr">
        <is>
          <t xml:space="preserve">  - Trạng thái Sort (行): ✅ Đã sắp xếp tăng dần hợp lệ.</t>
        </is>
      </c>
    </row>
    <row r="200">
      <c r="A200" t="inlineStr">
        <is>
          <t xml:space="preserve">  - Ngày chạy log: 2026/05/18</t>
        </is>
      </c>
    </row>
    <row r="201">
      <c r="A201" t="inlineStr">
        <is>
          <t xml:space="preserve">  - [Ảnh Status Panel]: Tìm thấy Jobnet ID: 'P1J0206@10206'</t>
        </is>
      </c>
    </row>
    <row r="202">
      <c r="A202" t="inlineStr">
        <is>
          <t xml:space="preserve">  - [Ảnh Status Panel]: Tìm thấy Interface ID: 'RFSH0206'</t>
        </is>
      </c>
    </row>
    <row r="203">
      <c r="A203" s="2" t="inlineStr">
        <is>
          <t xml:space="preserve">      ✅ OK: Interface ID 'RFSH0206' có tồn tại trong tên file Excel.</t>
        </is>
      </c>
    </row>
    <row r="204">
      <c r="A204" t="inlineStr">
        <is>
          <t xml:space="preserve">  - [Ảnh Status Panel]: Tìm thấy giờ bắt đầu là 18:28:02</t>
        </is>
      </c>
    </row>
    <row r="205">
      <c r="A205" s="2" t="inlineStr">
        <is>
          <t xml:space="preserve">      ✅ OK: Thời gian log (18:28:02) &gt;= Thời gian ảnh (18:28:02)</t>
        </is>
      </c>
    </row>
    <row r="206">
      <c r="A206" s="2" t="inlineStr">
        <is>
          <t xml:space="preserve">      ✅ OK: Duration Log Main (203ms) &lt; Duration Ảnh (429ms)</t>
        </is>
      </c>
    </row>
    <row r="207">
      <c r="A207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08">
      <c r="A208" s="2" t="inlineStr">
        <is>
          <t xml:space="preserve">      ✅ OK: Jobnet ID 'P1J0206@10206' khớp với dữ liệu trong Log.</t>
        </is>
      </c>
    </row>
    <row r="209">
      <c r="A209" t="inlineStr">
        <is>
          <t xml:space="preserve">  - [Kiểm tra File]: Log text báo có tạo ra file 'RFSH0206_output.tsv'.</t>
        </is>
      </c>
    </row>
    <row r="210">
      <c r="A210" s="2" t="inlineStr">
        <is>
          <t xml:space="preserve">      ✅ OK: Tên file trong ảnh File Explorer (RFSH0206_output.tsv) KHỚP với tên file trong Log text.</t>
        </is>
      </c>
    </row>
    <row r="211">
      <c r="A211" t="inlineStr">
        <is>
          <t xml:space="preserve">  - [Ảnh File Explorer]: Tìm thấy file 'RFSH0206_output.tsv' có Date modified là '2026/05/18 18:28'</t>
        </is>
      </c>
    </row>
    <row r="212">
      <c r="A212" s="2" t="inlineStr">
        <is>
          <t xml:space="preserve">      ✅ OK: Thời gian xuất file 'RFSH0206_output.tsv' (2026/05/18 18:28) KHỚP với log (2026/05/18 18:28).</t>
        </is>
      </c>
    </row>
    <row r="213">
      <c r="A213" t="inlineStr">
        <is>
          <t xml:space="preserve">  - [Đối chiếu Testcase trong Log]:</t>
        </is>
      </c>
    </row>
    <row r="214">
      <c r="A214" t="inlineStr">
        <is>
          <t xml:space="preserve">  - [Đối chiếu テスト計画書兼結果報告書(個別)]: Tìm thấy 1 dòng (8)</t>
        </is>
      </c>
    </row>
    <row r="215">
      <c r="A215" s="2" t="inlineStr">
        <is>
          <t xml:space="preserve">      + Số lần test (Cột K): ✅ Tất cả 1 dòng đều khớp (Lần 2)</t>
        </is>
      </c>
    </row>
    <row r="216">
      <c r="A216" s="2" t="inlineStr">
        <is>
          <t xml:space="preserve">      + Ngày test (Cột I/G): ✅ Khớp ngày (2026/05/18) cho tất cả các dòng có dữ liệu</t>
        </is>
      </c>
    </row>
    <row r="217">
      <c r="A217" t="inlineStr"/>
    </row>
    <row r="218">
      <c r="A218" s="1" t="inlineStr">
        <is>
          <t>[Nhóm Test]: ■3回目 正常系・ファイル定義確認</t>
        </is>
      </c>
    </row>
    <row r="219">
      <c r="A219" t="inlineStr">
        <is>
          <t xml:space="preserve">  - Tổng số dòng log: 65</t>
        </is>
      </c>
    </row>
    <row r="220">
      <c r="A220" s="2" t="inlineStr">
        <is>
          <t xml:space="preserve">  - Trạng thái Sort (行): ✅ Đã sắp xếp tăng dần hợp lệ.</t>
        </is>
      </c>
    </row>
    <row r="221">
      <c r="A221" t="inlineStr">
        <is>
          <t xml:space="preserve">  - Ngày chạy log: 2026/05/18</t>
        </is>
      </c>
    </row>
    <row r="222">
      <c r="A222" t="inlineStr">
        <is>
          <t xml:space="preserve">  - [Ảnh Status Panel]: Tìm thấy Jobnet ID: 'P1J0206@10206'</t>
        </is>
      </c>
    </row>
    <row r="223">
      <c r="A223" t="inlineStr">
        <is>
          <t xml:space="preserve">  - [Ảnh Status Panel]: Tìm thấy Interface ID: 'RFSH0206'</t>
        </is>
      </c>
    </row>
    <row r="224">
      <c r="A224" s="2" t="inlineStr">
        <is>
          <t xml:space="preserve">      ✅ OK: Interface ID 'RFSH0206' có tồn tại trong tên file Excel.</t>
        </is>
      </c>
    </row>
    <row r="225">
      <c r="A225" t="inlineStr">
        <is>
          <t xml:space="preserve">  - [Ảnh Status Panel]: Tìm thấy giờ bắt đầu là 18:29:59</t>
        </is>
      </c>
    </row>
    <row r="226">
      <c r="A226" s="2" t="inlineStr">
        <is>
          <t xml:space="preserve">      ✅ OK: Thời gian log (18:29:59) &gt;= Thời gian ảnh (18:29:59)</t>
        </is>
      </c>
    </row>
    <row r="227">
      <c r="A227" s="2" t="inlineStr">
        <is>
          <t xml:space="preserve">      ✅ OK: Duration Log Main (200ms) &lt; Duration Ảnh (462ms)</t>
        </is>
      </c>
    </row>
    <row r="228">
      <c r="A228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29">
      <c r="A229" s="2" t="inlineStr">
        <is>
          <t xml:space="preserve">      ✅ OK: Jobnet ID 'P1J0206@10206' khớp với dữ liệu trong Log.</t>
        </is>
      </c>
    </row>
    <row r="230">
      <c r="A230" t="inlineStr">
        <is>
          <t xml:space="preserve">  - [Kiểm tra File]: Log text báo có tạo ra file 'RFSH0206_output.tsv'.</t>
        </is>
      </c>
    </row>
    <row r="231">
      <c r="A231" s="2" t="inlineStr">
        <is>
          <t xml:space="preserve">      ✅ OK: Tên file trong ảnh File Explorer (RFSH0206_output.tsv) KHỚP với tên file trong Log text.</t>
        </is>
      </c>
    </row>
    <row r="232">
      <c r="A232" t="inlineStr">
        <is>
          <t xml:space="preserve">  - [Ảnh File Explorer]: Tìm thấy file 'RFSH0206_output.tsv' có Date modified là '2026/05/18 18:30'</t>
        </is>
      </c>
    </row>
    <row r="233">
      <c r="A233" s="2" t="inlineStr">
        <is>
          <t xml:space="preserve">      ✅ OK: Thời gian xuất file 'RFSH0206_output.tsv' (2026/05/18 18:30) KHỚP với log (2026/05/18 18:30).</t>
        </is>
      </c>
    </row>
    <row r="234">
      <c r="A234" t="inlineStr">
        <is>
          <t xml:space="preserve">  - [Đối chiếu Testcase trong Log]:</t>
        </is>
      </c>
    </row>
    <row r="235">
      <c r="A235" t="inlineStr">
        <is>
          <t xml:space="preserve">  - [Đối chiếu テスト計画書兼結果報告書(個別)]: Tìm thấy 12 dòng (18, 19, 20, 21, 22, 23, 25, 26, 27, 28, 29, 30)</t>
        </is>
      </c>
    </row>
    <row r="236">
      <c r="A236" s="2" t="inlineStr">
        <is>
          <t xml:space="preserve">      + Số lần test (Cột K): ✅ Tất cả 12 dòng đều khớp (Lần 3)</t>
        </is>
      </c>
    </row>
    <row r="237">
      <c r="A237" s="2" t="inlineStr">
        <is>
          <t xml:space="preserve">      + Ngày test (Cột I/G): ✅ Khớp ngày (2026/05/18) cho tất cả các dòng có dữ liệu</t>
        </is>
      </c>
    </row>
    <row r="238">
      <c r="A238" t="inlineStr"/>
    </row>
    <row r="239">
      <c r="A239" s="1" t="inlineStr">
        <is>
          <t>[Nhóm Test]: 4回目正常系・列分割→行変換確認（明細0件）</t>
        </is>
      </c>
    </row>
    <row r="240">
      <c r="A240" t="inlineStr">
        <is>
          <t xml:space="preserve">  - Tổng số dòng log: 65</t>
        </is>
      </c>
    </row>
    <row r="241">
      <c r="A241" s="2" t="inlineStr">
        <is>
          <t xml:space="preserve">  - Trạng thái Sort (行): ✅ Đã sắp xếp tăng dần hợp lệ.</t>
        </is>
      </c>
    </row>
    <row r="242">
      <c r="A242" t="inlineStr">
        <is>
          <t xml:space="preserve">  - Ngày chạy log: 2026/05/18</t>
        </is>
      </c>
    </row>
    <row r="243">
      <c r="A243" t="inlineStr">
        <is>
          <t xml:space="preserve">  - [Ảnh Status Panel]: Tìm thấy Jobnet ID: 'P1J0206@10206'</t>
        </is>
      </c>
    </row>
    <row r="244">
      <c r="A244" t="inlineStr">
        <is>
          <t xml:space="preserve">  - [Ảnh Status Panel]: Tìm thấy Interface ID: 'RFSH0206'</t>
        </is>
      </c>
    </row>
    <row r="245">
      <c r="A245" s="2" t="inlineStr">
        <is>
          <t xml:space="preserve">      ✅ OK: Interface ID 'RFSH0206' có tồn tại trong tên file Excel.</t>
        </is>
      </c>
    </row>
    <row r="246">
      <c r="A246" t="inlineStr">
        <is>
          <t xml:space="preserve">  - [Ảnh Status Panel]: Tìm thấy giờ bắt đầu là 18:33:33</t>
        </is>
      </c>
    </row>
    <row r="247">
      <c r="A247" s="2" t="inlineStr">
        <is>
          <t xml:space="preserve">      ✅ OK: Thời gian log (18:33:34) &gt;= Thời gian ảnh (18:33:33)</t>
        </is>
      </c>
    </row>
    <row r="248">
      <c r="A248" s="2" t="inlineStr">
        <is>
          <t xml:space="preserve">      ✅ OK: Duration Log Main (189ms) &lt; Duration Ảnh (398ms)</t>
        </is>
      </c>
    </row>
    <row r="249">
      <c r="A249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50">
      <c r="A250" s="2" t="inlineStr">
        <is>
          <t xml:space="preserve">      ✅ OK: Jobnet ID 'P1J0206@10206' khớp với dữ liệu trong Log.</t>
        </is>
      </c>
    </row>
    <row r="251">
      <c r="A251" t="inlineStr">
        <is>
          <t xml:space="preserve">  - [Kiểm tra File]: Log text báo có tạo ra file 'RFSH0206_output.tsv'.</t>
        </is>
      </c>
    </row>
    <row r="252">
      <c r="A252" s="2" t="inlineStr">
        <is>
          <t xml:space="preserve">      ✅ OK: Tên file trong ảnh File Explorer (RFSH0206_output.tsv) KHỚP với tên file trong Log text.</t>
        </is>
      </c>
    </row>
    <row r="253">
      <c r="A253" t="inlineStr">
        <is>
          <t xml:space="preserve">  - [Ảnh File Explorer]: Tìm thấy file 'RFSH0206_output.tsv' có Date modified là '2026/05/18 18:33'</t>
        </is>
      </c>
    </row>
    <row r="254">
      <c r="A254" s="2" t="inlineStr">
        <is>
          <t xml:space="preserve">      ✅ OK: Thời gian xuất file 'RFSH0206_output.tsv' (2026/05/18 18:33) KHỚP với log (2026/05/18 18:33).</t>
        </is>
      </c>
    </row>
    <row r="255">
      <c r="A255" t="inlineStr">
        <is>
          <t xml:space="preserve">  - [Đối chiếu Testcase trong Log]:</t>
        </is>
      </c>
    </row>
    <row r="256">
      <c r="A256" t="inlineStr">
        <is>
          <t xml:space="preserve">  - [Đối chiếu テスト計画書兼結果報告書(個別)]: Tìm thấy 1 dòng (11)</t>
        </is>
      </c>
    </row>
    <row r="257">
      <c r="A257" s="2" t="inlineStr">
        <is>
          <t xml:space="preserve">      + Số lần test (Cột K): ✅ Tất cả 1 dòng đều khớp (Lần 4)</t>
        </is>
      </c>
    </row>
    <row r="258">
      <c r="A258" s="2" t="inlineStr">
        <is>
          <t xml:space="preserve">      + Ngày test (Cột I/G): ✅ Khớp ngày (2026/05/18) cho tất cả các dòng có dữ liệu</t>
        </is>
      </c>
    </row>
    <row r="259">
      <c r="A259" t="inlineStr"/>
    </row>
    <row r="260">
      <c r="A260" s="1" t="inlineStr">
        <is>
          <t>[Nhóm Test]: 5回目正常系・列分割→行変換確認（明細1件）</t>
        </is>
      </c>
    </row>
    <row r="261">
      <c r="A261" t="inlineStr">
        <is>
          <t xml:space="preserve">  - Tổng số dòng log: 65</t>
        </is>
      </c>
    </row>
    <row r="262">
      <c r="A262" s="2" t="inlineStr">
        <is>
          <t xml:space="preserve">  - Trạng thái Sort (行): ✅ Đã sắp xếp tăng dần hợp lệ.</t>
        </is>
      </c>
    </row>
    <row r="263">
      <c r="A263" t="inlineStr">
        <is>
          <t xml:space="preserve">  - Ngày chạy log: 2026/05/18</t>
        </is>
      </c>
    </row>
    <row r="264">
      <c r="A264" t="inlineStr">
        <is>
          <t xml:space="preserve">  - [Ảnh Status Panel]: Tìm thấy Jobnet ID: 'P1J0206@10206'</t>
        </is>
      </c>
    </row>
    <row r="265">
      <c r="A265" t="inlineStr">
        <is>
          <t xml:space="preserve">  - [Ảnh Status Panel]: Tìm thấy Interface ID: 'RFSH0206'</t>
        </is>
      </c>
    </row>
    <row r="266">
      <c r="A266" s="2" t="inlineStr">
        <is>
          <t xml:space="preserve">      ✅ OK: Interface ID 'RFSH0206' có tồn tại trong tên file Excel.</t>
        </is>
      </c>
    </row>
    <row r="267">
      <c r="A267" t="inlineStr">
        <is>
          <t xml:space="preserve">  - [Ảnh Status Panel]: Tìm thấy giờ bắt đầu là 18:36:13</t>
        </is>
      </c>
    </row>
    <row r="268">
      <c r="A268" s="2" t="inlineStr">
        <is>
          <t xml:space="preserve">      ✅ OK: Thời gian log (18:36:13) &gt;= Thời gian ảnh (18:36:13)</t>
        </is>
      </c>
    </row>
    <row r="269">
      <c r="A269" s="2" t="inlineStr">
        <is>
          <t xml:space="preserve">      ✅ OK: Duration Log Main (206ms) &lt; Duration Ảnh (397ms)</t>
        </is>
      </c>
    </row>
    <row r="270">
      <c r="A270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71">
      <c r="A271" s="2" t="inlineStr">
        <is>
          <t xml:space="preserve">      ✅ OK: Jobnet ID 'P1J0206@10206' khớp với dữ liệu trong Log.</t>
        </is>
      </c>
    </row>
    <row r="272">
      <c r="A272" t="inlineStr">
        <is>
          <t xml:space="preserve">  - [Kiểm tra File]: Log text báo có tạo ra file 'RFSH0206_output.tsv'.</t>
        </is>
      </c>
    </row>
    <row r="273">
      <c r="A273" s="2" t="inlineStr">
        <is>
          <t xml:space="preserve">      ✅ OK: Tên file trong ảnh File Explorer (RFSH0206_output.tsv) KHỚP với tên file trong Log text.</t>
        </is>
      </c>
    </row>
    <row r="274">
      <c r="A274" t="inlineStr">
        <is>
          <t xml:space="preserve">  - [Ảnh File Explorer]: Tìm thấy file 'RFSH0206_output.tsv' có Date modified là '2026/05/18 18:36'</t>
        </is>
      </c>
    </row>
    <row r="275">
      <c r="A275" s="2" t="inlineStr">
        <is>
          <t xml:space="preserve">      ✅ OK: Thời gian xuất file 'RFSH0206_output.tsv' (2026/05/18 18:36) KHỚP với log (2026/05/18 18:36).</t>
        </is>
      </c>
    </row>
    <row r="276">
      <c r="A276" t="inlineStr">
        <is>
          <t xml:space="preserve">  - [Đối chiếu Testcase trong Log]:</t>
        </is>
      </c>
    </row>
    <row r="277">
      <c r="A277" t="inlineStr">
        <is>
          <t xml:space="preserve">  - [Đối chiếu テスト計画書兼結果報告書(個別)]: Tìm thấy 1 dòng (12)</t>
        </is>
      </c>
    </row>
    <row r="278">
      <c r="A278" s="2" t="inlineStr">
        <is>
          <t xml:space="preserve">      + Số lần test (Cột K): ✅ Tất cả 1 dòng đều khớp (Lần 5)</t>
        </is>
      </c>
    </row>
    <row r="279">
      <c r="A279" s="2" t="inlineStr">
        <is>
          <t xml:space="preserve">      + Ngày test (Cột I/G): ✅ Khớp ngày (2026/05/18) cho tất cả các dòng có dữ liệu</t>
        </is>
      </c>
    </row>
    <row r="280">
      <c r="A280" t="inlineStr"/>
    </row>
    <row r="281">
      <c r="A281" s="1" t="inlineStr">
        <is>
          <t>[Nhóm Test]: 6回目正常系・列分割→行変換確認（明細8件）</t>
        </is>
      </c>
    </row>
    <row r="282">
      <c r="A282" t="inlineStr">
        <is>
          <t xml:space="preserve">  - Tổng số dòng log: 65</t>
        </is>
      </c>
    </row>
    <row r="283">
      <c r="A283" s="2" t="inlineStr">
        <is>
          <t xml:space="preserve">  - Trạng thái Sort (行): ✅ Đã sắp xếp tăng dần hợp lệ.</t>
        </is>
      </c>
    </row>
    <row r="284">
      <c r="A284" t="inlineStr">
        <is>
          <t xml:space="preserve">  - Ngày chạy log: 2026/05/18</t>
        </is>
      </c>
    </row>
    <row r="285">
      <c r="A285" t="inlineStr">
        <is>
          <t xml:space="preserve">  - [Ảnh Status Panel]: Tìm thấy Jobnet ID: 'P1J0206@10206'</t>
        </is>
      </c>
    </row>
    <row r="286">
      <c r="A286" t="inlineStr">
        <is>
          <t xml:space="preserve">  - [Ảnh Status Panel]: Tìm thấy Interface ID: 'RFSH0206'</t>
        </is>
      </c>
    </row>
    <row r="287">
      <c r="A287" s="2" t="inlineStr">
        <is>
          <t xml:space="preserve">      ✅ OK: Interface ID 'RFSH0206' có tồn tại trong tên file Excel.</t>
        </is>
      </c>
    </row>
    <row r="288">
      <c r="A288" t="inlineStr">
        <is>
          <t xml:space="preserve">  - [Ảnh Status Panel]: Tìm thấy giờ bắt đầu là 18:38:47</t>
        </is>
      </c>
    </row>
    <row r="289">
      <c r="A289" s="2" t="inlineStr">
        <is>
          <t xml:space="preserve">      ✅ OK: Thời gian log (18:38:47) &gt;= Thời gian ảnh (18:38:47)</t>
        </is>
      </c>
    </row>
    <row r="290">
      <c r="A290" s="2" t="inlineStr">
        <is>
          <t xml:space="preserve">      ✅ OK: Duration Log Main (192ms) &lt; Duration Ảnh (413ms)</t>
        </is>
      </c>
    </row>
    <row r="291">
      <c r="A291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92">
      <c r="A292" s="2" t="inlineStr">
        <is>
          <t xml:space="preserve">      ✅ OK: Jobnet ID 'P1J0206@10206' khớp với dữ liệu trong Log.</t>
        </is>
      </c>
    </row>
    <row r="293">
      <c r="A293" t="inlineStr">
        <is>
          <t xml:space="preserve">  - [Kiểm tra File]: Log text báo có tạo ra file 'RFSH0206_output.tsv'.</t>
        </is>
      </c>
    </row>
    <row r="294">
      <c r="A294" s="2" t="inlineStr">
        <is>
          <t xml:space="preserve">      ✅ OK: Tên file trong ảnh File Explorer (RFSH0206_output.tsv) KHỚP với tên file trong Log text.</t>
        </is>
      </c>
    </row>
    <row r="295">
      <c r="A295" t="inlineStr">
        <is>
          <t xml:space="preserve">  - [Ảnh File Explorer]: Tìm thấy file 'RFSH0206_output.tsv' có Date modified là '2026/05/18 18:38'</t>
        </is>
      </c>
    </row>
    <row r="296">
      <c r="A296" s="2" t="inlineStr">
        <is>
          <t xml:space="preserve">      ✅ OK: Thời gian xuất file 'RFSH0206_output.tsv' (2026/05/18 18:38) KHỚP với log (2026/05/18 18:38).</t>
        </is>
      </c>
    </row>
    <row r="297">
      <c r="A297" t="inlineStr">
        <is>
          <t xml:space="preserve">  - [Đối chiếu Testcase trong Log]:</t>
        </is>
      </c>
    </row>
    <row r="298">
      <c r="A298" t="inlineStr">
        <is>
          <t xml:space="preserve">  - [Đối chiếu テスト計画書兼結果報告書(個別)]: Tìm thấy 1 dòng (13)</t>
        </is>
      </c>
    </row>
    <row r="299">
      <c r="A299" s="2" t="inlineStr">
        <is>
          <t xml:space="preserve">      + Số lần test (Cột K): ✅ Tất cả 1 dòng đều khớp (Lần 6)</t>
        </is>
      </c>
    </row>
    <row r="300">
      <c r="A300" s="2" t="inlineStr">
        <is>
          <t xml:space="preserve">      + Ngày test (Cột I/G): ✅ Khớp ngày (2026/05/18) cho tất cả các dòng có dữ liệu</t>
        </is>
      </c>
    </row>
    <row r="301">
      <c r="A301" t="inlineStr"/>
    </row>
    <row r="302">
      <c r="A302" s="1" t="inlineStr">
        <is>
          <t>[Nhóm Test]: 7回目正常系・列分割→行変換確認（明細4件）</t>
        </is>
      </c>
    </row>
    <row r="303">
      <c r="A303" t="inlineStr">
        <is>
          <t xml:space="preserve">  - Tổng số dòng log: 65</t>
        </is>
      </c>
    </row>
    <row r="304">
      <c r="A304" s="2" t="inlineStr">
        <is>
          <t xml:space="preserve">  - Trạng thái Sort (行): ✅ Đã sắp xếp tăng dần hợp lệ.</t>
        </is>
      </c>
    </row>
    <row r="305">
      <c r="A305" t="inlineStr">
        <is>
          <t xml:space="preserve">  - Ngày chạy log: 2026/05/18</t>
        </is>
      </c>
    </row>
    <row r="306">
      <c r="A306" t="inlineStr">
        <is>
          <t xml:space="preserve">  - [Ảnh Status Panel]: Tìm thấy Jobnet ID: 'P1J0206@10206'</t>
        </is>
      </c>
    </row>
    <row r="307">
      <c r="A307" t="inlineStr">
        <is>
          <t xml:space="preserve">  - [Ảnh Status Panel]: Tìm thấy Interface ID: 'RFSH0206'</t>
        </is>
      </c>
    </row>
    <row r="308">
      <c r="A308" s="2" t="inlineStr">
        <is>
          <t xml:space="preserve">      ✅ OK: Interface ID 'RFSH0206' có tồn tại trong tên file Excel.</t>
        </is>
      </c>
    </row>
    <row r="309">
      <c r="A309" t="inlineStr">
        <is>
          <t xml:space="preserve">  - [Ảnh Status Panel]: Tìm thấy giờ bắt đầu là 18:41:10</t>
        </is>
      </c>
    </row>
    <row r="310">
      <c r="A310" s="2" t="inlineStr">
        <is>
          <t xml:space="preserve">      ✅ OK: Thời gian log (18:41:10) &gt;= Thời gian ảnh (18:41:10)</t>
        </is>
      </c>
    </row>
    <row r="311">
      <c r="A311" s="2" t="inlineStr">
        <is>
          <t xml:space="preserve">      ✅ OK: Duration Log Main (196ms) &lt; Duration Ảnh (394ms)</t>
        </is>
      </c>
    </row>
    <row r="312">
      <c r="A312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313">
      <c r="A313" s="2" t="inlineStr">
        <is>
          <t xml:space="preserve">      ✅ OK: Jobnet ID 'P1J0206@10206' khớp với dữ liệu trong Log.</t>
        </is>
      </c>
    </row>
    <row r="314">
      <c r="A314" t="inlineStr">
        <is>
          <t xml:space="preserve">  - [Kiểm tra File]: Log text báo có tạo ra file 'RFSH0206_output.tsv'.</t>
        </is>
      </c>
    </row>
    <row r="315">
      <c r="A315" s="2" t="inlineStr">
        <is>
          <t xml:space="preserve">      ✅ OK: Tên file trong ảnh File Explorer (RFSH0206_output.tsv) KHỚP với tên file trong Log text.</t>
        </is>
      </c>
    </row>
    <row r="316">
      <c r="A316" t="inlineStr">
        <is>
          <t xml:space="preserve">  - [Ảnh File Explorer]: Tìm thấy file 'RFSH0206_output.tsv' có Date modified là '2026/05/18 18:41'</t>
        </is>
      </c>
    </row>
    <row r="317">
      <c r="A317" s="2" t="inlineStr">
        <is>
          <t xml:space="preserve">      ✅ OK: Thời gian xuất file 'RFSH0206_output.tsv' (2026/05/18 18:41) KHỚP với log (2026/05/18 18:41).</t>
        </is>
      </c>
    </row>
    <row r="318">
      <c r="A318" t="inlineStr">
        <is>
          <t xml:space="preserve">  - [Đối chiếu Testcase trong Log]:</t>
        </is>
      </c>
    </row>
    <row r="319">
      <c r="A319" t="inlineStr">
        <is>
          <t xml:space="preserve">  - [Đối chiếu テスト計画書兼結果報告書(個別)]: Tìm thấy 1 dòng (14)</t>
        </is>
      </c>
    </row>
    <row r="320">
      <c r="A320" s="2" t="inlineStr">
        <is>
          <t xml:space="preserve">      + Số lần test (Cột K): ✅ Tất cả 1 dòng đều khớp (Lần 7)</t>
        </is>
      </c>
    </row>
    <row r="321">
      <c r="A321" s="2" t="inlineStr">
        <is>
          <t xml:space="preserve">      + Ngày test (Cột I/G): ✅ Khớp ngày (2026/05/18) cho tất cả các dòng có dữ liệu</t>
        </is>
      </c>
    </row>
    <row r="322">
      <c r="A322" t="inlineStr"/>
    </row>
    <row r="323">
      <c r="A323" s="1" t="inlineStr">
        <is>
          <t>[Nhóm Test]: 8回目正常系・列分割→行変換確認（レコードが複数件あり）</t>
        </is>
      </c>
    </row>
    <row r="324">
      <c r="A324" t="inlineStr">
        <is>
          <t xml:space="preserve">  - Tổng số dòng log: 65</t>
        </is>
      </c>
    </row>
    <row r="325">
      <c r="A325" s="2" t="inlineStr">
        <is>
          <t xml:space="preserve">  - Trạng thái Sort (行): ✅ Đã sắp xếp tăng dần hợp lệ.</t>
        </is>
      </c>
    </row>
    <row r="326">
      <c r="A326" t="inlineStr">
        <is>
          <t xml:space="preserve">  - Ngày chạy log: 2026/05/18</t>
        </is>
      </c>
    </row>
    <row r="327">
      <c r="A327" t="inlineStr">
        <is>
          <t xml:space="preserve">  - [Ảnh Status Panel]: Tìm thấy Jobnet ID: 'P1J0206@10206'</t>
        </is>
      </c>
    </row>
    <row r="328">
      <c r="A328" t="inlineStr">
        <is>
          <t xml:space="preserve">  - [Ảnh Status Panel]: Tìm thấy Interface ID: 'RFSH0206'</t>
        </is>
      </c>
    </row>
    <row r="329">
      <c r="A329" s="2" t="inlineStr">
        <is>
          <t xml:space="preserve">      ✅ OK: Interface ID 'RFSH0206' có tồn tại trong tên file Excel.</t>
        </is>
      </c>
    </row>
    <row r="330">
      <c r="A330" t="inlineStr">
        <is>
          <t xml:space="preserve">  - [Ảnh Status Panel]: Tìm thấy giờ bắt đầu là 18:43:47</t>
        </is>
      </c>
    </row>
    <row r="331">
      <c r="A331" s="2" t="inlineStr">
        <is>
          <t xml:space="preserve">      ✅ OK: Thời gian log (18:43:47) &gt;= Thời gian ảnh (18:43:47)</t>
        </is>
      </c>
    </row>
    <row r="332">
      <c r="A332" s="2" t="inlineStr">
        <is>
          <t xml:space="preserve">      ✅ OK: Duration Log Main (187ms) &lt; Duration Ảnh (396ms)</t>
        </is>
      </c>
    </row>
    <row r="333">
      <c r="A333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334">
      <c r="A334" s="2" t="inlineStr">
        <is>
          <t xml:space="preserve">      ✅ OK: Jobnet ID 'P1J0206@10206' khớp với dữ liệu trong Log.</t>
        </is>
      </c>
    </row>
    <row r="335">
      <c r="A335" t="inlineStr">
        <is>
          <t xml:space="preserve">  - [Kiểm tra File]: Log text báo có tạo ra file 'RFSH0206_output.tsv'.</t>
        </is>
      </c>
    </row>
    <row r="336">
      <c r="A336" s="2" t="inlineStr">
        <is>
          <t xml:space="preserve">      ✅ OK: Tên file trong ảnh File Explorer (RFSH0206_output.tsv) KHỚP với tên file trong Log text.</t>
        </is>
      </c>
    </row>
    <row r="337">
      <c r="A337" t="inlineStr">
        <is>
          <t xml:space="preserve">  - [Ảnh File Explorer]: Tìm thấy file 'RFSH0206_output.tsv' có Date modified là '2026/05/18 18:43'</t>
        </is>
      </c>
    </row>
    <row r="338">
      <c r="A338" s="2" t="inlineStr">
        <is>
          <t xml:space="preserve">      ✅ OK: Thời gian xuất file 'RFSH0206_output.tsv' (2026/05/18 18:43) KHỚP với log (2026/05/18 18:43).</t>
        </is>
      </c>
    </row>
    <row r="339">
      <c r="A339" t="inlineStr">
        <is>
          <t xml:space="preserve">  - [Đối chiếu Testcase trong Log]:</t>
        </is>
      </c>
    </row>
    <row r="340">
      <c r="A340" t="inlineStr">
        <is>
          <t xml:space="preserve">  - [Đối chiếu テスト計画書兼結果報告書(個別)]: Tìm thấy 1 dòng (15)</t>
        </is>
      </c>
    </row>
    <row r="341">
      <c r="A341" s="2" t="inlineStr">
        <is>
          <t xml:space="preserve">      + Số lần test (Cột K): ✅ Tất cả 1 dòng đều khớp (Lần 8)</t>
        </is>
      </c>
    </row>
    <row r="342">
      <c r="A342" s="2" t="inlineStr">
        <is>
          <t xml:space="preserve">      + Ngày test (Cột I/G): ✅ Khớp ngày (2026/05/18) cho tất cả các dòng có dữ liệu</t>
        </is>
      </c>
    </row>
    <row r="343">
      <c r="A343" t="inlineStr"/>
    </row>
    <row r="344">
      <c r="A344" s="1">
        <f>=============== TỔNG KẾT COVERAGE CHO SHEET エビデンス(共通) ================</f>
        <v/>
      </c>
    </row>
    <row r="345">
      <c r="A345" s="2" t="inlineStr">
        <is>
          <t xml:space="preserve">  - ✅ Nhóm 1 (gồm TC: 1-1-1, 1-2-1, 2-1-1, 2-2-1, 3-1-1, 3-2-1, 4-1-1, 4-2-1, 5-1-1, 5-3-1, 5-4-1, 6-1-1, 7-1-1): Đã có Log Evidence.</t>
        </is>
      </c>
    </row>
    <row r="346">
      <c r="A346" s="2" t="inlineStr">
        <is>
          <t xml:space="preserve">  - ✅ Nhóm 2 (gồm TC: 1-2-2, 2-2-2): Đã có Log Evidence.</t>
        </is>
      </c>
    </row>
    <row r="347">
      <c r="A347" s="2" t="inlineStr">
        <is>
          <t xml:space="preserve">  - ✅ Nhóm 3 (gồm TC: 3-2-2): Đã có Log Evidence.</t>
        </is>
      </c>
    </row>
    <row r="348">
      <c r="A348" s="2" t="inlineStr">
        <is>
          <t xml:space="preserve">  - ✅ Nhóm 4 (gồm TC: 3-2-3): Đã có Log Evidence.</t>
        </is>
      </c>
    </row>
    <row r="349">
      <c r="A349" s="2" t="inlineStr">
        <is>
          <t xml:space="preserve">  - ✅ Nhóm 5 (gồm TC: 4-1-2, 7-1-2): Đã có Log Evidence.</t>
        </is>
      </c>
    </row>
    <row r="350">
      <c r="A350" s="2" t="inlineStr">
        <is>
          <t xml:space="preserve">  - ✅ Nhóm 6 (gồm TC: 4-2-2): Đã có Log Evidence.</t>
        </is>
      </c>
    </row>
    <row r="351">
      <c r="A351" s="2" t="inlineStr">
        <is>
          <t xml:space="preserve">  - ✅ Nhóm 7 (gồm TC: 4-2-3, 5-2-1): Đã có Log Evidence.</t>
        </is>
      </c>
    </row>
    <row r="352">
      <c r="A352" t="inlineStr">
        <is>
          <t xml:space="preserve">  =&gt; TOÀN BỘ CÁC NHÓM TEST TRONG KẾ HOẠCH ĐỀU ĐÃ CÓ EVIDENCE!</t>
        </is>
      </c>
    </row>
    <row r="353">
      <c r="A353" t="inlineStr"/>
    </row>
    <row r="354">
      <c r="A354" t="inlineStr"/>
    </row>
    <row r="355">
      <c r="A355" s="1">
        <f>=============== TỔNG KẾT COVERAGE CHO SHEET エビデンス(個別) ================</f>
        <v/>
      </c>
    </row>
    <row r="356">
      <c r="A356" s="2" t="inlineStr">
        <is>
          <t xml:space="preserve">  - ✅ Nhóm 1 (gồm TC: 1-1-1): Đã có Log Evidence.</t>
        </is>
      </c>
    </row>
    <row r="357">
      <c r="A357" s="2" t="inlineStr">
        <is>
          <t xml:space="preserve">  - ✅ Nhóm 2 (gồm TC: 1-2-1): Đã có Log Evidence.</t>
        </is>
      </c>
    </row>
    <row r="358">
      <c r="A358" s="2" t="inlineStr">
        <is>
          <t xml:space="preserve">  - ✅ Nhóm 3 (gồm TC: 3-1-1, 3-1-2, 3-1-3, 3-1-4, 3-1-5, 3-1-6, 3-2-1, 3-2-2, 3-2-3, 3-2-4, 3-2-5, 3-2-6): Đã có Log Evidence.</t>
        </is>
      </c>
    </row>
    <row r="359">
      <c r="A359" s="2" t="inlineStr">
        <is>
          <t xml:space="preserve">  - ✅ Nhóm 4 (gồm TC: 2-1-1): Đã có Log Evidence.</t>
        </is>
      </c>
    </row>
    <row r="360">
      <c r="A360" s="2" t="inlineStr">
        <is>
          <t xml:space="preserve">  - ✅ Nhóm 5 (gồm TC: 2-1-2): Đã có Log Evidence.</t>
        </is>
      </c>
    </row>
    <row r="361">
      <c r="A361" s="2" t="inlineStr">
        <is>
          <t xml:space="preserve">  - ✅ Nhóm 6 (gồm TC: 2-1-3): Đã có Log Evidence.</t>
        </is>
      </c>
    </row>
    <row r="362">
      <c r="A362" s="2" t="inlineStr">
        <is>
          <t xml:space="preserve">  - ✅ Nhóm 7 (gồm TC: 2-1-4): Đã có Log Evidence.</t>
        </is>
      </c>
    </row>
    <row r="363">
      <c r="A363" s="2" t="inlineStr">
        <is>
          <t xml:space="preserve">  - ✅ Nhóm 8 (gồm TC: 2-1-5): Đã có Log Evidence.</t>
        </is>
      </c>
    </row>
    <row r="364">
      <c r="A364" t="inlineStr">
        <is>
          <t xml:space="preserve">  =&gt; TOÀN BỘ CÁC NHÓM TEST TRONG KẾ HOẠCH ĐỀU ĐÃ CÓ EVIDENCE!</t>
        </is>
      </c>
    </row>
    <row r="365">
      <c r="A365" t="inlineStr"/>
    </row>
    <row r="366">
      <c r="A36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6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" t="inlineStr">
        <is>
          <t>✅ Đã check xong file '単体テスト仕様書兼成績書_E304_RFSH0206.xlsx'. Nhấn Enter để tiếp tục sang file tiếp theo...</t>
        </is>
      </c>
    </row>
    <row r="2">
      <c r="A2" s="1">
        <f>======================== [5/16] ĐANG XỬ LÝ FILE: 単体テスト仕様書兼成績書_E304_RFSH0220.xlsx =========================</f>
        <v/>
      </c>
    </row>
    <row r="3">
      <c r="A3" t="inlineStr">
        <is>
          <t>Đang đọc dữ liệu từ file: 単体テスト仕様書兼成績書_E304_RFSH0220.xlsx ...</t>
        </is>
      </c>
    </row>
    <row r="4">
      <c r="A4" t="inlineStr"/>
    </row>
    <row r="5">
      <c r="A5" s="1">
        <f>=============== TRẠNG THÁI OCR ================</f>
        <v/>
      </c>
    </row>
    <row r="6">
      <c r="A6" s="2" t="inlineStr">
        <is>
          <t>✅ Đã bật (Sẵn sàng đọc ảnh)</t>
        </is>
      </c>
    </row>
    <row r="7">
      <c r="A7" t="inlineStr"/>
    </row>
    <row r="8">
      <c r="A8" s="1">
        <f>=============== KIỂM TRA TRẠNG THÁI MỞ FILE ================</f>
        <v/>
      </c>
    </row>
    <row r="9">
      <c r="A9" s="2" t="inlineStr">
        <is>
          <t>✅ File đang mở ở sheet đầu tiên '表紙 '.</t>
        </is>
      </c>
    </row>
    <row r="10">
      <c r="A10" s="2" t="inlineStr">
        <is>
          <t>✅ Con trỏ chuột đang nằm ở ô 'A1'.</t>
        </is>
      </c>
    </row>
    <row r="11">
      <c r="A11" t="inlineStr"/>
    </row>
    <row r="12">
      <c r="A12" s="1">
        <f>=============== SHEET: エビデンス(共通) ================</f>
        <v/>
      </c>
    </row>
    <row r="13">
      <c r="A13" t="inlineStr">
        <is>
          <t xml:space="preserve">  -&gt; Tìm thấy 42 ảnh trong sheet này.</t>
        </is>
      </c>
    </row>
    <row r="14">
      <c r="A14" s="1">
        <f>=============== SHEET: エビデンス(個別) ================</f>
        <v/>
      </c>
    </row>
    <row r="15">
      <c r="A15" t="inlineStr">
        <is>
          <t xml:space="preserve">  -&gt; Tìm thấy 37 ảnh trong sheet này.</t>
        </is>
      </c>
    </row>
    <row r="16">
      <c r="A16" t="inlineStr"/>
    </row>
    <row r="17">
      <c r="A17" s="1" t="inlineStr">
        <is>
          <t>[GEMINI MANUAL MODE] ♻️ Đã tìm thấy file JSON kết quả cũ tại:</t>
        </is>
      </c>
    </row>
    <row r="18">
      <c r="A18" t="inlineStr">
        <is>
          <t>D:\project\tool\New folder\Gemini_Upload_単体テスト仕様書兼成績書_E304_RFSH0220\gemini_result.json</t>
        </is>
      </c>
    </row>
    <row r="19">
      <c r="A19">
        <f>&gt; Sử dụng luôn kết quả này, bỏ qua bước xuất ảnh PDF và hỏi lại Gemini.</f>
        <v/>
      </c>
    </row>
    <row r="20">
      <c r="A20" t="inlineStr"/>
    </row>
    <row r="21">
      <c r="A21" s="1">
        <f>=============== ĐANG PHÂN TÍCH KẾT QUẢ SHEET: エビデンス(共通) ================</f>
        <v/>
      </c>
    </row>
    <row r="22">
      <c r="A22" t="inlineStr"/>
    </row>
    <row r="23">
      <c r="A23" s="1" t="inlineStr">
        <is>
          <t>[Kiểm tra Cấu hình Flow - Trước khi Test]:</t>
        </is>
      </c>
    </row>
    <row r="24">
      <c r="A24" s="2" t="inlineStr">
        <is>
          <t xml:space="preserve">  - [Ảnh Flow]: ✅ Tìm thấy P_JobnetID: 'P1J0220@10220'</t>
        </is>
      </c>
    </row>
    <row r="25">
      <c r="A25" s="2" t="inlineStr">
        <is>
          <t xml:space="preserve">      ✅ OK: P_JobnetID 'P1J0220@10220' có chứa mã '0220' của file.</t>
        </is>
      </c>
    </row>
    <row r="26">
      <c r="A26" s="2" t="inlineStr">
        <is>
          <t xml:space="preserve">  - [Ảnh Flow]: ✅ Tìm thấy P_InterfaceID: 'RFSH0220'</t>
        </is>
      </c>
    </row>
    <row r="27">
      <c r="A27" s="2" t="inlineStr">
        <is>
          <t xml:space="preserve">      ✅ OK: P_InterfaceID 'RFSH0220' có chứa mã '0220' của file.</t>
        </is>
      </c>
    </row>
    <row r="28">
      <c r="A28" t="inlineStr"/>
    </row>
    <row r="29">
      <c r="A29" s="1" t="inlineStr">
        <is>
          <t>[Nhóm Test]: ■1回目 正常系・1000件未満・ファイル送信前結合有無=false</t>
        </is>
      </c>
    </row>
    <row r="30">
      <c r="A30" t="inlineStr">
        <is>
          <t xml:space="preserve">  - Tổng số dòng log: 51</t>
        </is>
      </c>
    </row>
    <row r="31">
      <c r="A31" s="2" t="inlineStr">
        <is>
          <t xml:space="preserve">  - Trạng thái Sort (行): ✅ Đã sắp xếp tăng dần hợp lệ.</t>
        </is>
      </c>
    </row>
    <row r="32">
      <c r="A32" t="inlineStr">
        <is>
          <t xml:space="preserve">  - Ngày chạy log: 2026/05/18</t>
        </is>
      </c>
    </row>
    <row r="33">
      <c r="A33" t="inlineStr">
        <is>
          <t xml:space="preserve">  - [Ảnh Status Panel]: Tìm thấy Jobnet ID: 'P1J0220@10220'</t>
        </is>
      </c>
    </row>
    <row r="34">
      <c r="A34" t="inlineStr">
        <is>
          <t xml:space="preserve">  - [Ảnh Status Panel]: Tìm thấy Interface ID: 'RFSH0220'</t>
        </is>
      </c>
    </row>
    <row r="35">
      <c r="A35" s="2" t="inlineStr">
        <is>
          <t xml:space="preserve">      ✅ OK: Interface ID 'RFSH0220' có tồn tại trong tên file Excel.</t>
        </is>
      </c>
    </row>
    <row r="36">
      <c r="A36" t="inlineStr">
        <is>
          <t xml:space="preserve">  - [Ảnh Status Panel]: Tìm thấy giờ bắt đầu là 18:59:12</t>
        </is>
      </c>
    </row>
    <row r="37">
      <c r="A37" s="2" t="inlineStr">
        <is>
          <t xml:space="preserve">      ✅ OK: Thời gian log (18:59:12) &gt;= Thời gian ảnh (18:59:12)</t>
        </is>
      </c>
    </row>
    <row r="38">
      <c r="A38" s="2" t="inlineStr">
        <is>
          <t xml:space="preserve">      ✅ OK: Duration Log Main (345ms) &lt; Duration Ảnh (558ms)</t>
        </is>
      </c>
    </row>
    <row r="39">
      <c r="A39" t="inlineStr">
        <is>
          <t xml:space="preserve">  - [Ảnh Log Viewer]: Tìm thấy thời gian kết thúc trong ảnh log là '18:59:12'</t>
        </is>
      </c>
    </row>
    <row r="40">
      <c r="A40" s="2" t="inlineStr">
        <is>
          <t xml:space="preserve">      ✅ OK: Giờ kết thúc trong ảnh Log (18:59:12) KHỚP với log text (18:59:12).</t>
        </is>
      </c>
    </row>
    <row r="41">
      <c r="A41" s="2" t="inlineStr">
        <is>
          <t xml:space="preserve">      ✅ OK: Giờ ảnh Log (18:59:12) &gt;= Giờ bắt đầu (18:59:12).</t>
        </is>
      </c>
    </row>
    <row r="42">
      <c r="A42" s="2" t="inlineStr">
        <is>
          <t xml:space="preserve">      ✅ OK: Jobnet ID 'P1J0220@10220' khớp với dữ liệu trong Log.</t>
        </is>
      </c>
    </row>
    <row r="43">
      <c r="A43" t="inlineStr">
        <is>
          <t xml:space="preserve">  - [Kiểm tra File]: Log text báo có tạo ra file 'RFSH0220_output.tsv'.</t>
        </is>
      </c>
    </row>
    <row r="44">
      <c r="A44" s="2" t="inlineStr">
        <is>
          <t xml:space="preserve">      ✅ OK: Tên file trong ảnh File Explorer (RFSH0220_output.tsv) KHỚP với tên file trong Log text.</t>
        </is>
      </c>
    </row>
    <row r="45">
      <c r="A45" t="inlineStr">
        <is>
          <t xml:space="preserve">  - [Ảnh File Explorer]: Tìm thấy file 'RFSH0220_output.tsv' có Date modified là '2026/05/18 18:59'</t>
        </is>
      </c>
    </row>
    <row r="46">
      <c r="A46" s="2" t="inlineStr">
        <is>
          <t xml:space="preserve">      ✅ OK: Thời gian xuất file 'RFSH0220_output.tsv' (2026/05/18 18:59) KHỚP với log (2026/05/18 18:59).</t>
        </is>
      </c>
    </row>
    <row r="47">
      <c r="A47" t="inlineStr">
        <is>
          <t xml:space="preserve">  - [Đối chiếu Testcase trong Log]:</t>
        </is>
      </c>
    </row>
    <row r="48">
      <c r="A48" t="inlineStr">
        <is>
          <t xml:space="preserve">  - [Đối chiếu テスト計画書兼結果報告書(共通)]: Tìm thấy 13 dòng (6, 8, 12, 14, 18, 20, 25, 28, 33, 37, 39, 42, 45)</t>
        </is>
      </c>
    </row>
    <row r="49">
      <c r="A49" s="2" t="inlineStr">
        <is>
          <t xml:space="preserve">      + Số lần test (Cột K): ✅ Tất cả 13 dòng đều khớp (Lần 1)</t>
        </is>
      </c>
    </row>
    <row r="50">
      <c r="A50" s="2" t="inlineStr">
        <is>
          <t xml:space="preserve">      + Ngày test (Cột I/G): ✅ Khớp ngày (2026/05/18) cho tất cả các dòng có dữ liệu</t>
        </is>
      </c>
    </row>
    <row r="51">
      <c r="A51" t="inlineStr"/>
    </row>
    <row r="52">
      <c r="A52" s="1" t="inlineStr">
        <is>
          <t>[Nhóm Test]: ■2回目 異常系・起動パラメータ不正</t>
        </is>
      </c>
    </row>
    <row r="53">
      <c r="A53" t="inlineStr">
        <is>
          <t xml:space="preserve">  - Tổng số dòng log: 23</t>
        </is>
      </c>
    </row>
    <row r="54">
      <c r="A54" s="2" t="inlineStr">
        <is>
          <t xml:space="preserve">  - Trạng thái Sort (行): ✅ Đã sắp xếp tăng dần hợp lệ.</t>
        </is>
      </c>
    </row>
    <row r="55">
      <c r="A55" t="inlineStr">
        <is>
          <t xml:space="preserve">  - Ngày chạy log: 2026/05/18</t>
        </is>
      </c>
    </row>
    <row r="56">
      <c r="A56" t="inlineStr">
        <is>
          <t xml:space="preserve">  - [Ảnh Status Panel]: Tìm thấy Jobnet ID: ''</t>
        </is>
      </c>
    </row>
    <row r="57">
      <c r="A57" t="inlineStr">
        <is>
          <t xml:space="preserve">  - [Ảnh Status Panel]: Tìm thấy Interface ID: ''</t>
        </is>
      </c>
    </row>
    <row r="58">
      <c r="A58" s="3" t="inlineStr">
        <is>
          <t xml:space="preserve">      ⚠️ Interface ID là chuỗi rỗng nên bỏ qua kiểm tra với tên file.</t>
        </is>
      </c>
    </row>
    <row r="59">
      <c r="A59" t="inlineStr">
        <is>
          <t xml:space="preserve">  - [Ảnh Status Panel]: Tìm thấy giờ bắt đầu là 19:03:10</t>
        </is>
      </c>
    </row>
    <row r="60">
      <c r="A60" s="2" t="inlineStr">
        <is>
          <t xml:space="preserve">      ✅ OK: Thời gian log (19:03:10) &gt;= Thời gian ảnh (19:03:10)</t>
        </is>
      </c>
    </row>
    <row r="61">
      <c r="A61" s="2" t="inlineStr">
        <is>
          <t xml:space="preserve">      ✅ OK: Duration Log Main (33ms) &lt; Duration Ảnh (268ms)</t>
        </is>
      </c>
    </row>
    <row r="62">
      <c r="A62" t="inlineStr">
        <is>
          <t xml:space="preserve">  - [Ảnh Log Viewer]: Tìm thấy thời gian kết thúc trong ảnh log là '19:03:10'</t>
        </is>
      </c>
    </row>
    <row r="63">
      <c r="A63" s="2" t="inlineStr">
        <is>
          <t xml:space="preserve">      ✅ OK: Giờ kết thúc trong ảnh Log (19:03:10) KHỚP với log text (19:03:10).</t>
        </is>
      </c>
    </row>
    <row r="64">
      <c r="A64" s="2" t="inlineStr">
        <is>
          <t xml:space="preserve">      ✅ OK: Giờ ảnh Log (19:03:10) &gt;= Giờ bắt đầu (19:03:10).</t>
        </is>
      </c>
    </row>
    <row r="65">
      <c r="A65" s="2" t="inlineStr">
        <is>
          <t xml:space="preserve">      ✅ OK: Jobnet ID '' khớp với dữ liệu trong Log.</t>
        </is>
      </c>
    </row>
    <row r="66">
      <c r="A66" t="inlineStr">
        <is>
          <t xml:space="preserve">  - [Đối chiếu Testcase trong Log]:</t>
        </is>
      </c>
    </row>
    <row r="67">
      <c r="A67" t="inlineStr">
        <is>
          <t xml:space="preserve">  - [Đối chiếu テスト計画書兼結果報告書(共通)]: Tìm thấy 2 dòng (9, 15)</t>
        </is>
      </c>
    </row>
    <row r="68">
      <c r="A68" s="2" t="inlineStr">
        <is>
          <t xml:space="preserve">      + Số lần test (Cột K): ✅ Tất cả 2 dòng đều khớp (Lần 2)</t>
        </is>
      </c>
    </row>
    <row r="69">
      <c r="A69" s="2" t="inlineStr">
        <is>
          <t xml:space="preserve">      + Ngày test (Cột I/G): ✅ Khớp ngày (2026/05/18) cho tất cả các dòng có dữ liệu</t>
        </is>
      </c>
    </row>
    <row r="70">
      <c r="A70" t="inlineStr"/>
    </row>
    <row r="71">
      <c r="A71" s="1" t="inlineStr">
        <is>
          <t>[Nhóm Test]: ■3回目 正常系・ファイル送信前結合有無=true</t>
        </is>
      </c>
    </row>
    <row r="72">
      <c r="A72" t="inlineStr">
        <is>
          <t xml:space="preserve">  - Tổng số dòng log: 67</t>
        </is>
      </c>
    </row>
    <row r="73">
      <c r="A73" s="2" t="inlineStr">
        <is>
          <t xml:space="preserve">  - Trạng thái Sort (行): ✅ Đã sắp xếp tăng dần hợp lệ.</t>
        </is>
      </c>
    </row>
    <row r="74">
      <c r="A74" t="inlineStr">
        <is>
          <t xml:space="preserve">  - Ngày chạy log: 2026/05/18</t>
        </is>
      </c>
    </row>
    <row r="75">
      <c r="A75" t="inlineStr">
        <is>
          <t xml:space="preserve">  - [Ảnh Status Panel]: Tìm thấy Jobnet ID: 'P1J0220@10220'</t>
        </is>
      </c>
    </row>
    <row r="76">
      <c r="A76" t="inlineStr">
        <is>
          <t xml:space="preserve">  - [Ảnh Status Panel]: Tìm thấy Interface ID: 'RFSH0220'</t>
        </is>
      </c>
    </row>
    <row r="77">
      <c r="A77" s="2" t="inlineStr">
        <is>
          <t xml:space="preserve">      ✅ OK: Interface ID 'RFSH0220' có tồn tại trong tên file Excel.</t>
        </is>
      </c>
    </row>
    <row r="78">
      <c r="A78" t="inlineStr">
        <is>
          <t xml:space="preserve">  - [Ảnh Status Panel]: Tìm thấy giờ bắt đầu là 19:07:26</t>
        </is>
      </c>
    </row>
    <row r="79">
      <c r="A79" s="2" t="inlineStr">
        <is>
          <t xml:space="preserve">      ✅ OK: Thời gian log (19:07:26) &gt;= Thời gian ảnh (19:07:26)</t>
        </is>
      </c>
    </row>
    <row r="80">
      <c r="A80" s="2" t="inlineStr">
        <is>
          <t xml:space="preserve">      ✅ OK: Duration Log Main (203ms) &lt; Duration Ảnh (411ms)</t>
        </is>
      </c>
    </row>
    <row r="81">
      <c r="A81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82">
      <c r="A82" s="2" t="inlineStr">
        <is>
          <t xml:space="preserve">      ✅ OK: Jobnet ID 'P1J0220@10220' khớp với dữ liệu trong Log.</t>
        </is>
      </c>
    </row>
    <row r="83">
      <c r="A83" t="inlineStr">
        <is>
          <t xml:space="preserve">  - [Kiểm tra File]: Log text báo có tạo ra file 'RFSH0220_output.tsv'.</t>
        </is>
      </c>
    </row>
    <row r="84">
      <c r="A84" s="2" t="inlineStr">
        <is>
          <t xml:space="preserve">      ✅ OK: Tên file trong ảnh File Explorer (RFSH0220_output.tsv) KHỚP với tên file trong Log text.</t>
        </is>
      </c>
    </row>
    <row r="85">
      <c r="A85" t="inlineStr">
        <is>
          <t xml:space="preserve">  - [Ảnh File Explorer]: Tìm thấy file 'RFSH0220_output.tsv' có Date modified là '2026/05/18 19:07'</t>
        </is>
      </c>
    </row>
    <row r="86">
      <c r="A86" s="2" t="inlineStr">
        <is>
          <t xml:space="preserve">      ✅ OK: Thời gian xuất file 'RFSH0220_output.tsv' (2026/05/18 19:07) KHỚP với log (2026/05/18 19:07).</t>
        </is>
      </c>
    </row>
    <row r="87">
      <c r="A87" t="inlineStr">
        <is>
          <t xml:space="preserve">  - [Đối chiếu Testcase trong Log]:</t>
        </is>
      </c>
    </row>
    <row r="88">
      <c r="A88" t="inlineStr">
        <is>
          <t xml:space="preserve">  - [Đối chiếu テスト計画書兼結果報告書(共通)]: Tìm thấy 1 dòng (21)</t>
        </is>
      </c>
    </row>
    <row r="89">
      <c r="A89" s="2" t="inlineStr">
        <is>
          <t xml:space="preserve">      + Số lần test (Cột K): ✅ Tất cả 1 dòng đều khớp (Lần 3)</t>
        </is>
      </c>
    </row>
    <row r="90">
      <c r="A90" s="2" t="inlineStr">
        <is>
          <t xml:space="preserve">      + Ngày test (Cột I/G): ✅ Khớp ngày (2026/05/18) cho tất cả các dòng có dữ liệu</t>
        </is>
      </c>
    </row>
    <row r="91">
      <c r="A91" t="inlineStr"/>
    </row>
    <row r="92">
      <c r="A92" s="1" t="inlineStr">
        <is>
          <t>[Nhóm Test]: ■4回目 異常系・すでにファイルが存在する場合</t>
        </is>
      </c>
    </row>
    <row r="93">
      <c r="A93" t="inlineStr">
        <is>
          <t xml:space="preserve">  - Tổng số dòng log: 55</t>
        </is>
      </c>
    </row>
    <row r="94">
      <c r="A94" s="2" t="inlineStr">
        <is>
          <t xml:space="preserve">  - Trạng thái Sort (行): ✅ Đã sắp xếp tăng dần hợp lệ.</t>
        </is>
      </c>
    </row>
    <row r="95">
      <c r="A95" t="inlineStr">
        <is>
          <t xml:space="preserve">  - Ngày chạy log: 2026/05/18</t>
        </is>
      </c>
    </row>
    <row r="96">
      <c r="A96" t="inlineStr">
        <is>
          <t xml:space="preserve">  - [Ảnh Status Panel]: Tìm thấy Jobnet ID: ''</t>
        </is>
      </c>
    </row>
    <row r="97">
      <c r="A97" t="inlineStr">
        <is>
          <t xml:space="preserve">  - [Ảnh Status Panel]: Tìm thấy Interface ID: ''</t>
        </is>
      </c>
    </row>
    <row r="98">
      <c r="A98" s="3" t="inlineStr">
        <is>
          <t xml:space="preserve">      ⚠️ Interface ID là chuỗi rỗng nên bỏ qua kiểm tra với tên file.</t>
        </is>
      </c>
    </row>
    <row r="99">
      <c r="A99" t="inlineStr">
        <is>
          <t xml:space="preserve">  - [Ảnh Status Panel]: Tìm thấy giờ bắt đầu là 19:09:27</t>
        </is>
      </c>
    </row>
    <row r="100">
      <c r="A100" s="2" t="inlineStr">
        <is>
          <t xml:space="preserve">      ✅ OK: Thời gian log (19:09:27) &gt;= Thời gian ảnh (19:09:27)</t>
        </is>
      </c>
    </row>
    <row r="101">
      <c r="A101" s="2" t="inlineStr">
        <is>
          <t xml:space="preserve">      ✅ OK: Duration Log Main (152ms) &lt; Duration Ảnh (350ms)</t>
        </is>
      </c>
    </row>
    <row r="102">
      <c r="A102" t="inlineStr">
        <is>
          <t xml:space="preserve">  - [Ảnh Log Viewer]: Tìm thấy thời gian kết thúc trong ảnh log là '19:09:28'</t>
        </is>
      </c>
    </row>
    <row r="103">
      <c r="A103" s="2" t="inlineStr">
        <is>
          <t xml:space="preserve">      ✅ OK: Giờ kết thúc trong ảnh Log (19:09:28) KHỚP với log text (19:09:28).</t>
        </is>
      </c>
    </row>
    <row r="104">
      <c r="A104" s="2" t="inlineStr">
        <is>
          <t xml:space="preserve">      ✅ OK: Giờ ảnh Log (19:09:28) &gt;= Giờ bắt đầu (19:09:27).</t>
        </is>
      </c>
    </row>
    <row r="105">
      <c r="A105" s="4" t="inlineStr">
        <is>
          <t xml:space="preserve">      ❌ LỖI: Jobnet ID trong ảnh là '', nhưng trong Log là 'P1J0220'.</t>
        </is>
      </c>
    </row>
    <row r="106">
      <c r="A106" t="inlineStr">
        <is>
          <t xml:space="preserve">  - [Đối chiếu Testcase trong Log]:</t>
        </is>
      </c>
    </row>
    <row r="107">
      <c r="A107" t="inlineStr">
        <is>
          <t xml:space="preserve">  - [Đối chiếu テスト計画書兼結果報告書(共通)]: Tìm thấy 1 dòng (22)</t>
        </is>
      </c>
    </row>
    <row r="108">
      <c r="A108" s="2" t="inlineStr">
        <is>
          <t xml:space="preserve">      + Số lần test (Cột K): ✅ Tất cả 1 dòng đều khớp (Lần 4)</t>
        </is>
      </c>
    </row>
    <row r="109">
      <c r="A109" s="2" t="inlineStr">
        <is>
          <t xml:space="preserve">      + Ngày test (Cột I/G): ✅ Khớp ngày (2026/05/18) cho tất cả các dòng có dữ liệu</t>
        </is>
      </c>
    </row>
    <row r="110">
      <c r="A110" t="inlineStr"/>
    </row>
    <row r="111">
      <c r="A111" s="1" t="inlineStr">
        <is>
          <t>[Nhóm Test]: ■5回目 正常系・0byteファイル</t>
        </is>
      </c>
    </row>
    <row r="112">
      <c r="A112" t="inlineStr">
        <is>
          <t xml:space="preserve">  - Tổng số dòng log: 61</t>
        </is>
      </c>
    </row>
    <row r="113">
      <c r="A113" s="2" t="inlineStr">
        <is>
          <t xml:space="preserve">  - Trạng thái Sort (行): ✅ Đã sắp xếp tăng dần hợp lệ.</t>
        </is>
      </c>
    </row>
    <row r="114">
      <c r="A114" t="inlineStr">
        <is>
          <t xml:space="preserve">  - Ngày chạy log: 2026/05/18</t>
        </is>
      </c>
    </row>
    <row r="115">
      <c r="A115" t="inlineStr">
        <is>
          <t xml:space="preserve">  - [Ảnh Status Panel]: Tìm thấy Jobnet ID: 'P1J0220@10220'</t>
        </is>
      </c>
    </row>
    <row r="116">
      <c r="A116" t="inlineStr">
        <is>
          <t xml:space="preserve">  - [Ảnh Status Panel]: Tìm thấy Interface ID: 'RFSH0220'</t>
        </is>
      </c>
    </row>
    <row r="117">
      <c r="A117" s="2" t="inlineStr">
        <is>
          <t xml:space="preserve">      ✅ OK: Interface ID 'RFSH0220' có tồn tại trong tên file Excel.</t>
        </is>
      </c>
    </row>
    <row r="118">
      <c r="A118" t="inlineStr">
        <is>
          <t xml:space="preserve">  - [Ảnh Status Panel]: Tìm thấy giờ bắt đầu là 19:13:22</t>
        </is>
      </c>
    </row>
    <row r="119">
      <c r="A119" s="2" t="inlineStr">
        <is>
          <t xml:space="preserve">      ✅ OK: Thời gian log (19:13:22) &gt;= Thời gian ảnh (19:13:22)</t>
        </is>
      </c>
    </row>
    <row r="120">
      <c r="A120" s="2" t="inlineStr">
        <is>
          <t xml:space="preserve">      ✅ OK: Duration Log Main (177ms) &lt; Duration Ảnh (493ms)</t>
        </is>
      </c>
    </row>
    <row r="121">
      <c r="A121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22">
      <c r="A122" s="2" t="inlineStr">
        <is>
          <t xml:space="preserve">      ✅ OK: Jobnet ID 'P1J0220@10220' khớp với dữ liệu trong Log.</t>
        </is>
      </c>
    </row>
    <row r="123">
      <c r="A123" t="inlineStr">
        <is>
          <t xml:space="preserve">  - [Kiểm tra File]: Log text báo có tạo ra file 'RFSH0220_output.tsv'.</t>
        </is>
      </c>
    </row>
    <row r="124">
      <c r="A124" s="2" t="inlineStr">
        <is>
          <t xml:space="preserve">      ✅ OK: Tên file trong ảnh File Explorer (RFSH0220_output.tsv) KHỚP với tên file trong Log text.</t>
        </is>
      </c>
    </row>
    <row r="125">
      <c r="A125" t="inlineStr">
        <is>
          <t xml:space="preserve">  - [Ảnh File Explorer]: Tìm thấy file 'RFSH0220_output.tsv' có Date modified là '2026/05/18 19:13'</t>
        </is>
      </c>
    </row>
    <row r="126">
      <c r="A126" s="2" t="inlineStr">
        <is>
          <t xml:space="preserve">      ✅ OK: Thời gian xuất file 'RFSH0220_output.tsv' (2026/05/18 19:13) KHỚP với log (2026/05/18 19:13).</t>
        </is>
      </c>
    </row>
    <row r="127">
      <c r="A127" t="inlineStr">
        <is>
          <t xml:space="preserve">  - [Đối chiếu Testcase trong Log]:</t>
        </is>
      </c>
    </row>
    <row r="128">
      <c r="A128" t="inlineStr">
        <is>
          <t xml:space="preserve">  - [Đối chiếu テスト計画書兼結果報告書(共通)]: Tìm thấy 2 dòng (26, 46)</t>
        </is>
      </c>
    </row>
    <row r="129">
      <c r="A129" s="2" t="inlineStr">
        <is>
          <t xml:space="preserve">      + Số lần test (Cột K): ✅ Tất cả 2 dòng đều khớp (Lần 5)</t>
        </is>
      </c>
    </row>
    <row r="130">
      <c r="A130" s="2" t="inlineStr">
        <is>
          <t xml:space="preserve">      + Ngày test (Cột I/G): ✅ Khớp ngày (2026/05/18) cho tất cả các dòng có dữ liệu</t>
        </is>
      </c>
    </row>
    <row r="131">
      <c r="A131" t="inlineStr"/>
    </row>
    <row r="132">
      <c r="A132" s="1" t="inlineStr">
        <is>
          <t>[Nhóm Test]: ■6回目 正常系・データ行1000行</t>
        </is>
      </c>
    </row>
    <row r="133">
      <c r="A133" t="inlineStr">
        <is>
          <t xml:space="preserve">  - Tổng số dòng log: 65</t>
        </is>
      </c>
    </row>
    <row r="134">
      <c r="A134" s="2" t="inlineStr">
        <is>
          <t xml:space="preserve">  - Trạng thái Sort (行): ✅ Đã sắp xếp tăng dần hợp lệ.</t>
        </is>
      </c>
    </row>
    <row r="135">
      <c r="A135" t="inlineStr">
        <is>
          <t xml:space="preserve">  - Ngày chạy log: 2026/05/18</t>
        </is>
      </c>
    </row>
    <row r="136">
      <c r="A136" t="inlineStr">
        <is>
          <t xml:space="preserve">  - [Ảnh Status Panel]: Tìm thấy Jobnet ID: 'P1J0220@10220'</t>
        </is>
      </c>
    </row>
    <row r="137">
      <c r="A137" t="inlineStr">
        <is>
          <t xml:space="preserve">  - [Ảnh Status Panel]: Tìm thấy Interface ID: 'RFSH0220'</t>
        </is>
      </c>
    </row>
    <row r="138">
      <c r="A138" s="2" t="inlineStr">
        <is>
          <t xml:space="preserve">      ✅ OK: Interface ID 'RFSH0220' có tồn tại trong tên file Excel.</t>
        </is>
      </c>
    </row>
    <row r="139">
      <c r="A139" t="inlineStr">
        <is>
          <t xml:space="preserve">  - [Ảnh Status Panel]: Tìm thấy giờ bắt đầu là 19:15:56</t>
        </is>
      </c>
    </row>
    <row r="140">
      <c r="A140" s="2" t="inlineStr">
        <is>
          <t xml:space="preserve">      ✅ OK: Thời gian log (19:15:56) &gt;= Thời gian ảnh (19:15:56)</t>
        </is>
      </c>
    </row>
    <row r="141">
      <c r="A141" s="2" t="inlineStr">
        <is>
          <t xml:space="preserve">      ✅ OK: Duration Log Main (305ms) &lt; Duration Ảnh (510ms)</t>
        </is>
      </c>
    </row>
    <row r="142">
      <c r="A142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43">
      <c r="A143" s="2" t="inlineStr">
        <is>
          <t xml:space="preserve">      ✅ OK: Jobnet ID 'P1J0220@10220' khớp với dữ liệu trong Log.</t>
        </is>
      </c>
    </row>
    <row r="144">
      <c r="A144" t="inlineStr">
        <is>
          <t xml:space="preserve">  - [Kiểm tra File]: Log text báo có tạo ra file 'RFSH0220_output.tsv'.</t>
        </is>
      </c>
    </row>
    <row r="145">
      <c r="A145" s="2" t="inlineStr">
        <is>
          <t xml:space="preserve">      ✅ OK: Tên file trong ảnh File Explorer (RFSH0220_output.tsv) KHỚP với tên file trong Log text.</t>
        </is>
      </c>
    </row>
    <row r="146">
      <c r="A146" t="inlineStr">
        <is>
          <t xml:space="preserve">  - [Ảnh File Explorer]: Tìm thấy file 'RFSH0220_output.tsv' có Date modified là '2026/05/18 19:15'</t>
        </is>
      </c>
    </row>
    <row r="147">
      <c r="A147" s="2" t="inlineStr">
        <is>
          <t xml:space="preserve">      ✅ OK: Thời gian xuất file 'RFSH0220_output.tsv' (2026/05/18 19:15) KHỚP với log (2026/05/18 19:15).</t>
        </is>
      </c>
    </row>
    <row r="148">
      <c r="A148" t="inlineStr">
        <is>
          <t xml:space="preserve">  - [Đối chiếu Testcase trong Log]:</t>
        </is>
      </c>
    </row>
    <row r="149">
      <c r="A149" t="inlineStr">
        <is>
          <t xml:space="preserve">  - [Đối chiếu テスト計画書兼結果報告書(共通)]: Tìm thấy 1 dòng (29)</t>
        </is>
      </c>
    </row>
    <row r="150">
      <c r="A150" s="2" t="inlineStr">
        <is>
          <t xml:space="preserve">      + Số lần test (Cột K): ✅ Tất cả 1 dòng đều khớp (Lần 6)</t>
        </is>
      </c>
    </row>
    <row r="151">
      <c r="A151" s="2" t="inlineStr">
        <is>
          <t xml:space="preserve">      + Ngày test (Cột I/G): ✅ Khớp ngày (2026/05/18) cho tất cả các dòng có dữ liệu</t>
        </is>
      </c>
    </row>
    <row r="152">
      <c r="A152" t="inlineStr"/>
    </row>
    <row r="153">
      <c r="A153" s="1" t="inlineStr">
        <is>
          <t>[Nhóm Test]: ■7回目 正常系・データ行1000行以上</t>
        </is>
      </c>
    </row>
    <row r="154">
      <c r="A154" t="inlineStr">
        <is>
          <t xml:space="preserve">  - Tổng số dòng log: 77</t>
        </is>
      </c>
    </row>
    <row r="155">
      <c r="A155" s="2" t="inlineStr">
        <is>
          <t xml:space="preserve">  - Trạng thái Sort (行): ✅ Đã sắp xếp tăng dần hợp lệ.</t>
        </is>
      </c>
    </row>
    <row r="156">
      <c r="A156" t="inlineStr">
        <is>
          <t xml:space="preserve">  - Ngày chạy log: 2026/05/18</t>
        </is>
      </c>
    </row>
    <row r="157">
      <c r="A157" t="inlineStr">
        <is>
          <t xml:space="preserve">  - [Ảnh Status Panel]: Tìm thấy Jobnet ID: 'P1J0220@10220'</t>
        </is>
      </c>
    </row>
    <row r="158">
      <c r="A158" t="inlineStr">
        <is>
          <t xml:space="preserve">  - [Ảnh Status Panel]: Tìm thấy Interface ID: 'RFSH0220'</t>
        </is>
      </c>
    </row>
    <row r="159">
      <c r="A159" s="2" t="inlineStr">
        <is>
          <t xml:space="preserve">      ✅ OK: Interface ID 'RFSH0220' có tồn tại trong tên file Excel.</t>
        </is>
      </c>
    </row>
    <row r="160">
      <c r="A160" t="inlineStr">
        <is>
          <t xml:space="preserve">  - [Ảnh Status Panel]: Tìm thấy giờ bắt đầu là 19:18:09</t>
        </is>
      </c>
    </row>
    <row r="161">
      <c r="A161" s="2" t="inlineStr">
        <is>
          <t xml:space="preserve">      ✅ OK: Thời gian log (19:18:09) &gt;= Thời gian ảnh (19:18:09)</t>
        </is>
      </c>
    </row>
    <row r="162">
      <c r="A162" s="2" t="inlineStr">
        <is>
          <t xml:space="preserve">      ✅ OK: Duration Log Main (272ms) &lt; Duration Ảnh (479ms)</t>
        </is>
      </c>
    </row>
    <row r="163">
      <c r="A163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64">
      <c r="A164" s="2" t="inlineStr">
        <is>
          <t xml:space="preserve">      ✅ OK: Jobnet ID 'P1J0220@10220' khớp với dữ liệu trong Log.</t>
        </is>
      </c>
    </row>
    <row r="165">
      <c r="A165" t="inlineStr">
        <is>
          <t xml:space="preserve">  - [Kiểm tra File]: Log text báo có tạo ra file 'RFSH0220_output.tsv'.</t>
        </is>
      </c>
    </row>
    <row r="166">
      <c r="A166" s="2" t="inlineStr">
        <is>
          <t xml:space="preserve">      ✅ OK: Tên file trong ảnh File Explorer (RFSH0220_output.tsv) KHỚP với tên file trong Log text.</t>
        </is>
      </c>
    </row>
    <row r="167">
      <c r="A167" t="inlineStr">
        <is>
          <t xml:space="preserve">  - [Ảnh File Explorer]: Tìm thấy file 'RFSH0220_output.tsv' có Date modified là '2026/05/18 19:18'</t>
        </is>
      </c>
    </row>
    <row r="168">
      <c r="A168" s="2" t="inlineStr">
        <is>
          <t xml:space="preserve">      ✅ OK: Thời gian xuất file 'RFSH0220_output.tsv' (2026/05/18 19:18) KHỚP với log (2026/05/18 19:18).</t>
        </is>
      </c>
    </row>
    <row r="169">
      <c r="A169" t="inlineStr">
        <is>
          <t xml:space="preserve">  - [Đối chiếu Testcase trong Log]:</t>
        </is>
      </c>
    </row>
    <row r="170">
      <c r="A170" t="inlineStr">
        <is>
          <t xml:space="preserve">  - [Đối chiếu テスト計画書兼結果報告書(共通)]: Tìm thấy 2 dòng (30, 35)</t>
        </is>
      </c>
    </row>
    <row r="171">
      <c r="A171" s="2" t="inlineStr">
        <is>
          <t xml:space="preserve">      + Số lần test (Cột K): ✅ Tất cả 2 dòng đều khớp (Lần 7)</t>
        </is>
      </c>
    </row>
    <row r="172">
      <c r="A172" s="2" t="inlineStr">
        <is>
          <t xml:space="preserve">      + Ngày test (Cột I/G): ✅ Khớp ngày (2026/05/18) cho tất cả các dòng có dữ liệu</t>
        </is>
      </c>
    </row>
    <row r="173">
      <c r="A173" t="inlineStr"/>
    </row>
    <row r="174">
      <c r="A174" s="1">
        <f>=============== ĐANG PHÂN TÍCH KẾT QUẢ SHEET: エビデンス(個別) ================</f>
        <v/>
      </c>
    </row>
    <row r="175">
      <c r="A175" t="inlineStr"/>
    </row>
    <row r="176">
      <c r="A176" s="1" t="inlineStr">
        <is>
          <t>[Nhóm Test]: ■1回目 正常系・0byteファイル</t>
        </is>
      </c>
    </row>
    <row r="177">
      <c r="A177" t="inlineStr">
        <is>
          <t xml:space="preserve">  - Tổng số dòng log: 61</t>
        </is>
      </c>
    </row>
    <row r="178">
      <c r="A178" s="2" t="inlineStr">
        <is>
          <t xml:space="preserve">  - Trạng thái Sort (行): ✅ Đã sắp xếp tăng dần hợp lệ.</t>
        </is>
      </c>
    </row>
    <row r="179">
      <c r="A179" t="inlineStr">
        <is>
          <t xml:space="preserve">  - Ngày chạy log: 2026/05/18</t>
        </is>
      </c>
    </row>
    <row r="180">
      <c r="A180" t="inlineStr">
        <is>
          <t xml:space="preserve">  - [Ảnh Status Panel]: Tìm thấy Jobnet ID: 'P1J0220@10220'</t>
        </is>
      </c>
    </row>
    <row r="181">
      <c r="A181" t="inlineStr">
        <is>
          <t xml:space="preserve">  - [Ảnh Status Panel]: Tìm thấy Interface ID: 'RFSH0220'</t>
        </is>
      </c>
    </row>
    <row r="182">
      <c r="A182" s="2" t="inlineStr">
        <is>
          <t xml:space="preserve">      ✅ OK: Interface ID 'RFSH0220' có tồn tại trong tên file Excel.</t>
        </is>
      </c>
    </row>
    <row r="183">
      <c r="A183" t="inlineStr">
        <is>
          <t xml:space="preserve">  - [Ảnh Status Panel]: Tìm thấy giờ bắt đầu là 19:21:29</t>
        </is>
      </c>
    </row>
    <row r="184">
      <c r="A184" s="2" t="inlineStr">
        <is>
          <t xml:space="preserve">      ✅ OK: Thời gian log (19:21:30) &gt;= Thời gian ảnh (19:21:29)</t>
        </is>
      </c>
    </row>
    <row r="185">
      <c r="A185" s="2" t="inlineStr">
        <is>
          <t xml:space="preserve">      ✅ OK: Duration Log Main (178ms) &lt; Duration Ảnh (365ms)</t>
        </is>
      </c>
    </row>
    <row r="186">
      <c r="A186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87">
      <c r="A187" s="2" t="inlineStr">
        <is>
          <t xml:space="preserve">      ✅ OK: Jobnet ID 'P1J0220@10220' khớp với dữ liệu trong Log.</t>
        </is>
      </c>
    </row>
    <row r="188">
      <c r="A188" t="inlineStr">
        <is>
          <t xml:space="preserve">  - [Kiểm tra File]: Log text báo có tạo ra file 'RFSH0220_output.tsv'.</t>
        </is>
      </c>
    </row>
    <row r="189">
      <c r="A189" s="2" t="inlineStr">
        <is>
          <t xml:space="preserve">      ✅ OK: Tên file trong ảnh File Explorer (RFSH0220_output.tsv) KHỚP với tên file trong Log text.</t>
        </is>
      </c>
    </row>
    <row r="190">
      <c r="A190" t="inlineStr">
        <is>
          <t xml:space="preserve">  - [Ảnh File Explorer]: Tìm thấy file 'RFSH0220_output.tsv' có Date modified là '2026/05/18 19:21'</t>
        </is>
      </c>
    </row>
    <row r="191">
      <c r="A191" s="2" t="inlineStr">
        <is>
          <t xml:space="preserve">      ✅ OK: Thời gian xuất file 'RFSH0220_output.tsv' (2026/05/18 19:21) KHỚP với log (2026/05/18 19:21).</t>
        </is>
      </c>
    </row>
    <row r="192">
      <c r="A192" t="inlineStr">
        <is>
          <t xml:space="preserve">  - [Đối chiếu Testcase trong Log]:</t>
        </is>
      </c>
    </row>
    <row r="193">
      <c r="A193" t="inlineStr">
        <is>
          <t xml:space="preserve">  - [Đối chiếu テスト計画書兼結果報告書(個別)]: Tìm thấy 1 dòng (6)</t>
        </is>
      </c>
    </row>
    <row r="194">
      <c r="A194" s="2" t="inlineStr">
        <is>
          <t xml:space="preserve">      + Số lần test (Cột K): ✅ Tất cả 1 dòng đều khớp (Lần 1)</t>
        </is>
      </c>
    </row>
    <row r="195">
      <c r="A195" s="2" t="inlineStr">
        <is>
          <t xml:space="preserve">      + Ngày test (Cột I/G): ✅ Khớp ngày (2026/05/18) cho tất cả các dòng có dữ liệu</t>
        </is>
      </c>
    </row>
    <row r="196">
      <c r="A196" t="inlineStr"/>
    </row>
    <row r="197">
      <c r="A197" s="1" t="inlineStr">
        <is>
          <t>[Nhóm Test]: ■2回目 正常系・全項目空データファイル</t>
        </is>
      </c>
    </row>
    <row r="198">
      <c r="A198" t="inlineStr">
        <is>
          <t xml:space="preserve">  - Tổng số dòng log: 65</t>
        </is>
      </c>
    </row>
    <row r="199">
      <c r="A199" s="2" t="inlineStr">
        <is>
          <t xml:space="preserve">  - Trạng thái Sort (行): ✅ Đã sắp xếp tăng dần hợp lệ.</t>
        </is>
      </c>
    </row>
    <row r="200">
      <c r="A200" t="inlineStr">
        <is>
          <t xml:space="preserve">  - Ngày chạy log: 2026/05/18</t>
        </is>
      </c>
    </row>
    <row r="201">
      <c r="A201" t="inlineStr">
        <is>
          <t xml:space="preserve">  - [Ảnh Status Panel]: Tìm thấy Jobnet ID: 'P1J0220@10220'</t>
        </is>
      </c>
    </row>
    <row r="202">
      <c r="A202" t="inlineStr">
        <is>
          <t xml:space="preserve">  - [Ảnh Status Panel]: Tìm thấy Interface ID: 'RFSH0220'</t>
        </is>
      </c>
    </row>
    <row r="203">
      <c r="A203" s="2" t="inlineStr">
        <is>
          <t xml:space="preserve">      ✅ OK: Interface ID 'RFSH0220' có tồn tại trong tên file Excel.</t>
        </is>
      </c>
    </row>
    <row r="204">
      <c r="A204" t="inlineStr">
        <is>
          <t xml:space="preserve">  - [Ảnh Status Panel]: Tìm thấy giờ bắt đầu là 19:24:04</t>
        </is>
      </c>
    </row>
    <row r="205">
      <c r="A205" s="2" t="inlineStr">
        <is>
          <t xml:space="preserve">      ✅ OK: Thời gian log (19:24:04) &gt;= Thời gian ảnh (19:24:04)</t>
        </is>
      </c>
    </row>
    <row r="206">
      <c r="A206" s="2" t="inlineStr">
        <is>
          <t xml:space="preserve">      ✅ OK: Duration Log Main (202ms) &lt; Duration Ảnh (414ms)</t>
        </is>
      </c>
    </row>
    <row r="207">
      <c r="A207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08">
      <c r="A208" s="2" t="inlineStr">
        <is>
          <t xml:space="preserve">      ✅ OK: Jobnet ID 'P1J0220@10220' khớp với dữ liệu trong Log.</t>
        </is>
      </c>
    </row>
    <row r="209">
      <c r="A209" t="inlineStr">
        <is>
          <t xml:space="preserve">  - [Kiểm tra File]: Log text báo có tạo ra file 'RFSH0220_output.tsv'.</t>
        </is>
      </c>
    </row>
    <row r="210">
      <c r="A210" s="2" t="inlineStr">
        <is>
          <t xml:space="preserve">      ✅ OK: Tên file trong ảnh File Explorer (RFSH0220_output.tsv) KHỚP với tên file trong Log text.</t>
        </is>
      </c>
    </row>
    <row r="211">
      <c r="A211" t="inlineStr">
        <is>
          <t xml:space="preserve">  - [Ảnh File Explorer]: Tìm thấy file 'RFSH0220_output.tsv' có Date modified là '2026/05/18 19:24'</t>
        </is>
      </c>
    </row>
    <row r="212">
      <c r="A212" s="2" t="inlineStr">
        <is>
          <t xml:space="preserve">      ✅ OK: Thời gian xuất file 'RFSH0220_output.tsv' (2026/05/18 19:24) KHỚP với log (2026/05/18 19:24).</t>
        </is>
      </c>
    </row>
    <row r="213">
      <c r="A213" t="inlineStr">
        <is>
          <t xml:space="preserve">  - [Đối chiếu Testcase trong Log]:</t>
        </is>
      </c>
    </row>
    <row r="214">
      <c r="A214" t="inlineStr">
        <is>
          <t xml:space="preserve">  - [Đối chiếu テスト計画書兼結果報告書(個別)]: Tìm thấy 1 dòng (8)</t>
        </is>
      </c>
    </row>
    <row r="215">
      <c r="A215" s="2" t="inlineStr">
        <is>
          <t xml:space="preserve">      + Số lần test (Cột K): ✅ Tất cả 1 dòng đều khớp (Lần 2)</t>
        </is>
      </c>
    </row>
    <row r="216">
      <c r="A216" s="2" t="inlineStr">
        <is>
          <t xml:space="preserve">      + Ngày test (Cột I/G): ✅ Khớp ngày (2026/05/18) cho tất cả các dòng có dữ liệu</t>
        </is>
      </c>
    </row>
    <row r="217">
      <c r="A217" t="inlineStr"/>
    </row>
    <row r="218">
      <c r="A218" s="1" t="inlineStr">
        <is>
          <t>[Nhóm Test]: ■3回目 正常系・ファイル定義確認</t>
        </is>
      </c>
    </row>
    <row r="219">
      <c r="A219" t="inlineStr">
        <is>
          <t xml:space="preserve">  - Tổng số dòng log: 65</t>
        </is>
      </c>
    </row>
    <row r="220">
      <c r="A220" s="2" t="inlineStr">
        <is>
          <t xml:space="preserve">  - Trạng thái Sort (行): ✅ Đã sắp xếp tăng dần hợp lệ.</t>
        </is>
      </c>
    </row>
    <row r="221">
      <c r="A221" t="inlineStr">
        <is>
          <t xml:space="preserve">  - Ngày chạy log: 2026/05/18</t>
        </is>
      </c>
    </row>
    <row r="222">
      <c r="A222" t="inlineStr">
        <is>
          <t xml:space="preserve">  - [Ảnh Status Panel]: Tìm thấy Jobnet ID: 'P1J0220@10220'</t>
        </is>
      </c>
    </row>
    <row r="223">
      <c r="A223" t="inlineStr">
        <is>
          <t xml:space="preserve">  - [Ảnh Status Panel]: Tìm thấy Interface ID: 'RFSH0220'</t>
        </is>
      </c>
    </row>
    <row r="224">
      <c r="A224" s="2" t="inlineStr">
        <is>
          <t xml:space="preserve">      ✅ OK: Interface ID 'RFSH0220' có tồn tại trong tên file Excel.</t>
        </is>
      </c>
    </row>
    <row r="225">
      <c r="A225" t="inlineStr">
        <is>
          <t xml:space="preserve">  - [Ảnh Status Panel]: Tìm thấy giờ bắt đầu là 19:27:17</t>
        </is>
      </c>
    </row>
    <row r="226">
      <c r="A226" s="2" t="inlineStr">
        <is>
          <t xml:space="preserve">      ✅ OK: Thời gian log (19:27:17) &gt;= Thời gian ảnh (19:27:17)</t>
        </is>
      </c>
    </row>
    <row r="227">
      <c r="A227" s="2" t="inlineStr">
        <is>
          <t xml:space="preserve">      ✅ OK: Duration Log Main (196ms) &lt; Duration Ảnh (398ms)</t>
        </is>
      </c>
    </row>
    <row r="228">
      <c r="A228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29">
      <c r="A229" s="2" t="inlineStr">
        <is>
          <t xml:space="preserve">      ✅ OK: Jobnet ID 'P1J0220@10220' khớp với dữ liệu trong Log.</t>
        </is>
      </c>
    </row>
    <row r="230">
      <c r="A230" t="inlineStr">
        <is>
          <t xml:space="preserve">  - [Kiểm tra File]: Log text báo có tạo ra file 'RFSH0220_output.tsv'.</t>
        </is>
      </c>
    </row>
    <row r="231">
      <c r="A231" s="2" t="inlineStr">
        <is>
          <t xml:space="preserve">      ✅ OK: Tên file trong ảnh File Explorer (RFSH0220_output.tsv) KHỚP với tên file trong Log text.</t>
        </is>
      </c>
    </row>
    <row r="232">
      <c r="A232" t="inlineStr">
        <is>
          <t xml:space="preserve">  - [Ảnh File Explorer]: Tìm thấy file 'RFSH0220_output.tsv' có Date modified là '2026/05/18 19:27'</t>
        </is>
      </c>
    </row>
    <row r="233">
      <c r="A233" s="2" t="inlineStr">
        <is>
          <t xml:space="preserve">      ✅ OK: Thời gian xuất file 'RFSH0220_output.tsv' (2026/05/18 19:27) KHỚP với log (2026/05/18 19:27).</t>
        </is>
      </c>
    </row>
    <row r="234">
      <c r="A234" t="inlineStr">
        <is>
          <t xml:space="preserve">  - [Đối chiếu Testcase trong Log]:</t>
        </is>
      </c>
    </row>
    <row r="235">
      <c r="A235" t="inlineStr">
        <is>
          <t xml:space="preserve">  - [Đối chiếu テスト計画書兼結果報告書(個別)]: Tìm thấy 12 dòng (18, 19, 20, 21, 22, 23, 25, 26, 27, 28, 29, 30)</t>
        </is>
      </c>
    </row>
    <row r="236">
      <c r="A236" s="2" t="inlineStr">
        <is>
          <t xml:space="preserve">      + Số lần test (Cột K): ✅ Tất cả 12 dòng đều khớp (Lần 3)</t>
        </is>
      </c>
    </row>
    <row r="237">
      <c r="A237" s="2" t="inlineStr">
        <is>
          <t xml:space="preserve">      + Ngày test (Cột I/G): ✅ Khớp ngày (2026/05/18) cho tất cả các dòng có dữ liệu</t>
        </is>
      </c>
    </row>
    <row r="238">
      <c r="A238" t="inlineStr"/>
    </row>
    <row r="239">
      <c r="A239" s="1" t="inlineStr">
        <is>
          <t>[Nhóm Test]: ■4回目正常系・列分割→行変換確認（明細0件）</t>
        </is>
      </c>
    </row>
    <row r="240">
      <c r="A240" t="inlineStr">
        <is>
          <t xml:space="preserve">  - Tổng số dòng log: 65</t>
        </is>
      </c>
    </row>
    <row r="241">
      <c r="A241" s="2" t="inlineStr">
        <is>
          <t xml:space="preserve">  - Trạng thái Sort (行): ✅ Đã sắp xếp tăng dần hợp lệ.</t>
        </is>
      </c>
    </row>
    <row r="242">
      <c r="A242" t="inlineStr">
        <is>
          <t xml:space="preserve">  - Ngày chạy log: 2026/05/18</t>
        </is>
      </c>
    </row>
    <row r="243">
      <c r="A243" t="inlineStr">
        <is>
          <t xml:space="preserve">  - [Ảnh Status Panel]: Tìm thấy Jobnet ID: 'P1J0220@10220'</t>
        </is>
      </c>
    </row>
    <row r="244">
      <c r="A244" t="inlineStr">
        <is>
          <t xml:space="preserve">  - [Ảnh Status Panel]: Tìm thấy Interface ID: 'RFSH0220'</t>
        </is>
      </c>
    </row>
    <row r="245">
      <c r="A245" s="2" t="inlineStr">
        <is>
          <t xml:space="preserve">      ✅ OK: Interface ID 'RFSH0220' có tồn tại trong tên file Excel.</t>
        </is>
      </c>
    </row>
    <row r="246">
      <c r="A246" t="inlineStr">
        <is>
          <t xml:space="preserve">  - [Ảnh Status Panel]: Tìm thấy giờ bắt đầu là 19:29:31</t>
        </is>
      </c>
    </row>
    <row r="247">
      <c r="A247" s="2" t="inlineStr">
        <is>
          <t xml:space="preserve">      ✅ OK: Thời gian log (19:29:31) &gt;= Thời gian ảnh (19:29:31)</t>
        </is>
      </c>
    </row>
    <row r="248">
      <c r="A248" s="2" t="inlineStr">
        <is>
          <t xml:space="preserve">      ✅ OK: Duration Log Main (185ms) &lt; Duration Ảnh (383ms)</t>
        </is>
      </c>
    </row>
    <row r="249">
      <c r="A249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50">
      <c r="A250" s="2" t="inlineStr">
        <is>
          <t xml:space="preserve">      ✅ OK: Jobnet ID 'P1J0220@10220' khớp với dữ liệu trong Log.</t>
        </is>
      </c>
    </row>
    <row r="251">
      <c r="A251" t="inlineStr">
        <is>
          <t xml:space="preserve">  - [Kiểm tra File]: Log text báo có tạo ra file 'RFSH0220_output.tsv'.</t>
        </is>
      </c>
    </row>
    <row r="252">
      <c r="A252" s="2" t="inlineStr">
        <is>
          <t xml:space="preserve">      ✅ OK: Tên file trong ảnh File Explorer (RFSH0220_output.tsv) KHỚP với tên file trong Log text.</t>
        </is>
      </c>
    </row>
    <row r="253">
      <c r="A253" t="inlineStr">
        <is>
          <t xml:space="preserve">  - [Ảnh File Explorer]: Tìm thấy file 'RFSH0220_output.tsv' có Date modified là '2026/05/18 19:29'</t>
        </is>
      </c>
    </row>
    <row r="254">
      <c r="A254" s="2" t="inlineStr">
        <is>
          <t xml:space="preserve">      ✅ OK: Thời gian xuất file 'RFSH0220_output.tsv' (2026/05/18 19:29) KHỚP với log (2026/05/18 19:29).</t>
        </is>
      </c>
    </row>
    <row r="255">
      <c r="A255" t="inlineStr">
        <is>
          <t xml:space="preserve">  - [Đối chiếu Testcase trong Log]:</t>
        </is>
      </c>
    </row>
    <row r="256">
      <c r="A256" t="inlineStr">
        <is>
          <t xml:space="preserve">  - [Đối chiếu テスト計画書兼結果報告書(個別)]: Tìm thấy 1 dòng (11)</t>
        </is>
      </c>
    </row>
    <row r="257">
      <c r="A257" s="2" t="inlineStr">
        <is>
          <t xml:space="preserve">      + Số lần test (Cột K): ✅ Tất cả 1 dòng đều khớp (Lần 4)</t>
        </is>
      </c>
    </row>
    <row r="258">
      <c r="A258" s="2" t="inlineStr">
        <is>
          <t xml:space="preserve">      + Ngày test (Cột I/G): ✅ Khớp ngày (2026/05/18) cho tất cả các dòng có dữ liệu</t>
        </is>
      </c>
    </row>
    <row r="259">
      <c r="A259" t="inlineStr"/>
    </row>
    <row r="260">
      <c r="A260" s="1" t="inlineStr">
        <is>
          <t>[Nhóm Test]: ■5回目正常系・列分割→行変換確認（明細1件）</t>
        </is>
      </c>
    </row>
    <row r="261">
      <c r="A261" t="inlineStr">
        <is>
          <t xml:space="preserve">  - Tổng số dòng log: 65</t>
        </is>
      </c>
    </row>
    <row r="262">
      <c r="A262" s="2" t="inlineStr">
        <is>
          <t xml:space="preserve">  - Trạng thái Sort (行): ✅ Đã sắp xếp tăng dần hợp lệ.</t>
        </is>
      </c>
    </row>
    <row r="263">
      <c r="A263" t="inlineStr">
        <is>
          <t xml:space="preserve">  - Ngày chạy log: 2026/05/18</t>
        </is>
      </c>
    </row>
    <row r="264">
      <c r="A264" t="inlineStr">
        <is>
          <t xml:space="preserve">  - [Ảnh Status Panel]: Tìm thấy Jobnet ID: 'P1J0220@10220'</t>
        </is>
      </c>
    </row>
    <row r="265">
      <c r="A265" t="inlineStr">
        <is>
          <t xml:space="preserve">  - [Ảnh Status Panel]: Tìm thấy Interface ID: 'RFSH0220'</t>
        </is>
      </c>
    </row>
    <row r="266">
      <c r="A266" s="2" t="inlineStr">
        <is>
          <t xml:space="preserve">      ✅ OK: Interface ID 'RFSH0220' có tồn tại trong tên file Excel.</t>
        </is>
      </c>
    </row>
    <row r="267">
      <c r="A267" t="inlineStr">
        <is>
          <t xml:space="preserve">  - [Ảnh Status Panel]: Tìm thấy giờ bắt đầu là 19:31:42</t>
        </is>
      </c>
    </row>
    <row r="268">
      <c r="A268" s="2" t="inlineStr">
        <is>
          <t xml:space="preserve">      ✅ OK: Thời gian log (19:31:42) &gt;= Thời gian ảnh (19:31:42)</t>
        </is>
      </c>
    </row>
    <row r="269">
      <c r="A269" s="2" t="inlineStr">
        <is>
          <t xml:space="preserve">      ✅ OK: Duration Log Main (201ms) &lt; Duration Ảnh (414ms)</t>
        </is>
      </c>
    </row>
    <row r="270">
      <c r="A270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71">
      <c r="A271" s="2" t="inlineStr">
        <is>
          <t xml:space="preserve">      ✅ OK: Jobnet ID 'P1J0220@10220' khớp với dữ liệu trong Log.</t>
        </is>
      </c>
    </row>
    <row r="272">
      <c r="A272" t="inlineStr">
        <is>
          <t xml:space="preserve">  - [Kiểm tra File]: Log text báo có tạo ra file 'RFSH0220_output.tsv'.</t>
        </is>
      </c>
    </row>
    <row r="273">
      <c r="A273" s="2" t="inlineStr">
        <is>
          <t xml:space="preserve">      ✅ OK: Tên file trong ảnh File Explorer (RFSH0220_output.tsv) KHỚP với tên file trong Log text.</t>
        </is>
      </c>
    </row>
    <row r="274">
      <c r="A274" t="inlineStr">
        <is>
          <t xml:space="preserve">  - [Ảnh File Explorer]: Tìm thấy file 'RFSH0220_output.tsv' có Date modified là '2026/05/18 19:31'</t>
        </is>
      </c>
    </row>
    <row r="275">
      <c r="A275" s="2" t="inlineStr">
        <is>
          <t xml:space="preserve">      ✅ OK: Thời gian xuất file 'RFSH0220_output.tsv' (2026/05/18 19:31) KHỚP với log (2026/05/18 19:31).</t>
        </is>
      </c>
    </row>
    <row r="276">
      <c r="A276" t="inlineStr">
        <is>
          <t xml:space="preserve">  - [Đối chiếu Testcase trong Log]:</t>
        </is>
      </c>
    </row>
    <row r="277">
      <c r="A277" t="inlineStr">
        <is>
          <t xml:space="preserve">  - [Đối chiếu テスト計画書兼結果報告書(個別)]: Tìm thấy 1 dòng (12)</t>
        </is>
      </c>
    </row>
    <row r="278">
      <c r="A278" s="2" t="inlineStr">
        <is>
          <t xml:space="preserve">      + Số lần test (Cột K): ✅ Tất cả 1 dòng đều khớp (Lần 5)</t>
        </is>
      </c>
    </row>
    <row r="279">
      <c r="A279" s="2" t="inlineStr">
        <is>
          <t xml:space="preserve">      + Ngày test (Cột I/G): ✅ Khớp ngày (2026/05/18) cho tất cả các dòng có dữ liệu</t>
        </is>
      </c>
    </row>
    <row r="280">
      <c r="A280" t="inlineStr"/>
    </row>
    <row r="281">
      <c r="A281" s="1" t="inlineStr">
        <is>
          <t>[Nhóm Test]: ■6回目正常系・列分割→行変換確認（明細4件）</t>
        </is>
      </c>
    </row>
    <row r="282">
      <c r="A282" t="inlineStr">
        <is>
          <t xml:space="preserve">  - Tổng số dòng log: 65</t>
        </is>
      </c>
    </row>
    <row r="283">
      <c r="A283" s="2" t="inlineStr">
        <is>
          <t xml:space="preserve">  - Trạng thái Sort (行): ✅ Đã sắp xếp tăng dần hợp lệ.</t>
        </is>
      </c>
    </row>
    <row r="284">
      <c r="A284" t="inlineStr">
        <is>
          <t xml:space="preserve">  - Ngày chạy log: 2026/05/18</t>
        </is>
      </c>
    </row>
    <row r="285">
      <c r="A285" t="inlineStr">
        <is>
          <t xml:space="preserve">  - [Ảnh Status Panel]: Tìm thấy Jobnet ID: 'P1J0220@10220'</t>
        </is>
      </c>
    </row>
    <row r="286">
      <c r="A286" t="inlineStr">
        <is>
          <t xml:space="preserve">  - [Ảnh Status Panel]: Tìm thấy Interface ID: 'RFSH0220'</t>
        </is>
      </c>
    </row>
    <row r="287">
      <c r="A287" s="2" t="inlineStr">
        <is>
          <t xml:space="preserve">      ✅ OK: Interface ID 'RFSH0220' có tồn tại trong tên file Excel.</t>
        </is>
      </c>
    </row>
    <row r="288">
      <c r="A288" t="inlineStr">
        <is>
          <t xml:space="preserve">  - [Ảnh Status Panel]: Tìm thấy giờ bắt đầu là 19:34:17</t>
        </is>
      </c>
    </row>
    <row r="289">
      <c r="A289" s="2" t="inlineStr">
        <is>
          <t xml:space="preserve">      ✅ OK: Thời gian log (19:34:17) &gt;= Thời gian ảnh (19:34:17)</t>
        </is>
      </c>
    </row>
    <row r="290">
      <c r="A290" s="2" t="inlineStr">
        <is>
          <t xml:space="preserve">      ✅ OK: Duration Log Main (208ms) &lt; Duration Ảnh (398ms)</t>
        </is>
      </c>
    </row>
    <row r="291">
      <c r="A291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92">
      <c r="A292" s="2" t="inlineStr">
        <is>
          <t xml:space="preserve">      ✅ OK: Jobnet ID 'P1J0220@10220' khớp với dữ liệu trong Log.</t>
        </is>
      </c>
    </row>
    <row r="293">
      <c r="A293" t="inlineStr">
        <is>
          <t xml:space="preserve">  - [Kiểm tra File]: Log text báo có tạo ra file 'RFSH0220_output.tsv'.</t>
        </is>
      </c>
    </row>
    <row r="294">
      <c r="A294" s="2" t="inlineStr">
        <is>
          <t xml:space="preserve">      ✅ OK: Tên file trong ảnh File Explorer (RFSH0220_output.tsv) KHỚP với tên file trong Log text.</t>
        </is>
      </c>
    </row>
    <row r="295">
      <c r="A295" t="inlineStr">
        <is>
          <t xml:space="preserve">  - [Ảnh File Explorer]: Tìm thấy file 'RFSH0220_output.tsv' có Date modified là '2026/05/18 19:34'</t>
        </is>
      </c>
    </row>
    <row r="296">
      <c r="A296" s="2" t="inlineStr">
        <is>
          <t xml:space="preserve">      ✅ OK: Thời gian xuất file 'RFSH0220_output.tsv' (2026/05/18 19:34) KHỚP với log (2026/05/18 19:34).</t>
        </is>
      </c>
    </row>
    <row r="297">
      <c r="A297" t="inlineStr">
        <is>
          <t xml:space="preserve">  - [Đối chiếu Testcase trong Log]:</t>
        </is>
      </c>
    </row>
    <row r="298">
      <c r="A298" t="inlineStr">
        <is>
          <t xml:space="preserve">  - [Đối chiếu テスト計画書兼結果報告書(個別)]: Tìm thấy 1 dòng (14)</t>
        </is>
      </c>
    </row>
    <row r="299">
      <c r="A299" s="2" t="inlineStr">
        <is>
          <t xml:space="preserve">      + Số lần test (Cột K): ✅ Tất cả 1 dòng đều khớp (Lần 6)</t>
        </is>
      </c>
    </row>
    <row r="300">
      <c r="A300" s="2" t="inlineStr">
        <is>
          <t xml:space="preserve">      + Ngày test (Cột I/G): ✅ Khớp ngày (2026/05/18) cho tất cả các dòng có dữ liệu</t>
        </is>
      </c>
    </row>
    <row r="301">
      <c r="A301" t="inlineStr"/>
    </row>
    <row r="302">
      <c r="A302" s="1" t="inlineStr">
        <is>
          <t>[Nhóm Test]: ■7回目正常系・列分割→行変換確認（明細8件）</t>
        </is>
      </c>
    </row>
    <row r="303">
      <c r="A303" t="inlineStr">
        <is>
          <t xml:space="preserve">  - Tổng số dòng log: 65</t>
        </is>
      </c>
    </row>
    <row r="304">
      <c r="A304" s="2" t="inlineStr">
        <is>
          <t xml:space="preserve">  - Trạng thái Sort (行): ✅ Đã sắp xếp tăng dần hợp lệ.</t>
        </is>
      </c>
    </row>
    <row r="305">
      <c r="A305" t="inlineStr">
        <is>
          <t xml:space="preserve">  - Ngày chạy log: 2026/05/18</t>
        </is>
      </c>
    </row>
    <row r="306">
      <c r="A306" t="inlineStr">
        <is>
          <t xml:space="preserve">  - [Ảnh Status Panel]: Tìm thấy Jobnet ID: 'P1J0220@10220'</t>
        </is>
      </c>
    </row>
    <row r="307">
      <c r="A307" t="inlineStr">
        <is>
          <t xml:space="preserve">  - [Ảnh Status Panel]: Tìm thấy Interface ID: 'RFSH0220'</t>
        </is>
      </c>
    </row>
    <row r="308">
      <c r="A308" s="2" t="inlineStr">
        <is>
          <t xml:space="preserve">      ✅ OK: Interface ID 'RFSH0220' có tồn tại trong tên file Excel.</t>
        </is>
      </c>
    </row>
    <row r="309">
      <c r="A309" t="inlineStr">
        <is>
          <t xml:space="preserve">  - [Ảnh Status Panel]: Tìm thấy giờ bắt đầu là 19:35:57</t>
        </is>
      </c>
    </row>
    <row r="310">
      <c r="A310" s="2" t="inlineStr">
        <is>
          <t xml:space="preserve">      ✅ OK: Thời gian log (19:35:57) &gt;= Thời gian ảnh (19:35:57)</t>
        </is>
      </c>
    </row>
    <row r="311">
      <c r="A311" s="2" t="inlineStr">
        <is>
          <t xml:space="preserve">      ✅ OK: Duration Log Main (198ms) &lt; Duration Ảnh (399ms)</t>
        </is>
      </c>
    </row>
    <row r="312">
      <c r="A312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313">
      <c r="A313" s="2" t="inlineStr">
        <is>
          <t xml:space="preserve">      ✅ OK: Jobnet ID 'P1J0220@10220' khớp với dữ liệu trong Log.</t>
        </is>
      </c>
    </row>
    <row r="314">
      <c r="A314" t="inlineStr">
        <is>
          <t xml:space="preserve">  - [Kiểm tra File]: Log text báo có tạo ra file 'RFSH0220_output.tsv'.</t>
        </is>
      </c>
    </row>
    <row r="315">
      <c r="A315" s="2" t="inlineStr">
        <is>
          <t xml:space="preserve">      ✅ OK: Tên file trong ảnh File Explorer (RFSH0220_output.tsv) KHỚP với tên file trong Log text.</t>
        </is>
      </c>
    </row>
    <row r="316">
      <c r="A316" t="inlineStr">
        <is>
          <t xml:space="preserve">  - [Ảnh File Explorer]: Tìm thấy file 'RFSH0220_output.tsv' có Date modified là '2026/05/18 19:35'</t>
        </is>
      </c>
    </row>
    <row r="317">
      <c r="A317" s="2" t="inlineStr">
        <is>
          <t xml:space="preserve">      ✅ OK: Thời gian xuất file 'RFSH0220_output.tsv' (2026/05/18 19:35) KHỚP với log (2026/05/18 19:35).</t>
        </is>
      </c>
    </row>
    <row r="318">
      <c r="A318" t="inlineStr">
        <is>
          <t xml:space="preserve">  - [Đối chiếu Testcase trong Log]:</t>
        </is>
      </c>
    </row>
    <row r="319">
      <c r="A319" t="inlineStr">
        <is>
          <t xml:space="preserve">  - [Đối chiếu テスト計画書兼結果報告書(個別)]: Tìm thấy 1 dòng (13)</t>
        </is>
      </c>
    </row>
    <row r="320">
      <c r="A320" s="2" t="inlineStr">
        <is>
          <t xml:space="preserve">      + Số lần test (Cột K): ✅ Tất cả 1 dòng đều khớp (Lần 7)</t>
        </is>
      </c>
    </row>
    <row r="321">
      <c r="A321" s="2" t="inlineStr">
        <is>
          <t xml:space="preserve">      + Ngày test (Cột I/G): ✅ Khớp ngày (2026/05/18) cho tất cả các dòng có dữ liệu</t>
        </is>
      </c>
    </row>
    <row r="322">
      <c r="A322" t="inlineStr"/>
    </row>
    <row r="323">
      <c r="A323" s="1" t="inlineStr">
        <is>
          <t>[Nhóm Test]: ■8回目正常系・列分割→行変換確認（レコードが複数件あり）</t>
        </is>
      </c>
    </row>
    <row r="324">
      <c r="A324" t="inlineStr">
        <is>
          <t xml:space="preserve">  - Tổng số dòng log: 65</t>
        </is>
      </c>
    </row>
    <row r="325">
      <c r="A325" s="2" t="inlineStr">
        <is>
          <t xml:space="preserve">  - Trạng thái Sort (行): ✅ Đã sắp xếp tăng dần hợp lệ.</t>
        </is>
      </c>
    </row>
    <row r="326">
      <c r="A326" t="inlineStr">
        <is>
          <t xml:space="preserve">  - Ngày chạy log: 2026/05/18</t>
        </is>
      </c>
    </row>
    <row r="327">
      <c r="A327" t="inlineStr">
        <is>
          <t xml:space="preserve">  - [Ảnh Status Panel]: Tìm thấy Jobnet ID: 'P1J0220@10220'</t>
        </is>
      </c>
    </row>
    <row r="328">
      <c r="A328" t="inlineStr">
        <is>
          <t xml:space="preserve">  - [Ảnh Status Panel]: Tìm thấy Interface ID: 'RFSH0220'</t>
        </is>
      </c>
    </row>
    <row r="329">
      <c r="A329" s="2" t="inlineStr">
        <is>
          <t xml:space="preserve">      ✅ OK: Interface ID 'RFSH0220' có tồn tại trong tên file Excel.</t>
        </is>
      </c>
    </row>
    <row r="330">
      <c r="A330" t="inlineStr">
        <is>
          <t xml:space="preserve">  - [Ảnh Status Panel]: Tìm thấy giờ bắt đầu là 19:37:36</t>
        </is>
      </c>
    </row>
    <row r="331">
      <c r="A331" s="2" t="inlineStr">
        <is>
          <t xml:space="preserve">      ✅ OK: Thời gian log (19:37:36) &gt;= Thời gian ảnh (19:37:36)</t>
        </is>
      </c>
    </row>
    <row r="332">
      <c r="A332" s="2" t="inlineStr">
        <is>
          <t xml:space="preserve">      ✅ OK: Duration Log Main (195ms) &lt; Duration Ảnh (397ms)</t>
        </is>
      </c>
    </row>
    <row r="333">
      <c r="A333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334">
      <c r="A334" s="2" t="inlineStr">
        <is>
          <t xml:space="preserve">      ✅ OK: Jobnet ID 'P1J0220@10220' khớp với dữ liệu trong Log.</t>
        </is>
      </c>
    </row>
    <row r="335">
      <c r="A335" t="inlineStr">
        <is>
          <t xml:space="preserve">  - [Kiểm tra File]: Log text báo có tạo ra file 'RFSH0220_output.tsv'.</t>
        </is>
      </c>
    </row>
    <row r="336">
      <c r="A336" s="2" t="inlineStr">
        <is>
          <t xml:space="preserve">      ✅ OK: Tên file trong ảnh File Explorer (RFSH0220_output.tsv) KHỚP với tên file trong Log text.</t>
        </is>
      </c>
    </row>
    <row r="337">
      <c r="A337" t="inlineStr">
        <is>
          <t xml:space="preserve">  - [Ảnh File Explorer]: Tìm thấy file 'RFSH0220_output.tsv' có Date modified là '2026/05/18 19:37'</t>
        </is>
      </c>
    </row>
    <row r="338">
      <c r="A338" s="2" t="inlineStr">
        <is>
          <t xml:space="preserve">      ✅ OK: Thời gian xuất file 'RFSH0220_output.tsv' (2026/05/18 19:37) KHỚP với log (2026/05/18 19:37).</t>
        </is>
      </c>
    </row>
    <row r="339">
      <c r="A339" t="inlineStr">
        <is>
          <t xml:space="preserve">  - [Đối chiếu Testcase trong Log]:</t>
        </is>
      </c>
    </row>
    <row r="340">
      <c r="A340" t="inlineStr">
        <is>
          <t xml:space="preserve">  - [Đối chiếu テスト計画書兼結果報告書(個別)]: Tìm thấy 1 dòng (15)</t>
        </is>
      </c>
    </row>
    <row r="341">
      <c r="A341" s="2" t="inlineStr">
        <is>
          <t xml:space="preserve">      + Số lần test (Cột K): ✅ Tất cả 1 dòng đều khớp (Lần 8)</t>
        </is>
      </c>
    </row>
    <row r="342">
      <c r="A342" s="2" t="inlineStr">
        <is>
          <t xml:space="preserve">      + Ngày test (Cột I/G): ✅ Khớp ngày (2026/05/18) cho tất cả các dòng có dữ liệu</t>
        </is>
      </c>
    </row>
    <row r="343">
      <c r="A343" t="inlineStr"/>
    </row>
    <row r="344">
      <c r="A344" s="1">
        <f>=============== TỔNG KẾT COVERAGE CHO SHEET エビデンス(共通) ================</f>
        <v/>
      </c>
    </row>
    <row r="345">
      <c r="A345" s="2" t="inlineStr">
        <is>
          <t xml:space="preserve">  - ✅ Nhóm 1 (gồm TC: 1-1-1, 1-2-1, 2-1-1, 2-2-1, 3-1-1, 3-2-1, 4-1-1, 4-2-1, 5-1-1, 5-3-1, 5-4-1, 6-1-1, 7-1-1): Đã có Log Evidence.</t>
        </is>
      </c>
    </row>
    <row r="346">
      <c r="A346" s="2" t="inlineStr">
        <is>
          <t xml:space="preserve">  - ✅ Nhóm 2 (gồm TC: 1-2-2, 2-2-2): Đã có Log Evidence.</t>
        </is>
      </c>
    </row>
    <row r="347">
      <c r="A347" s="2" t="inlineStr">
        <is>
          <t xml:space="preserve">  - ✅ Nhóm 3 (gồm TC: 3-2-2): Đã có Log Evidence.</t>
        </is>
      </c>
    </row>
    <row r="348">
      <c r="A348" s="2" t="inlineStr">
        <is>
          <t xml:space="preserve">  - ✅ Nhóm 4 (gồm TC: 3-2-3): Đã có Log Evidence.</t>
        </is>
      </c>
    </row>
    <row r="349">
      <c r="A349" s="2" t="inlineStr">
        <is>
          <t xml:space="preserve">  - ✅ Nhóm 5 (gồm TC: 4-1-2, 7-1-2): Đã có Log Evidence.</t>
        </is>
      </c>
    </row>
    <row r="350">
      <c r="A350" s="2" t="inlineStr">
        <is>
          <t xml:space="preserve">  - ✅ Nhóm 6 (gồm TC: 4-2-2): Đã có Log Evidence.</t>
        </is>
      </c>
    </row>
    <row r="351">
      <c r="A351" s="2" t="inlineStr">
        <is>
          <t xml:space="preserve">  - ✅ Nhóm 7 (gồm TC: 4-2-3, 5-2-1): Đã có Log Evidence.</t>
        </is>
      </c>
    </row>
    <row r="352">
      <c r="A352" t="inlineStr">
        <is>
          <t xml:space="preserve">  =&gt; TOÀN BỘ CÁC NHÓM TEST TRONG KẾ HOẠCH ĐỀU ĐÃ CÓ EVIDENCE!</t>
        </is>
      </c>
    </row>
    <row r="353">
      <c r="A353" t="inlineStr"/>
    </row>
    <row r="354">
      <c r="A354" t="inlineStr"/>
    </row>
    <row r="355">
      <c r="A355" s="1">
        <f>=============== TỔNG KẾT COVERAGE CHO SHEET エビデンス(個別) ================</f>
        <v/>
      </c>
    </row>
    <row r="356">
      <c r="A356" s="2" t="inlineStr">
        <is>
          <t xml:space="preserve">  - ✅ Nhóm 1 (gồm TC: 1-1-1): Đã có Log Evidence.</t>
        </is>
      </c>
    </row>
    <row r="357">
      <c r="A357" s="2" t="inlineStr">
        <is>
          <t xml:space="preserve">  - ✅ Nhóm 2 (gồm TC: 1-2-1): Đã có Log Evidence.</t>
        </is>
      </c>
    </row>
    <row r="358">
      <c r="A358" s="2" t="inlineStr">
        <is>
          <t xml:space="preserve">  - ✅ Nhóm 3 (gồm TC: 3-1-1, 3-1-2, 3-1-3, 3-1-4, 3-1-5, 3-1-6, 3-2-1, 3-2-2, 3-2-3, 3-2-4, 3-2-5, 3-2-6): Đã có Log Evidence.</t>
        </is>
      </c>
    </row>
    <row r="359">
      <c r="A359" s="2" t="inlineStr">
        <is>
          <t xml:space="preserve">  - ✅ Nhóm 4 (gồm TC: 2-1-1): Đã có Log Evidence.</t>
        </is>
      </c>
    </row>
    <row r="360">
      <c r="A360" s="2" t="inlineStr">
        <is>
          <t xml:space="preserve">  - ✅ Nhóm 5 (gồm TC: 2-1-2): Đã có Log Evidence.</t>
        </is>
      </c>
    </row>
    <row r="361">
      <c r="A361" s="2" t="inlineStr">
        <is>
          <t xml:space="preserve">  - ✅ Nhóm 6 (gồm TC: 2-1-4): Đã có Log Evidence.</t>
        </is>
      </c>
    </row>
    <row r="362">
      <c r="A362" s="2" t="inlineStr">
        <is>
          <t xml:space="preserve">  - ✅ Nhóm 7 (gồm TC: 2-1-3): Đã có Log Evidence.</t>
        </is>
      </c>
    </row>
    <row r="363">
      <c r="A363" s="2" t="inlineStr">
        <is>
          <t xml:space="preserve">  - ✅ Nhóm 8 (gồm TC: 2-1-5): Đã có Log Evidence.</t>
        </is>
      </c>
    </row>
    <row r="364">
      <c r="A364" t="inlineStr">
        <is>
          <t xml:space="preserve">  =&gt; TOÀN BỘ CÁC NHÓM TEST TRONG KẾ HOẠCH ĐỀU ĐÃ CÓ EVIDENCE!</t>
        </is>
      </c>
    </row>
    <row r="365">
      <c r="A365" t="inlineStr"/>
    </row>
    <row r="366">
      <c r="A36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6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" t="inlineStr">
        <is>
          <t>✅ Đã check xong file '単体テスト仕様書兼成績書_E304_RFSH0220.xlsx'. Nhấn Enter để tiếp tục sang file tiếp theo...</t>
        </is>
      </c>
    </row>
    <row r="2">
      <c r="A2" s="1">
        <f>======================== [6/16] ĐANG XỬ LÝ FILE: 単体テスト仕様書兼成績書_E304_RFSH0226.xlsx =========================</f>
        <v/>
      </c>
    </row>
    <row r="3">
      <c r="A3" t="inlineStr">
        <is>
          <t>Đang đọc dữ liệu từ file: 単体テスト仕様書兼成績書_E304_RFSH0226.xlsx ...</t>
        </is>
      </c>
    </row>
    <row r="4">
      <c r="A4" t="inlineStr"/>
    </row>
    <row r="5">
      <c r="A5" s="1">
        <f>=============== TRẠNG THÁI OCR ================</f>
        <v/>
      </c>
    </row>
    <row r="6">
      <c r="A6" s="2" t="inlineStr">
        <is>
          <t>✅ Đã bật (Sẵn sàng đọc ảnh)</t>
        </is>
      </c>
    </row>
    <row r="7">
      <c r="A7" t="inlineStr"/>
    </row>
    <row r="8">
      <c r="A8" s="1">
        <f>=============== KIỂM TRA TRẠNG THÁI MỞ FILE ================</f>
        <v/>
      </c>
    </row>
    <row r="9">
      <c r="A9" s="2" t="inlineStr">
        <is>
          <t>✅ File đang mở ở sheet đầu tiên '表紙 '.</t>
        </is>
      </c>
    </row>
    <row r="10">
      <c r="A10" s="2" t="inlineStr">
        <is>
          <t>✅ Con trỏ chuột đang nằm ở ô 'A1'.</t>
        </is>
      </c>
    </row>
    <row r="11">
      <c r="A11" t="inlineStr"/>
    </row>
    <row r="12">
      <c r="A12" s="1">
        <f>=============== SHEET: エビデンス(共通) ================</f>
        <v/>
      </c>
    </row>
    <row r="13">
      <c r="A13" t="inlineStr">
        <is>
          <t xml:space="preserve">  -&gt; Tìm thấy 44 ảnh trong sheet này.</t>
        </is>
      </c>
    </row>
    <row r="14">
      <c r="A14" s="1">
        <f>=============== SHEET: エビデンス(個別) ================</f>
        <v/>
      </c>
    </row>
    <row r="15">
      <c r="A15" t="inlineStr">
        <is>
          <t xml:space="preserve">  -&gt; Tìm thấy 40 ảnh trong sheet này.</t>
        </is>
      </c>
    </row>
    <row r="16">
      <c r="A16" t="inlineStr"/>
    </row>
    <row r="17">
      <c r="A17" s="1" t="inlineStr">
        <is>
          <t>[GEMINI MANUAL MODE] ♻️ Đã tìm thấy file JSON kết quả cũ tại:</t>
        </is>
      </c>
    </row>
    <row r="18">
      <c r="A18" t="inlineStr">
        <is>
          <t>D:\project\tool\New folder\Gemini_Upload_単体テスト仕様書兼成績書_E304_RFSH0226\gemini_result.json</t>
        </is>
      </c>
    </row>
    <row r="19">
      <c r="A19">
        <f>&gt; Sử dụng luôn kết quả này, bỏ qua bước xuất ảnh PDF và hỏi lại Gemini.</f>
        <v/>
      </c>
    </row>
    <row r="20">
      <c r="A20" t="inlineStr"/>
    </row>
    <row r="21">
      <c r="A21" s="1">
        <f>=============== ĐANG PHÂN TÍCH KẾT QUẢ SHEET: エビデンス(共通) ================</f>
        <v/>
      </c>
    </row>
    <row r="22">
      <c r="A22" t="inlineStr"/>
    </row>
    <row r="23">
      <c r="A23" s="1" t="inlineStr">
        <is>
          <t>[Kiểm tra Cấu hình Flow - Trước khi Test]:</t>
        </is>
      </c>
    </row>
    <row r="24">
      <c r="A24" s="2" t="inlineStr">
        <is>
          <t xml:space="preserve">  - [Ảnh Flow]: ✅ Tìm thấy P_JobnetID: 'P1J0226@10226'</t>
        </is>
      </c>
    </row>
    <row r="25">
      <c r="A25" s="2" t="inlineStr">
        <is>
          <t xml:space="preserve">      ✅ OK: P_JobnetID 'P1J0226@10226' có chứa mã '0226' của file.</t>
        </is>
      </c>
    </row>
    <row r="26">
      <c r="A26" s="2" t="inlineStr">
        <is>
          <t xml:space="preserve">  - [Ảnh Flow]: ✅ Tìm thấy P_InterfaceID: 'RFSH0226'</t>
        </is>
      </c>
    </row>
    <row r="27">
      <c r="A27" s="2" t="inlineStr">
        <is>
          <t xml:space="preserve">      ✅ OK: P_InterfaceID 'RFSH0226' có chứa mã '0226' của file.</t>
        </is>
      </c>
    </row>
    <row r="28">
      <c r="A28" t="inlineStr"/>
    </row>
    <row r="29">
      <c r="A29" s="1" t="inlineStr">
        <is>
          <t>[Nhóm Test]: ■1回目 正常系・1000件未満・ファイル送信前結合有無=false</t>
        </is>
      </c>
    </row>
    <row r="30">
      <c r="A30" t="inlineStr">
        <is>
          <t xml:space="preserve">  - Tổng số dòng log: 53</t>
        </is>
      </c>
    </row>
    <row r="31">
      <c r="A31" s="2" t="inlineStr">
        <is>
          <t xml:space="preserve">  - Trạng thái Sort (行): ✅ Đã sắp xếp tăng dần hợp lệ.</t>
        </is>
      </c>
    </row>
    <row r="32">
      <c r="A32" t="inlineStr">
        <is>
          <t xml:space="preserve">  - Ngày chạy log: 2026/05/18</t>
        </is>
      </c>
    </row>
    <row r="33">
      <c r="A33" t="inlineStr">
        <is>
          <t xml:space="preserve">  - [Ảnh Status Panel]: Tìm thấy Jobnet ID: 'P1J0226@10226'</t>
        </is>
      </c>
    </row>
    <row r="34">
      <c r="A34" t="inlineStr">
        <is>
          <t xml:space="preserve">  - [Ảnh Status Panel]: Tìm thấy Interface ID: 'RFSH0226'</t>
        </is>
      </c>
    </row>
    <row r="35">
      <c r="A35" s="2" t="inlineStr">
        <is>
          <t xml:space="preserve">      ✅ OK: Interface ID 'RFSH0226' có tồn tại trong tên file Excel.</t>
        </is>
      </c>
    </row>
    <row r="36">
      <c r="A36" t="inlineStr">
        <is>
          <t xml:space="preserve">  - [Ảnh Status Panel]: Tìm thấy giờ bắt đầu là 16:23:05</t>
        </is>
      </c>
    </row>
    <row r="37">
      <c r="A37" s="2" t="inlineStr">
        <is>
          <t xml:space="preserve">      ✅ OK: Thời gian log (16:23:05) &gt;= Thời gian ảnh (16:23:05)</t>
        </is>
      </c>
    </row>
    <row r="38">
      <c r="A38" s="2" t="inlineStr">
        <is>
          <t xml:space="preserve">      ✅ OK: Duration Log Main (262ms) &lt; Duration Ảnh (460ms)</t>
        </is>
      </c>
    </row>
    <row r="39">
      <c r="A39" t="inlineStr">
        <is>
          <t xml:space="preserve">  - [Ảnh Log Viewer]: Tìm thấy thời gian kết thúc trong ảnh log là '16:23:05'</t>
        </is>
      </c>
    </row>
    <row r="40">
      <c r="A40" s="2" t="inlineStr">
        <is>
          <t xml:space="preserve">      ✅ OK: Giờ kết thúc trong ảnh Log (16:23:05) KHỚP với log text (16:23:05).</t>
        </is>
      </c>
    </row>
    <row r="41">
      <c r="A41" s="2" t="inlineStr">
        <is>
          <t xml:space="preserve">      ✅ OK: Giờ ảnh Log (16:23:05) &gt;= Giờ bắt đầu (16:23:05).</t>
        </is>
      </c>
    </row>
    <row r="42">
      <c r="A42" s="2" t="inlineStr">
        <is>
          <t xml:space="preserve">      ✅ OK: Jobnet ID 'P1J0226@10226' khớp với dữ liệu trong Log.</t>
        </is>
      </c>
    </row>
    <row r="43">
      <c r="A43" t="inlineStr">
        <is>
          <t xml:space="preserve">  - [Kiểm tra File]: Log text báo có tạo ra file 'RFSH0226_output.tsv'.</t>
        </is>
      </c>
    </row>
    <row r="44">
      <c r="A44" s="2" t="inlineStr">
        <is>
          <t xml:space="preserve">      ✅ OK: Tên file trong ảnh File Explorer (RFSH0226_output.tsv) KHỚP với tên file trong Log text.</t>
        </is>
      </c>
    </row>
    <row r="45">
      <c r="A45" t="inlineStr">
        <is>
          <t xml:space="preserve">  - [Ảnh File Explorer]: Tìm thấy file 'RFSH0226_output.tsv' có Date modified là '2026/05/18 16:23'</t>
        </is>
      </c>
    </row>
    <row r="46">
      <c r="A46" s="2" t="inlineStr">
        <is>
          <t xml:space="preserve">      ✅ OK: Thời gian xuất file 'RFSH0226_output.tsv' (2026/05/18 16:23) KHỚP với log (2026/05/18 16:23).</t>
        </is>
      </c>
    </row>
    <row r="47">
      <c r="A47" t="inlineStr">
        <is>
          <t xml:space="preserve">  - [Đối chiếu Testcase trong Log]:</t>
        </is>
      </c>
    </row>
    <row r="48">
      <c r="A48" t="inlineStr">
        <is>
          <t xml:space="preserve">  - [Đối chiếu テスト計画書兼結果報告書(共通)]: Tìm thấy 13 dòng (6, 8, 12, 14, 18, 20, 25, 28, 33, 37, 39, 42, 45)</t>
        </is>
      </c>
    </row>
    <row r="49">
      <c r="A49" s="2" t="inlineStr">
        <is>
          <t xml:space="preserve">      + Số lần test (Cột K): ✅ Tất cả 13 dòng đều khớp (Lần 1)</t>
        </is>
      </c>
    </row>
    <row r="50">
      <c r="A50" s="2" t="inlineStr">
        <is>
          <t xml:space="preserve">      + Ngày test (Cột I/G): ✅ Khớp ngày (2026/05/18) cho tất cả các dòng có dữ liệu</t>
        </is>
      </c>
    </row>
    <row r="51">
      <c r="A51" t="inlineStr"/>
    </row>
    <row r="52">
      <c r="A52" s="1" t="inlineStr">
        <is>
          <t>[Nhóm Test]: ■2回目 異常系・起動パラメータ不正</t>
        </is>
      </c>
    </row>
    <row r="53">
      <c r="A53" t="inlineStr">
        <is>
          <t xml:space="preserve">  - Tổng số dòng log: 23</t>
        </is>
      </c>
    </row>
    <row r="54">
      <c r="A54" s="2" t="inlineStr">
        <is>
          <t xml:space="preserve">  - Trạng thái Sort (行): ✅ Đã sắp xếp tăng dần hợp lệ.</t>
        </is>
      </c>
    </row>
    <row r="55">
      <c r="A55" t="inlineStr">
        <is>
          <t xml:space="preserve">  - Ngày chạy log: 2026/05/18</t>
        </is>
      </c>
    </row>
    <row r="56">
      <c r="A56" t="inlineStr">
        <is>
          <t xml:space="preserve">  - [Ảnh Status Panel]: Tìm thấy Jobnet ID: ''</t>
        </is>
      </c>
    </row>
    <row r="57">
      <c r="A57" t="inlineStr">
        <is>
          <t xml:space="preserve">  - [Ảnh Status Panel]: Tìm thấy Interface ID: ''</t>
        </is>
      </c>
    </row>
    <row r="58">
      <c r="A58" s="3" t="inlineStr">
        <is>
          <t xml:space="preserve">      ⚠️ Interface ID là chuỗi rỗng nên bỏ qua kiểm tra với tên file.</t>
        </is>
      </c>
    </row>
    <row r="59">
      <c r="A59" t="inlineStr">
        <is>
          <t xml:space="preserve">  - [Ảnh Status Panel]: Tìm thấy giờ bắt đầu là 16:27:46</t>
        </is>
      </c>
    </row>
    <row r="60">
      <c r="A60" s="2" t="inlineStr">
        <is>
          <t xml:space="preserve">      ✅ OK: Thời gian log (16:27:47) &gt;= Thời gian ảnh (16:27:46)</t>
        </is>
      </c>
    </row>
    <row r="61">
      <c r="A61" s="2" t="inlineStr">
        <is>
          <t xml:space="preserve">      ✅ OK: Duration Log Main (33ms) &lt; Duration Ảnh (228ms)</t>
        </is>
      </c>
    </row>
    <row r="62">
      <c r="A62" t="inlineStr">
        <is>
          <t xml:space="preserve">  - [Ảnh Log Viewer]: Tìm thấy thời gian kết thúc trong ảnh log là '16:27:47'</t>
        </is>
      </c>
    </row>
    <row r="63">
      <c r="A63" s="2" t="inlineStr">
        <is>
          <t xml:space="preserve">      ✅ OK: Giờ kết thúc trong ảnh Log (16:27:47) KHỚP với log text (16:27:47).</t>
        </is>
      </c>
    </row>
    <row r="64">
      <c r="A64" s="2" t="inlineStr">
        <is>
          <t xml:space="preserve">      ✅ OK: Giờ ảnh Log (16:27:47) &gt;= Giờ bắt đầu (16:27:46).</t>
        </is>
      </c>
    </row>
    <row r="65">
      <c r="A65" s="2" t="inlineStr">
        <is>
          <t xml:space="preserve">      ✅ OK: Jobnet ID '' khớp với dữ liệu trong Log.</t>
        </is>
      </c>
    </row>
    <row r="66">
      <c r="A66" t="inlineStr">
        <is>
          <t xml:space="preserve">  - [Đối chiếu Testcase trong Log]:</t>
        </is>
      </c>
    </row>
    <row r="67">
      <c r="A67" t="inlineStr">
        <is>
          <t xml:space="preserve">  - [Đối chiếu テスト計画書兼結果報告書(共通)]: Tìm thấy 2 dòng (9, 15)</t>
        </is>
      </c>
    </row>
    <row r="68">
      <c r="A68" s="2" t="inlineStr">
        <is>
          <t xml:space="preserve">      + Số lần test (Cột K): ✅ Tất cả 2 dòng đều khớp (Lần 2)</t>
        </is>
      </c>
    </row>
    <row r="69">
      <c r="A69" s="2" t="inlineStr">
        <is>
          <t xml:space="preserve">      + Ngày test (Cột I/G): ✅ Khớp ngày (2026/05/18) cho tất cả các dòng có dữ liệu</t>
        </is>
      </c>
    </row>
    <row r="70">
      <c r="A70" t="inlineStr"/>
    </row>
    <row r="71">
      <c r="A71" s="1" t="inlineStr">
        <is>
          <t>[Nhóm Test]: ■3回目 正常系・ファイル送信前結合有無=true</t>
        </is>
      </c>
    </row>
    <row r="72">
      <c r="A72" t="inlineStr">
        <is>
          <t xml:space="preserve">  - Tổng số dòng log: 65</t>
        </is>
      </c>
    </row>
    <row r="73">
      <c r="A73" s="2" t="inlineStr">
        <is>
          <t xml:space="preserve">  - Trạng thái Sort (行): ✅ Đã sắp xếp tăng dần hợp lệ.</t>
        </is>
      </c>
    </row>
    <row r="74">
      <c r="A74" t="inlineStr">
        <is>
          <t xml:space="preserve">  - Ngày chạy log: 2026/05/18</t>
        </is>
      </c>
    </row>
    <row r="75">
      <c r="A75" t="inlineStr">
        <is>
          <t xml:space="preserve">  - [Ảnh Status Panel]: Tìm thấy Jobnet ID: 'P1J0226@10226'</t>
        </is>
      </c>
    </row>
    <row r="76">
      <c r="A76" t="inlineStr">
        <is>
          <t xml:space="preserve">  - [Ảnh Status Panel]: Tìm thấy Interface ID: 'RFSH0226'</t>
        </is>
      </c>
    </row>
    <row r="77">
      <c r="A77" s="2" t="inlineStr">
        <is>
          <t xml:space="preserve">      ✅ OK: Interface ID 'RFSH0226' có tồn tại trong tên file Excel.</t>
        </is>
      </c>
    </row>
    <row r="78">
      <c r="A78" t="inlineStr">
        <is>
          <t xml:space="preserve">  - [Ảnh Status Panel]: Tìm thấy giờ bắt đầu là 16:35:00</t>
        </is>
      </c>
    </row>
    <row r="79">
      <c r="A79" s="2" t="inlineStr">
        <is>
          <t xml:space="preserve">      ✅ OK: Thời gian log (16:35:00) &gt;= Thời gian ảnh (16:35:00)</t>
        </is>
      </c>
    </row>
    <row r="80">
      <c r="A80" s="2" t="inlineStr">
        <is>
          <t xml:space="preserve">      ✅ OK: Duration Log Main (389ms) &lt; Duration Ảnh (593ms)</t>
        </is>
      </c>
    </row>
    <row r="81">
      <c r="A81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82">
      <c r="A82" s="2" t="inlineStr">
        <is>
          <t xml:space="preserve">      ✅ OK: Jobnet ID 'P1J0226@10226' khớp với dữ liệu trong Log.</t>
        </is>
      </c>
    </row>
    <row r="83">
      <c r="A83" t="inlineStr">
        <is>
          <t xml:space="preserve">  - [Kiểm tra File]: Log text báo có tạo ra file 'RFSH0226_output.tsv'.</t>
        </is>
      </c>
    </row>
    <row r="84">
      <c r="A84" s="2" t="inlineStr">
        <is>
          <t xml:space="preserve">      ✅ OK: Tên file trong ảnh File Explorer (RFSH0226_output.tsv) KHỚP với tên file trong Log text.</t>
        </is>
      </c>
    </row>
    <row r="85">
      <c r="A85" t="inlineStr">
        <is>
          <t xml:space="preserve">  - [Ảnh File Explorer]: Tìm thấy file 'RFSH0226_output.tsv' có Date modified là '2026/05/18 16:35'</t>
        </is>
      </c>
    </row>
    <row r="86">
      <c r="A86" s="2" t="inlineStr">
        <is>
          <t xml:space="preserve">      ✅ OK: Thời gian xuất file 'RFSH0226_output.tsv' (2026/05/18 16:35) KHỚP với log (2026/05/18 16:35).</t>
        </is>
      </c>
    </row>
    <row r="87">
      <c r="A87" t="inlineStr">
        <is>
          <t xml:space="preserve">  - [Đối chiếu Testcase trong Log]:</t>
        </is>
      </c>
    </row>
    <row r="88">
      <c r="A88" t="inlineStr">
        <is>
          <t xml:space="preserve">  - [Đối chiếu テスト計画書兼結果報告書(共通)]: Tìm thấy 1 dòng (21)</t>
        </is>
      </c>
    </row>
    <row r="89">
      <c r="A89" s="2" t="inlineStr">
        <is>
          <t xml:space="preserve">      + Số lần test (Cột K): ✅ Tất cả 1 dòng đều khớp (Lần 3)</t>
        </is>
      </c>
    </row>
    <row r="90">
      <c r="A90" s="2" t="inlineStr">
        <is>
          <t xml:space="preserve">      + Ngày test (Cột I/G): ✅ Khớp ngày (2026/05/18) cho tất cả các dòng có dữ liệu</t>
        </is>
      </c>
    </row>
    <row r="91">
      <c r="A91" t="inlineStr"/>
    </row>
    <row r="92">
      <c r="A92" s="1" t="inlineStr">
        <is>
          <t>[Nhóm Test]: ■4回目 異常系・すでにファイルが存在する場合</t>
        </is>
      </c>
    </row>
    <row r="93">
      <c r="A93" t="inlineStr">
        <is>
          <t xml:space="preserve">  - Tổng số dòng log: 55</t>
        </is>
      </c>
    </row>
    <row r="94">
      <c r="A94" s="2" t="inlineStr">
        <is>
          <t xml:space="preserve">  - Trạng thái Sort (行): ✅ Đã sắp xếp tăng dần hợp lệ.</t>
        </is>
      </c>
    </row>
    <row r="95">
      <c r="A95" t="inlineStr">
        <is>
          <t xml:space="preserve">  - Ngày chạy log: 2026/05/18</t>
        </is>
      </c>
    </row>
    <row r="96">
      <c r="A96" t="inlineStr">
        <is>
          <t xml:space="preserve">  - [Ảnh Status Panel]: Tìm thấy Jobnet ID: 'P1J0226@10226'</t>
        </is>
      </c>
    </row>
    <row r="97">
      <c r="A97" t="inlineStr">
        <is>
          <t xml:space="preserve">  - [Ảnh Status Panel]: Tìm thấy Interface ID: 'RFSH0226'</t>
        </is>
      </c>
    </row>
    <row r="98">
      <c r="A98" s="2" t="inlineStr">
        <is>
          <t xml:space="preserve">      ✅ OK: Interface ID 'RFSH0226' có tồn tại trong tên file Excel.</t>
        </is>
      </c>
    </row>
    <row r="99">
      <c r="A99" t="inlineStr">
        <is>
          <t xml:space="preserve">  - [Ảnh Status Panel]: Tìm thấy giờ bắt đầu là 16:37:36</t>
        </is>
      </c>
    </row>
    <row r="100">
      <c r="A100" s="2" t="inlineStr">
        <is>
          <t xml:space="preserve">      ✅ OK: Thời gian log (16:37:36) &gt;= Thời gian ảnh (16:37:36)</t>
        </is>
      </c>
    </row>
    <row r="101">
      <c r="A101" s="2" t="inlineStr">
        <is>
          <t xml:space="preserve">      ✅ OK: Duration Log Main (270ms) &lt; Duration Ảnh (496ms)</t>
        </is>
      </c>
    </row>
    <row r="102">
      <c r="A102" t="inlineStr">
        <is>
          <t xml:space="preserve">  - [Ảnh Log Viewer]: Tìm thấy thời gian kết thúc trong ảnh log là '16:37:36'</t>
        </is>
      </c>
    </row>
    <row r="103">
      <c r="A103" s="2" t="inlineStr">
        <is>
          <t xml:space="preserve">      ✅ OK: Giờ kết thúc trong ảnh Log (16:37:36) KHỚP với log text (16:37:36).</t>
        </is>
      </c>
    </row>
    <row r="104">
      <c r="A104" s="2" t="inlineStr">
        <is>
          <t xml:space="preserve">      ✅ OK: Giờ ảnh Log (16:37:36) &gt;= Giờ bắt đầu (16:37:36).</t>
        </is>
      </c>
    </row>
    <row r="105">
      <c r="A105" s="2" t="inlineStr">
        <is>
          <t xml:space="preserve">      ✅ OK: Jobnet ID 'P1J0226@10226' khớp với dữ liệu trong Log.</t>
        </is>
      </c>
    </row>
    <row r="106">
      <c r="A106" t="inlineStr">
        <is>
          <t xml:space="preserve">  - [Đối chiếu Testcase trong Log]:</t>
        </is>
      </c>
    </row>
    <row r="107">
      <c r="A107" t="inlineStr">
        <is>
          <t xml:space="preserve">  - [Đối chiếu テスト計画書兼結果報告書(共通)]: Tìm thấy 1 dòng (22)</t>
        </is>
      </c>
    </row>
    <row r="108">
      <c r="A108" s="2" t="inlineStr">
        <is>
          <t xml:space="preserve">      + Số lần test (Cột K): ✅ Tất cả 1 dòng đều khớp (Lần 4)</t>
        </is>
      </c>
    </row>
    <row r="109">
      <c r="A109" s="2" t="inlineStr">
        <is>
          <t xml:space="preserve">      + Ngày test (Cột I/G): ✅ Khớp ngày (2026/05/18) cho tất cả các dòng có dữ liệu</t>
        </is>
      </c>
    </row>
    <row r="110">
      <c r="A110" t="inlineStr"/>
    </row>
    <row r="111">
      <c r="A111" s="1" t="inlineStr">
        <is>
          <t>[Nhóm Test]: ■5回目 正常系・0byteファイル</t>
        </is>
      </c>
    </row>
    <row r="112">
      <c r="A112" t="inlineStr">
        <is>
          <t xml:space="preserve">  - Tổng số dòng log: 61</t>
        </is>
      </c>
    </row>
    <row r="113">
      <c r="A113" s="2" t="inlineStr">
        <is>
          <t xml:space="preserve">  - Trạng thái Sort (行): ✅ Đã sắp xếp tăng dần hợp lệ.</t>
        </is>
      </c>
    </row>
    <row r="114">
      <c r="A114" t="inlineStr">
        <is>
          <t xml:space="preserve">  - Ngày chạy log: 2026/05/18</t>
        </is>
      </c>
    </row>
    <row r="115">
      <c r="A115" t="inlineStr">
        <is>
          <t xml:space="preserve">  - [Ảnh Status Panel]: Tìm thấy Jobnet ID: 'P1J0226@10226'</t>
        </is>
      </c>
    </row>
    <row r="116">
      <c r="A116" t="inlineStr">
        <is>
          <t xml:space="preserve">  - [Ảnh Status Panel]: Tìm thấy Interface ID: 'RFSH0226'</t>
        </is>
      </c>
    </row>
    <row r="117">
      <c r="A117" s="2" t="inlineStr">
        <is>
          <t xml:space="preserve">      ✅ OK: Interface ID 'RFSH0226' có tồn tại trong tên file Excel.</t>
        </is>
      </c>
    </row>
    <row r="118">
      <c r="A118" t="inlineStr">
        <is>
          <t xml:space="preserve">  - [Ảnh Status Panel]: Tìm thấy giờ bắt đầu là 16:42:53</t>
        </is>
      </c>
    </row>
    <row r="119">
      <c r="A119" s="2" t="inlineStr">
        <is>
          <t xml:space="preserve">      ✅ OK: Thời gian log (16:42:54) &gt;= Thời gian ảnh (16:42:53)</t>
        </is>
      </c>
    </row>
    <row r="120">
      <c r="A120" s="2" t="inlineStr">
        <is>
          <t xml:space="preserve">      ✅ OK: Duration Log Main (353ms) &lt; Duration Ảnh (572ms)</t>
        </is>
      </c>
    </row>
    <row r="121">
      <c r="A121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22">
      <c r="A122" s="2" t="inlineStr">
        <is>
          <t xml:space="preserve">      ✅ OK: Jobnet ID 'P1J0226@10226' khớp với dữ liệu trong Log.</t>
        </is>
      </c>
    </row>
    <row r="123">
      <c r="A123" t="inlineStr">
        <is>
          <t xml:space="preserve">  - [Kiểm tra File]: Log text báo có tạo ra file 'RFSH0226_output.tsv'.</t>
        </is>
      </c>
    </row>
    <row r="124">
      <c r="A124" s="2" t="inlineStr">
        <is>
          <t xml:space="preserve">      ✅ OK: Tên file trong ảnh File Explorer (RFSH0226_output.tsv) KHỚP với tên file trong Log text.</t>
        </is>
      </c>
    </row>
    <row r="125">
      <c r="A125" t="inlineStr">
        <is>
          <t xml:space="preserve">  - [Ảnh File Explorer]: Tìm thấy file 'RFSH0226_output.tsv' có Date modified là '2026/05/18 16:42'</t>
        </is>
      </c>
    </row>
    <row r="126">
      <c r="A126" s="2" t="inlineStr">
        <is>
          <t xml:space="preserve">      ✅ OK: Thời gian xuất file 'RFSH0226_output.tsv' (2026/05/18 16:42) KHỚP với log (2026/05/18 16:42).</t>
        </is>
      </c>
    </row>
    <row r="127">
      <c r="A127" t="inlineStr">
        <is>
          <t xml:space="preserve">  - [Đối chiếu Testcase trong Log]:</t>
        </is>
      </c>
    </row>
    <row r="128">
      <c r="A128" t="inlineStr">
        <is>
          <t xml:space="preserve">  - [Đối chiếu テスト計画書兼結果報告書(共通)]: Tìm thấy 2 dòng (26, 46)</t>
        </is>
      </c>
    </row>
    <row r="129">
      <c r="A129" s="2" t="inlineStr">
        <is>
          <t xml:space="preserve">      + Số lần test (Cột K): ✅ Tất cả 2 dòng đều khớp (Lần 5)</t>
        </is>
      </c>
    </row>
    <row r="130">
      <c r="A130" s="2" t="inlineStr">
        <is>
          <t xml:space="preserve">      + Ngày test (Cột I/G): ✅ Khớp ngày (2026/05/18) cho tất cả các dòng có dữ liệu</t>
        </is>
      </c>
    </row>
    <row r="131">
      <c r="A131" t="inlineStr"/>
    </row>
    <row r="132">
      <c r="A132" s="1" t="inlineStr">
        <is>
          <t>[Nhóm Test]: ■6回目 正常系・データ行1000行</t>
        </is>
      </c>
    </row>
    <row r="133">
      <c r="A133" t="inlineStr">
        <is>
          <t xml:space="preserve">  - Tổng số dòng log: 65</t>
        </is>
      </c>
    </row>
    <row r="134">
      <c r="A134" s="2" t="inlineStr">
        <is>
          <t xml:space="preserve">  - Trạng thái Sort (行): ✅ Đã sắp xếp tăng dần hợp lệ.</t>
        </is>
      </c>
    </row>
    <row r="135">
      <c r="A135" t="inlineStr">
        <is>
          <t xml:space="preserve">  - Ngày chạy log: 2026/05/18</t>
        </is>
      </c>
    </row>
    <row r="136">
      <c r="A136" t="inlineStr">
        <is>
          <t xml:space="preserve">  - [Ảnh Status Panel]: Tìm thấy Jobnet ID: 'P1J0226@10226'</t>
        </is>
      </c>
    </row>
    <row r="137">
      <c r="A137" t="inlineStr">
        <is>
          <t xml:space="preserve">  - [Ảnh Status Panel]: Tìm thấy Interface ID: 'RFSH0226'</t>
        </is>
      </c>
    </row>
    <row r="138">
      <c r="A138" s="2" t="inlineStr">
        <is>
          <t xml:space="preserve">      ✅ OK: Interface ID 'RFSH0226' có tồn tại trong tên file Excel.</t>
        </is>
      </c>
    </row>
    <row r="139">
      <c r="A139" t="inlineStr">
        <is>
          <t xml:space="preserve">  - [Ảnh Status Panel]: Tìm thấy giờ bắt đầu là 16:45:22</t>
        </is>
      </c>
    </row>
    <row r="140">
      <c r="A140" s="2" t="inlineStr">
        <is>
          <t xml:space="preserve">      ✅ OK: Thời gian log (16:45:22) &gt;= Thời gian ảnh (16:45:22)</t>
        </is>
      </c>
    </row>
    <row r="141">
      <c r="A141" s="2" t="inlineStr">
        <is>
          <t xml:space="preserve">      ✅ OK: Duration Log Main (576ms) &lt; Duration Ảnh (793ms)</t>
        </is>
      </c>
    </row>
    <row r="142">
      <c r="A142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43">
      <c r="A143" s="2" t="inlineStr">
        <is>
          <t xml:space="preserve">      ✅ OK: Jobnet ID 'P1J0226@10226' khớp với dữ liệu trong Log.</t>
        </is>
      </c>
    </row>
    <row r="144">
      <c r="A144" t="inlineStr">
        <is>
          <t xml:space="preserve">  - [Kiểm tra File]: Log text báo có tạo ra file 'RFSH0226_output.tsv'.</t>
        </is>
      </c>
    </row>
    <row r="145">
      <c r="A145" s="2" t="inlineStr">
        <is>
          <t xml:space="preserve">      ✅ OK: Tên file trong ảnh File Explorer (RFSH0226_output.tsv) KHỚP với tên file trong Log text.</t>
        </is>
      </c>
    </row>
    <row r="146">
      <c r="A146" t="inlineStr">
        <is>
          <t xml:space="preserve">  - [Ảnh File Explorer]: Tìm thấy file 'RFSH0226_output.tsv' có Date modified là '2026/05/18 16:45'</t>
        </is>
      </c>
    </row>
    <row r="147">
      <c r="A147" s="2" t="inlineStr">
        <is>
          <t xml:space="preserve">      ✅ OK: Thời gian xuất file 'RFSH0226_output.tsv' (2026/05/18 16:45) KHỚP với log (2026/05/18 16:45).</t>
        </is>
      </c>
    </row>
    <row r="148">
      <c r="A148" t="inlineStr">
        <is>
          <t xml:space="preserve">  - [Đối chiếu Testcase trong Log]:</t>
        </is>
      </c>
    </row>
    <row r="149">
      <c r="A149" t="inlineStr">
        <is>
          <t xml:space="preserve">  - [Đối chiếu テスト計画書兼結果報告書(共通)]: Tìm thấy 1 dòng (29)</t>
        </is>
      </c>
    </row>
    <row r="150">
      <c r="A150" s="2" t="inlineStr">
        <is>
          <t xml:space="preserve">      + Số lần test (Cột K): ✅ Tất cả 1 dòng đều khớp (Lần 6)</t>
        </is>
      </c>
    </row>
    <row r="151">
      <c r="A151" s="2" t="inlineStr">
        <is>
          <t xml:space="preserve">      + Ngày test (Cột I/G): ✅ Khớp ngày (2026/05/18) cho tất cả các dòng có dữ liệu</t>
        </is>
      </c>
    </row>
    <row r="152">
      <c r="A152" t="inlineStr"/>
    </row>
    <row r="153">
      <c r="A153" s="1" t="inlineStr">
        <is>
          <t>[Nhóm Test]: ■7回目 正常系・データ行1000行以上</t>
        </is>
      </c>
    </row>
    <row r="154">
      <c r="A154" t="inlineStr">
        <is>
          <t xml:space="preserve">  - Tổng số dòng log: 77</t>
        </is>
      </c>
    </row>
    <row r="155">
      <c r="A155" s="2" t="inlineStr">
        <is>
          <t xml:space="preserve">  - Trạng thái Sort (行): ✅ Đã sắp xếp tăng dần hợp lệ.</t>
        </is>
      </c>
    </row>
    <row r="156">
      <c r="A156" t="inlineStr">
        <is>
          <t xml:space="preserve">  - Ngày chạy log: 2026/05/18</t>
        </is>
      </c>
    </row>
    <row r="157">
      <c r="A157" t="inlineStr">
        <is>
          <t xml:space="preserve">  - [Ảnh Status Panel]: Tìm thấy Jobnet ID: 'P1J0226@10226'</t>
        </is>
      </c>
    </row>
    <row r="158">
      <c r="A158" t="inlineStr">
        <is>
          <t xml:space="preserve">  - [Ảnh Status Panel]: Tìm thấy Interface ID: 'RFSH0226'</t>
        </is>
      </c>
    </row>
    <row r="159">
      <c r="A159" s="2" t="inlineStr">
        <is>
          <t xml:space="preserve">      ✅ OK: Interface ID 'RFSH0226' có tồn tại trong tên file Excel.</t>
        </is>
      </c>
    </row>
    <row r="160">
      <c r="A160" t="inlineStr">
        <is>
          <t xml:space="preserve">  - [Ảnh Status Panel]: Tìm thấy giờ bắt đầu là 16:57:36</t>
        </is>
      </c>
    </row>
    <row r="161">
      <c r="A161" s="2" t="inlineStr">
        <is>
          <t xml:space="preserve">      ✅ OK: Thời gian log (16:57:37) &gt;= Thời gian ảnh (16:57:36)</t>
        </is>
      </c>
    </row>
    <row r="162">
      <c r="A162" s="2" t="inlineStr">
        <is>
          <t xml:space="preserve">      ✅ OK: Duration Log Main (620ms) &lt; Duration Ảnh (828ms)</t>
        </is>
      </c>
    </row>
    <row r="163">
      <c r="A163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64">
      <c r="A164" s="2" t="inlineStr">
        <is>
          <t xml:space="preserve">      ✅ OK: Jobnet ID 'P1J0226@10226' khớp với dữ liệu trong Log.</t>
        </is>
      </c>
    </row>
    <row r="165">
      <c r="A165" t="inlineStr">
        <is>
          <t xml:space="preserve">  - [Kiểm tra File]: Log text báo có tạo ra file 'RFSH0226_output.tsv'.</t>
        </is>
      </c>
    </row>
    <row r="166">
      <c r="A166" s="2" t="inlineStr">
        <is>
          <t xml:space="preserve">      ✅ OK: Tên file trong ảnh File Explorer (RFSH0226_output.tsv) KHỚP với tên file trong Log text.</t>
        </is>
      </c>
    </row>
    <row r="167">
      <c r="A167" t="inlineStr">
        <is>
          <t xml:space="preserve">  - [Ảnh File Explorer]: Tìm thấy file 'RFSH0226_output.tsv' có Date modified là '2026/05/18 16:57'</t>
        </is>
      </c>
    </row>
    <row r="168">
      <c r="A168" s="2" t="inlineStr">
        <is>
          <t xml:space="preserve">      ✅ OK: Thời gian xuất file 'RFSH0226_output.tsv' (2026/05/18 16:57) KHỚP với log (2026/05/18 16:57).</t>
        </is>
      </c>
    </row>
    <row r="169">
      <c r="A169" t="inlineStr">
        <is>
          <t xml:space="preserve">  - [Đối chiếu Testcase trong Log]:</t>
        </is>
      </c>
    </row>
    <row r="170">
      <c r="A170" t="inlineStr">
        <is>
          <t xml:space="preserve">  - [Đối chiếu テスト計画書兼結果報告書(共通)]: Tìm thấy 2 dòng (30, 35)</t>
        </is>
      </c>
    </row>
    <row r="171">
      <c r="A171" s="2" t="inlineStr">
        <is>
          <t xml:space="preserve">      + Số lần test (Cột K): ✅ Tất cả 2 dòng đều khớp (Lần 7)</t>
        </is>
      </c>
    </row>
    <row r="172">
      <c r="A172" s="2" t="inlineStr">
        <is>
          <t xml:space="preserve">      + Ngày test (Cột I/G): ✅ Khớp ngày (2026/05/18) cho tất cả các dòng có dữ liệu</t>
        </is>
      </c>
    </row>
    <row r="173">
      <c r="A173" t="inlineStr"/>
    </row>
    <row r="174">
      <c r="A174" s="1">
        <f>=============== ĐANG PHÂN TÍCH KẾT QUẢ SHEET: エビデンス(個別) ================</f>
        <v/>
      </c>
    </row>
    <row r="175">
      <c r="A175" t="inlineStr"/>
    </row>
    <row r="176">
      <c r="A176" s="1" t="inlineStr">
        <is>
          <t>[Nhóm Test]: ■1回目 正常系・0byteファイル</t>
        </is>
      </c>
    </row>
    <row r="177">
      <c r="A177" t="inlineStr">
        <is>
          <t xml:space="preserve">  - Tổng số dòng log: 49</t>
        </is>
      </c>
    </row>
    <row r="178">
      <c r="A178" s="2" t="inlineStr">
        <is>
          <t xml:space="preserve">  - Trạng thái Sort (行): ✅ Đã sắp xếp tăng dần hợp lệ.</t>
        </is>
      </c>
    </row>
    <row r="179">
      <c r="A179" t="inlineStr">
        <is>
          <t xml:space="preserve">  - Ngày chạy log: 2026/05/18</t>
        </is>
      </c>
    </row>
    <row r="180">
      <c r="A180" t="inlineStr">
        <is>
          <t xml:space="preserve">  - [Ảnh Status Panel]: Tìm thấy Jobnet ID: 'P1J0226@10226'</t>
        </is>
      </c>
    </row>
    <row r="181">
      <c r="A181" t="inlineStr">
        <is>
          <t xml:space="preserve">  - [Ảnh Status Panel]: Tìm thấy Interface ID: 'RFSH0226'</t>
        </is>
      </c>
    </row>
    <row r="182">
      <c r="A182" s="2" t="inlineStr">
        <is>
          <t xml:space="preserve">      ✅ OK: Interface ID 'RFSH0226' có tồn tại trong tên file Excel.</t>
        </is>
      </c>
    </row>
    <row r="183">
      <c r="A183" t="inlineStr">
        <is>
          <t xml:space="preserve">  - [Ảnh Status Panel]: Tìm thấy giờ bắt đầu là 15:50:11</t>
        </is>
      </c>
    </row>
    <row r="184">
      <c r="A184" s="2" t="inlineStr">
        <is>
          <t xml:space="preserve">      ✅ OK: Thời gian log (15:50:11) &gt;= Thời gian ảnh (15:50:11)</t>
        </is>
      </c>
    </row>
    <row r="185">
      <c r="A185" s="2" t="inlineStr">
        <is>
          <t xml:space="preserve">      ✅ OK: Duration Log Main (324ms) &lt; Duration Ảnh (542ms)</t>
        </is>
      </c>
    </row>
    <row r="186">
      <c r="A186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87">
      <c r="A187" s="2" t="inlineStr">
        <is>
          <t xml:space="preserve">      ✅ OK: Jobnet ID 'P1J0226@10226' khớp với dữ liệu trong Log.</t>
        </is>
      </c>
    </row>
    <row r="188">
      <c r="A188" t="inlineStr">
        <is>
          <t xml:space="preserve">  - [Kiểm tra File]: Log text báo có tạo ra file 'RFSH0226_output.tsv'.</t>
        </is>
      </c>
    </row>
    <row r="189">
      <c r="A189" s="2" t="inlineStr">
        <is>
          <t xml:space="preserve">      ✅ OK: Tên file trong ảnh File Explorer (RFSH0226_output.tsv) KHỚP với tên file trong Log text.</t>
        </is>
      </c>
    </row>
    <row r="190">
      <c r="A190" t="inlineStr">
        <is>
          <t xml:space="preserve">  - [Ảnh File Explorer]: Tìm thấy file 'RFSH0226_output.tsv' có Date modified là '2026/05/18 15:50'</t>
        </is>
      </c>
    </row>
    <row r="191">
      <c r="A191" s="2" t="inlineStr">
        <is>
          <t xml:space="preserve">      ✅ OK: Thời gian xuất file 'RFSH0226_output.tsv' (2026/05/18 15:50) KHỚP với log (2026/05/18 15:50).</t>
        </is>
      </c>
    </row>
    <row r="192">
      <c r="A192" t="inlineStr">
        <is>
          <t xml:space="preserve">  - [Đối chiếu Testcase trong Log]:</t>
        </is>
      </c>
    </row>
    <row r="193">
      <c r="A193" t="inlineStr">
        <is>
          <t xml:space="preserve">  - [Đối chiếu テスト計画書兼結果報告書(個別)]: Tìm thấy 1 dòng (6)</t>
        </is>
      </c>
    </row>
    <row r="194">
      <c r="A194" s="2" t="inlineStr">
        <is>
          <t xml:space="preserve">      + Số lần test (Cột K): ✅ Tất cả 1 dòng đều khớp (Lần 1)</t>
        </is>
      </c>
    </row>
    <row r="195">
      <c r="A195" s="2" t="inlineStr">
        <is>
          <t xml:space="preserve">      + Ngày test (Cột I/G): ✅ Khớp ngày (2026/05/18) cho tất cả các dòng có dữ liệu</t>
        </is>
      </c>
    </row>
    <row r="196">
      <c r="A196" t="inlineStr"/>
    </row>
    <row r="197">
      <c r="A197" s="1" t="inlineStr">
        <is>
          <t>[Nhóm Test]: ■2回目 正常系・全項目空データファイル</t>
        </is>
      </c>
    </row>
    <row r="198">
      <c r="A198" t="inlineStr">
        <is>
          <t xml:space="preserve">  - Tổng số dòng log: 53</t>
        </is>
      </c>
    </row>
    <row r="199">
      <c r="A199" s="2" t="inlineStr">
        <is>
          <t xml:space="preserve">  - Trạng thái Sort (行): ✅ Đã sắp xếp tăng dần hợp lệ.</t>
        </is>
      </c>
    </row>
    <row r="200">
      <c r="A200" t="inlineStr">
        <is>
          <t xml:space="preserve">  - Ngày chạy log: 2026/05/18</t>
        </is>
      </c>
    </row>
    <row r="201">
      <c r="A201" t="inlineStr">
        <is>
          <t xml:space="preserve">  - [Ảnh Status Panel]: Tìm thấy Jobnet ID: 'P1J0226@10226'</t>
        </is>
      </c>
    </row>
    <row r="202">
      <c r="A202" t="inlineStr">
        <is>
          <t xml:space="preserve">  - [Ảnh Status Panel]: Tìm thấy Interface ID: 'RFSH0226'</t>
        </is>
      </c>
    </row>
    <row r="203">
      <c r="A203" s="2" t="inlineStr">
        <is>
          <t xml:space="preserve">      ✅ OK: Interface ID 'RFSH0226' có tồn tại trong tên file Excel.</t>
        </is>
      </c>
    </row>
    <row r="204">
      <c r="A204" t="inlineStr">
        <is>
          <t xml:space="preserve">  - [Ảnh Status Panel]: Tìm thấy giờ bắt đầu là 15:57:05</t>
        </is>
      </c>
    </row>
    <row r="205">
      <c r="A205" s="2" t="inlineStr">
        <is>
          <t xml:space="preserve">      ✅ OK: Thời gian log (15:57:05) &gt;= Thời gian ảnh (15:57:05)</t>
        </is>
      </c>
    </row>
    <row r="206">
      <c r="A206" s="2" t="inlineStr">
        <is>
          <t xml:space="preserve">      ✅ OK: Duration Log Main (156ms) &lt; Duration Ảnh (352ms)</t>
        </is>
      </c>
    </row>
    <row r="207">
      <c r="A207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08">
      <c r="A208" s="2" t="inlineStr">
        <is>
          <t xml:space="preserve">      ✅ OK: Jobnet ID 'P1J0226@10226' khớp với dữ liệu trong Log.</t>
        </is>
      </c>
    </row>
    <row r="209">
      <c r="A209" t="inlineStr">
        <is>
          <t xml:space="preserve">  - [Kiểm tra File]: Log text báo có tạo ra file 'RFSH0226_output.tsv'.</t>
        </is>
      </c>
    </row>
    <row r="210">
      <c r="A210" s="2" t="inlineStr">
        <is>
          <t xml:space="preserve">      ✅ OK: Tên file trong ảnh File Explorer (RFSH0226_output.tsv) KHỚP với tên file trong Log text.</t>
        </is>
      </c>
    </row>
    <row r="211">
      <c r="A211" t="inlineStr">
        <is>
          <t xml:space="preserve">  - [Ảnh File Explorer]: Tìm thấy file 'RFSH0226_output.tsv' có Date modified là '2026/05/18 15:57'</t>
        </is>
      </c>
    </row>
    <row r="212">
      <c r="A212" s="2" t="inlineStr">
        <is>
          <t xml:space="preserve">      ✅ OK: Thời gian xuất file 'RFSH0226_output.tsv' (2026/05/18 15:57) KHỚP với log (2026/05/18 15:57).</t>
        </is>
      </c>
    </row>
    <row r="213">
      <c r="A213" t="inlineStr">
        <is>
          <t xml:space="preserve">  - [Đối chiếu Testcase trong Log]:</t>
        </is>
      </c>
    </row>
    <row r="214">
      <c r="A214" t="inlineStr">
        <is>
          <t xml:space="preserve">  - [Đối chiếu テスト計画書兼結果報告書(個別)]: Tìm thấy 1 dòng (8)</t>
        </is>
      </c>
    </row>
    <row r="215">
      <c r="A215" s="2" t="inlineStr">
        <is>
          <t xml:space="preserve">      + Số lần test (Cột K): ✅ Tất cả 1 dòng đều khớp (Lần 2)</t>
        </is>
      </c>
    </row>
    <row r="216">
      <c r="A216" s="2" t="inlineStr">
        <is>
          <t xml:space="preserve">      + Ngày test (Cột I/G): ✅ Khớp ngày (2026/05/18) cho tất cả các dòng có dữ liệu</t>
        </is>
      </c>
    </row>
    <row r="217">
      <c r="A217" t="inlineStr"/>
    </row>
    <row r="218">
      <c r="A218" s="1" t="inlineStr">
        <is>
          <t>[Nhóm Test]: ■3回目 正常系・ファイル定義確認</t>
        </is>
      </c>
    </row>
    <row r="219">
      <c r="A219" t="inlineStr">
        <is>
          <t xml:space="preserve">  - Tổng số dòng log: 53</t>
        </is>
      </c>
    </row>
    <row r="220">
      <c r="A220" s="2" t="inlineStr">
        <is>
          <t xml:space="preserve">  - Trạng thái Sort (行): ✅ Đã sắp xếp tăng dần hợp lệ.</t>
        </is>
      </c>
    </row>
    <row r="221">
      <c r="A221" t="inlineStr">
        <is>
          <t xml:space="preserve">  - Ngày chạy log: 2026/05/18</t>
        </is>
      </c>
    </row>
    <row r="222">
      <c r="A222" t="inlineStr">
        <is>
          <t xml:space="preserve">  - [Ảnh Status Panel]: Tìm thấy Jobnet ID: 'P1J0226@10226'</t>
        </is>
      </c>
    </row>
    <row r="223">
      <c r="A223" t="inlineStr">
        <is>
          <t xml:space="preserve">  - [Ảnh Status Panel]: Tìm thấy Interface ID: 'RFSH0226'</t>
        </is>
      </c>
    </row>
    <row r="224">
      <c r="A224" s="2" t="inlineStr">
        <is>
          <t xml:space="preserve">      ✅ OK: Interface ID 'RFSH0226' có tồn tại trong tên file Excel.</t>
        </is>
      </c>
    </row>
    <row r="225">
      <c r="A225" t="inlineStr">
        <is>
          <t xml:space="preserve">  - [Ảnh Status Panel]: Tìm thấy giờ bắt đầu là 15:59:31</t>
        </is>
      </c>
    </row>
    <row r="226">
      <c r="A226" s="2" t="inlineStr">
        <is>
          <t xml:space="preserve">      ✅ OK: Thời gian log (15:59:31) &gt;= Thời gian ảnh (15:59:31)</t>
        </is>
      </c>
    </row>
    <row r="227">
      <c r="A227" s="2" t="inlineStr">
        <is>
          <t xml:space="preserve">      ✅ OK: Duration Log Main (245ms) &lt; Duration Ảnh (351ms)</t>
        </is>
      </c>
    </row>
    <row r="228">
      <c r="A228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29">
      <c r="A229" s="2" t="inlineStr">
        <is>
          <t xml:space="preserve">      ✅ OK: Jobnet ID 'P1J0226@10226' khớp với dữ liệu trong Log.</t>
        </is>
      </c>
    </row>
    <row r="230">
      <c r="A230" t="inlineStr">
        <is>
          <t xml:space="preserve">  - [Kiểm tra File]: Log text báo có tạo ra file 'RFSH0226_output.tsv'.</t>
        </is>
      </c>
    </row>
    <row r="231">
      <c r="A231" s="2" t="inlineStr">
        <is>
          <t xml:space="preserve">      ✅ OK: Tên file trong ảnh File Explorer (RFSH0226_output.tsv) KHỚP với tên file trong Log text.</t>
        </is>
      </c>
    </row>
    <row r="232">
      <c r="A232" t="inlineStr">
        <is>
          <t xml:space="preserve">  - [Ảnh File Explorer]: Tìm thấy file 'RFSH0226_output.tsv' có Date modified là '2026/05/18 15:59'</t>
        </is>
      </c>
    </row>
    <row r="233">
      <c r="A233" s="2" t="inlineStr">
        <is>
          <t xml:space="preserve">      ✅ OK: Thời gian xuất file 'RFSH0226_output.tsv' (2026/05/18 15:59) KHỚP với log (2026/05/18 15:59).</t>
        </is>
      </c>
    </row>
    <row r="234">
      <c r="A234" t="inlineStr">
        <is>
          <t xml:space="preserve">  - [Đối chiếu Testcase trong Log]:</t>
        </is>
      </c>
    </row>
    <row r="235">
      <c r="A235" t="inlineStr">
        <is>
          <t xml:space="preserve">  - [Đối chiếu テスト計画書兼結果報告書(個別)]: Tìm thấy 12 dòng (18, 19, 20, 21, 22, 23, 25, 26, 27, 28, 29, 30)</t>
        </is>
      </c>
    </row>
    <row r="236">
      <c r="A236" s="2" t="inlineStr">
        <is>
          <t xml:space="preserve">      + Số lần test (Cột K): ✅ Tất cả 12 dòng đều khớp (Lần 3)</t>
        </is>
      </c>
    </row>
    <row r="237">
      <c r="A237" s="2" t="inlineStr">
        <is>
          <t xml:space="preserve">      + Ngày test (Cột I/G): ✅ Khớp ngày (2026/05/18) cho tất cả các dòng có dữ liệu</t>
        </is>
      </c>
    </row>
    <row r="238">
      <c r="A238" t="inlineStr"/>
    </row>
    <row r="239">
      <c r="A239" s="1" t="inlineStr">
        <is>
          <t>[Nhóm Test]: ■4回目正常系・列分割→行変換確認（明細0件）</t>
        </is>
      </c>
    </row>
    <row r="240">
      <c r="A240" t="inlineStr">
        <is>
          <t xml:space="preserve">  - Tổng số dòng log: 53</t>
        </is>
      </c>
    </row>
    <row r="241">
      <c r="A241" s="2" t="inlineStr">
        <is>
          <t xml:space="preserve">  - Trạng thái Sort (行): ✅ Đã sắp xếp tăng dần hợp lệ.</t>
        </is>
      </c>
    </row>
    <row r="242">
      <c r="A242" t="inlineStr">
        <is>
          <t xml:space="preserve">  - Ngày chạy log: 2026/05/18</t>
        </is>
      </c>
    </row>
    <row r="243">
      <c r="A243" t="inlineStr">
        <is>
          <t xml:space="preserve">  - [Ảnh Status Panel]: Tìm thấy Jobnet ID: 'P1J0226@10226'</t>
        </is>
      </c>
    </row>
    <row r="244">
      <c r="A244" t="inlineStr">
        <is>
          <t xml:space="preserve">  - [Ảnh Status Panel]: Tìm thấy Interface ID: 'RFSH0226'</t>
        </is>
      </c>
    </row>
    <row r="245">
      <c r="A245" s="2" t="inlineStr">
        <is>
          <t xml:space="preserve">      ✅ OK: Interface ID 'RFSH0226' có tồn tại trong tên file Excel.</t>
        </is>
      </c>
    </row>
    <row r="246">
      <c r="A246" t="inlineStr">
        <is>
          <t xml:space="preserve">  - [Ảnh Status Panel]: Tìm thấy giờ bắt đầu là 16:02:28</t>
        </is>
      </c>
    </row>
    <row r="247">
      <c r="A247" s="2" t="inlineStr">
        <is>
          <t xml:space="preserve">      ✅ OK: Thời gian log (16:02:28) &gt;= Thời gian ảnh (16:02:28)</t>
        </is>
      </c>
    </row>
    <row r="248">
      <c r="A248" s="2" t="inlineStr">
        <is>
          <t xml:space="preserve">      ✅ OK: Duration Log Main (498ms) &lt; Duration Ảnh (708ms)</t>
        </is>
      </c>
    </row>
    <row r="249">
      <c r="A249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50">
      <c r="A250" s="2" t="inlineStr">
        <is>
          <t xml:space="preserve">      ✅ OK: Jobnet ID 'P1J0226@10226' khớp với dữ liệu trong Log.</t>
        </is>
      </c>
    </row>
    <row r="251">
      <c r="A251" t="inlineStr">
        <is>
          <t xml:space="preserve">  - [Kiểm tra File]: Log text báo có tạo ra file 'RFSH0226_output.tsv'.</t>
        </is>
      </c>
    </row>
    <row r="252">
      <c r="A252" s="2" t="inlineStr">
        <is>
          <t xml:space="preserve">      ✅ OK: Tên file trong ảnh File Explorer (RFSH0226_output.tsv) KHỚP với tên file trong Log text.</t>
        </is>
      </c>
    </row>
    <row r="253">
      <c r="A253" t="inlineStr">
        <is>
          <t xml:space="preserve">  - [Ảnh File Explorer]: Tìm thấy file 'RFSH0226_output.tsv' có Date modified là '2026/05/18 16:02'</t>
        </is>
      </c>
    </row>
    <row r="254">
      <c r="A254" s="2" t="inlineStr">
        <is>
          <t xml:space="preserve">      ✅ OK: Thời gian xuất file 'RFSH0226_output.tsv' (2026/05/18 16:02) KHỚP với log (2026/05/18 16:02).</t>
        </is>
      </c>
    </row>
    <row r="255">
      <c r="A255" t="inlineStr">
        <is>
          <t xml:space="preserve">  - [Đối chiếu Testcase trong Log]:</t>
        </is>
      </c>
    </row>
    <row r="256">
      <c r="A256" t="inlineStr">
        <is>
          <t xml:space="preserve">  - [Đối chiếu テスト計画書兼結果報告書(個別)]: Tìm thấy 1 dòng (11)</t>
        </is>
      </c>
    </row>
    <row r="257">
      <c r="A257" s="2" t="inlineStr">
        <is>
          <t xml:space="preserve">      + Số lần test (Cột K): ✅ Tất cả 1 dòng đều khớp (Lần 4)</t>
        </is>
      </c>
    </row>
    <row r="258">
      <c r="A258" s="2" t="inlineStr">
        <is>
          <t xml:space="preserve">      + Ngày test (Cột I/G): ✅ Khớp ngày (2026/05/18) cho tất cả các dòng có dữ liệu</t>
        </is>
      </c>
    </row>
    <row r="259">
      <c r="A259" t="inlineStr"/>
    </row>
    <row r="260">
      <c r="A260" s="1" t="inlineStr">
        <is>
          <t>[Nhóm Test]: ■5回目正常系・列分割→行変換確認（明細1件）</t>
        </is>
      </c>
    </row>
    <row r="261">
      <c r="A261" t="inlineStr">
        <is>
          <t xml:space="preserve">  - Tổng số dòng log: 53</t>
        </is>
      </c>
    </row>
    <row r="262">
      <c r="A262" s="2" t="inlineStr">
        <is>
          <t xml:space="preserve">  - Trạng thái Sort (行): ✅ Đã sắp xếp tăng dần hợp lệ.</t>
        </is>
      </c>
    </row>
    <row r="263">
      <c r="A263" t="inlineStr">
        <is>
          <t xml:space="preserve">  - Ngày chạy log: 2026/05/18</t>
        </is>
      </c>
    </row>
    <row r="264">
      <c r="A264" t="inlineStr">
        <is>
          <t xml:space="preserve">  - [Ảnh Status Panel]: Tìm thấy Jobnet ID: 'P1J0226@10226'</t>
        </is>
      </c>
    </row>
    <row r="265">
      <c r="A265" t="inlineStr">
        <is>
          <t xml:space="preserve">  - [Ảnh Status Panel]: Tìm thấy Interface ID: 'RFSH0226'</t>
        </is>
      </c>
    </row>
    <row r="266">
      <c r="A266" s="2" t="inlineStr">
        <is>
          <t xml:space="preserve">      ✅ OK: Interface ID 'RFSH0226' có tồn tại trong tên file Excel.</t>
        </is>
      </c>
    </row>
    <row r="267">
      <c r="A267" t="inlineStr">
        <is>
          <t xml:space="preserve">  - [Ảnh Status Panel]: Tìm thấy giờ bắt đầu là 16:04:32</t>
        </is>
      </c>
    </row>
    <row r="268">
      <c r="A268" s="2" t="inlineStr">
        <is>
          <t xml:space="preserve">      ✅ OK: Thời gian log (16:04:33) &gt;= Thời gian ảnh (16:04:32)</t>
        </is>
      </c>
    </row>
    <row r="269">
      <c r="A269" s="2" t="inlineStr">
        <is>
          <t xml:space="preserve">      ✅ OK: Duration Log Main (0ms) &lt; Duration Ảnh (876ms)</t>
        </is>
      </c>
    </row>
    <row r="270">
      <c r="A270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71">
      <c r="A271" s="2" t="inlineStr">
        <is>
          <t xml:space="preserve">      ✅ OK: Jobnet ID 'P1J0226@10226' khớp với dữ liệu trong Log.</t>
        </is>
      </c>
    </row>
    <row r="272">
      <c r="A272" t="inlineStr">
        <is>
          <t xml:space="preserve">  - [Kiểm tra File]: Log text báo có tạo ra file 'RFSH0226_output.tsv'.</t>
        </is>
      </c>
    </row>
    <row r="273">
      <c r="A273" s="2" t="inlineStr">
        <is>
          <t xml:space="preserve">      ✅ OK: Tên file trong ảnh File Explorer (RFSH0226_output.tsv) KHỚP với tên file trong Log text.</t>
        </is>
      </c>
    </row>
    <row r="274">
      <c r="A274" t="inlineStr">
        <is>
          <t xml:space="preserve">  - [Ảnh File Explorer]: Tìm thấy file 'RFSH0226_output.tsv' có Date modified là '2026/05/18 16:04'</t>
        </is>
      </c>
    </row>
    <row r="275">
      <c r="A275" s="2" t="inlineStr">
        <is>
          <t xml:space="preserve">      ✅ OK: Thời gian xuất file 'RFSH0226_output.tsv' (2026/05/18 16:04) KHỚP với log (2026/05/18 16:04).</t>
        </is>
      </c>
    </row>
    <row r="276">
      <c r="A276" t="inlineStr">
        <is>
          <t xml:space="preserve">  - [Đối chiếu Testcase trong Log]:</t>
        </is>
      </c>
    </row>
    <row r="277">
      <c r="A277" t="inlineStr">
        <is>
          <t xml:space="preserve">  - [Đối chiếu テスト計画書兼結果報告書(個別)]: Tìm thấy 1 dòng (12)</t>
        </is>
      </c>
    </row>
    <row r="278">
      <c r="A278" s="2" t="inlineStr">
        <is>
          <t xml:space="preserve">      + Số lần test (Cột K): ✅ Tất cả 1 dòng đều khớp (Lần 5)</t>
        </is>
      </c>
    </row>
    <row r="279">
      <c r="A279" s="2" t="inlineStr">
        <is>
          <t xml:space="preserve">      + Ngày test (Cột I/G): ✅ Khớp ngày (2026/05/18) cho tất cả các dòng có dữ liệu</t>
        </is>
      </c>
    </row>
    <row r="280">
      <c r="A280" t="inlineStr"/>
    </row>
    <row r="281">
      <c r="A281" s="1" t="inlineStr">
        <is>
          <t>[Nhóm Test]: ■6回目正常系・列分割→行変換確認（明細4件）</t>
        </is>
      </c>
    </row>
    <row r="282">
      <c r="A282" t="inlineStr">
        <is>
          <t xml:space="preserve">  - Tổng số dòng log: 53</t>
        </is>
      </c>
    </row>
    <row r="283">
      <c r="A283" s="2" t="inlineStr">
        <is>
          <t xml:space="preserve">  - Trạng thái Sort (行): ✅ Đã sắp xếp tăng dần hợp lệ.</t>
        </is>
      </c>
    </row>
    <row r="284">
      <c r="A284" t="inlineStr">
        <is>
          <t xml:space="preserve">  - Ngày chạy log: 2026/05/18</t>
        </is>
      </c>
    </row>
    <row r="285">
      <c r="A285" t="inlineStr">
        <is>
          <t xml:space="preserve">  - [Ảnh Status Panel]: Tìm thấy Jobnet ID: 'P1J0226@10226'</t>
        </is>
      </c>
    </row>
    <row r="286">
      <c r="A286" t="inlineStr">
        <is>
          <t xml:space="preserve">  - [Ảnh Status Panel]: Tìm thấy Interface ID: 'RFSH0226'</t>
        </is>
      </c>
    </row>
    <row r="287">
      <c r="A287" s="2" t="inlineStr">
        <is>
          <t xml:space="preserve">      ✅ OK: Interface ID 'RFSH0226' có tồn tại trong tên file Excel.</t>
        </is>
      </c>
    </row>
    <row r="288">
      <c r="A288" t="inlineStr">
        <is>
          <t xml:space="preserve">  - [Ảnh Status Panel]: Tìm thấy giờ bắt đầu là 16:07:07</t>
        </is>
      </c>
    </row>
    <row r="289">
      <c r="A289" s="2" t="inlineStr">
        <is>
          <t xml:space="preserve">      ✅ OK: Thời gian log (16:07:07) &gt;= Thời gian ảnh (16:07:07)</t>
        </is>
      </c>
    </row>
    <row r="290">
      <c r="A290" s="2" t="inlineStr">
        <is>
          <t xml:space="preserve">      ✅ OK: Duration Log Main (468ms) &lt; Duration Ảnh (665ms)</t>
        </is>
      </c>
    </row>
    <row r="291">
      <c r="A291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92">
      <c r="A292" s="2" t="inlineStr">
        <is>
          <t xml:space="preserve">      ✅ OK: Jobnet ID 'P1J0226@10226' khớp với dữ liệu trong Log.</t>
        </is>
      </c>
    </row>
    <row r="293">
      <c r="A293" t="inlineStr">
        <is>
          <t xml:space="preserve">  - [Kiểm tra File]: Log text báo có tạo ra file 'RFSH0226_output.tsv'.</t>
        </is>
      </c>
    </row>
    <row r="294">
      <c r="A294" s="2" t="inlineStr">
        <is>
          <t xml:space="preserve">      ✅ OK: Tên file trong ảnh File Explorer (RFSH0226_output.tsv) KHỚP với tên file trong Log text.</t>
        </is>
      </c>
    </row>
    <row r="295">
      <c r="A295" t="inlineStr">
        <is>
          <t xml:space="preserve">  - [Ảnh File Explorer]: Tìm thấy file 'RFSH0226_output.tsv' có Date modified là '2026/05/18 16:07'</t>
        </is>
      </c>
    </row>
    <row r="296">
      <c r="A296" s="2" t="inlineStr">
        <is>
          <t xml:space="preserve">      ✅ OK: Thời gian xuất file 'RFSH0226_output.tsv' (2026/05/18 16:07) KHỚP với log (2026/05/18 16:07).</t>
        </is>
      </c>
    </row>
    <row r="297">
      <c r="A297" t="inlineStr">
        <is>
          <t xml:space="preserve">  - [Đối chiếu Testcase trong Log]:</t>
        </is>
      </c>
    </row>
    <row r="298">
      <c r="A298" t="inlineStr">
        <is>
          <t xml:space="preserve">  - [Đối chiếu テスト計画書兼結果報告書(個別)]: Tìm thấy 1 dòng (14)</t>
        </is>
      </c>
    </row>
    <row r="299">
      <c r="A299" s="2" t="inlineStr">
        <is>
          <t xml:space="preserve">      + Số lần test (Cột K): ✅ Tất cả 1 dòng đều khớp (Lần 6)</t>
        </is>
      </c>
    </row>
    <row r="300">
      <c r="A300" s="2" t="inlineStr">
        <is>
          <t xml:space="preserve">      + Ngày test (Cột I/G): ✅ Khớp ngày (2026/05/18) cho tất cả các dòng có dữ liệu</t>
        </is>
      </c>
    </row>
    <row r="301">
      <c r="A301" t="inlineStr"/>
    </row>
    <row r="302">
      <c r="A302" s="1" t="inlineStr">
        <is>
          <t>[Nhóm Test]: ■7回目正常系・列分割→行変換確認（明細8件）</t>
        </is>
      </c>
    </row>
    <row r="303">
      <c r="A303" t="inlineStr">
        <is>
          <t xml:space="preserve">  - Tổng số dòng log: 53</t>
        </is>
      </c>
    </row>
    <row r="304">
      <c r="A304" s="2" t="inlineStr">
        <is>
          <t xml:space="preserve">  - Trạng thái Sort (行): ✅ Đã sắp xếp tăng dần hợp lệ.</t>
        </is>
      </c>
    </row>
    <row r="305">
      <c r="A305" t="inlineStr">
        <is>
          <t xml:space="preserve">  - Ngày chạy log: 2026/05/18</t>
        </is>
      </c>
    </row>
    <row r="306">
      <c r="A306" t="inlineStr">
        <is>
          <t xml:space="preserve">  - [Ảnh Status Panel]: Tìm thấy Jobnet ID: 'P1J0226@10226'</t>
        </is>
      </c>
    </row>
    <row r="307">
      <c r="A307" t="inlineStr">
        <is>
          <t xml:space="preserve">  - [Ảnh Status Panel]: Tìm thấy Interface ID: 'RFSH0226'</t>
        </is>
      </c>
    </row>
    <row r="308">
      <c r="A308" s="2" t="inlineStr">
        <is>
          <t xml:space="preserve">      ✅ OK: Interface ID 'RFSH0226' có tồn tại trong tên file Excel.</t>
        </is>
      </c>
    </row>
    <row r="309">
      <c r="A309" t="inlineStr">
        <is>
          <t xml:space="preserve">  - [Ảnh Status Panel]: Tìm thấy giờ bắt đầu là 16:09:30</t>
        </is>
      </c>
    </row>
    <row r="310">
      <c r="A310" s="2" t="inlineStr">
        <is>
          <t xml:space="preserve">      ✅ OK: Thời gian log (16:09:30) &gt;= Thời gian ảnh (16:09:30)</t>
        </is>
      </c>
    </row>
    <row r="311">
      <c r="A311" s="2" t="inlineStr">
        <is>
          <t xml:space="preserve">      ✅ OK: Duration Log Main (453ms) &lt; Duration Ảnh (635ms)</t>
        </is>
      </c>
    </row>
    <row r="312">
      <c r="A312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313">
      <c r="A313" s="2" t="inlineStr">
        <is>
          <t xml:space="preserve">      ✅ OK: Jobnet ID 'P1J0226@10226' khớp với dữ liệu trong Log.</t>
        </is>
      </c>
    </row>
    <row r="314">
      <c r="A314" t="inlineStr">
        <is>
          <t xml:space="preserve">  - [Kiểm tra File]: Log text báo có tạo ra file 'RFSH0226_output.tsv'.</t>
        </is>
      </c>
    </row>
    <row r="315">
      <c r="A315" s="2" t="inlineStr">
        <is>
          <t xml:space="preserve">      ✅ OK: Tên file trong ảnh File Explorer (RFSH0226_output.tsv) KHỚP với tên file trong Log text.</t>
        </is>
      </c>
    </row>
    <row r="316">
      <c r="A316" t="inlineStr">
        <is>
          <t xml:space="preserve">  - [Ảnh File Explorer]: Tìm thấy file 'RFSH0226_output.tsv' có Date modified là '2026/05/18 16:09'</t>
        </is>
      </c>
    </row>
    <row r="317">
      <c r="A317" s="2" t="inlineStr">
        <is>
          <t xml:space="preserve">      ✅ OK: Thời gian xuất file 'RFSH0226_output.tsv' (2026/05/18 16:09) KHỚP với log (2026/05/18 16:09).</t>
        </is>
      </c>
    </row>
    <row r="318">
      <c r="A318" t="inlineStr">
        <is>
          <t xml:space="preserve">  - [Đối chiếu Testcase trong Log]:</t>
        </is>
      </c>
    </row>
    <row r="319">
      <c r="A319" t="inlineStr">
        <is>
          <t xml:space="preserve">  - [Đối chiếu テスト計画書兼結果報告書(個別)]: Tìm thấy 1 dòng (13)</t>
        </is>
      </c>
    </row>
    <row r="320">
      <c r="A320" s="2" t="inlineStr">
        <is>
          <t xml:space="preserve">      + Số lần test (Cột K): ✅ Tất cả 1 dòng đều khớp (Lần 7)</t>
        </is>
      </c>
    </row>
    <row r="321">
      <c r="A321" s="2" t="inlineStr">
        <is>
          <t xml:space="preserve">      + Ngày test (Cột I/G): ✅ Khớp ngày (2026/05/18) cho tất cả các dòng có dữ liệu</t>
        </is>
      </c>
    </row>
    <row r="322">
      <c r="A322" t="inlineStr"/>
    </row>
    <row r="323">
      <c r="A323" s="1" t="inlineStr">
        <is>
          <t>[Nhóm Test]: ■8回目正常系・列分割→行変換確認（レコードが複数件あり）</t>
        </is>
      </c>
    </row>
    <row r="324">
      <c r="A324" t="inlineStr">
        <is>
          <t xml:space="preserve">  - Tổng số dòng log: 53</t>
        </is>
      </c>
    </row>
    <row r="325">
      <c r="A325" s="2" t="inlineStr">
        <is>
          <t xml:space="preserve">  - Trạng thái Sort (行): ✅ Đã sắp xếp tăng dần hợp lệ.</t>
        </is>
      </c>
    </row>
    <row r="326">
      <c r="A326" t="inlineStr">
        <is>
          <t xml:space="preserve">  - Ngày chạy log: 2026/05/18</t>
        </is>
      </c>
    </row>
    <row r="327">
      <c r="A327" t="inlineStr">
        <is>
          <t xml:space="preserve">  - [Ảnh Status Panel]: Tìm thấy Jobnet ID: 'P1J0226@10226'</t>
        </is>
      </c>
    </row>
    <row r="328">
      <c r="A328" t="inlineStr">
        <is>
          <t xml:space="preserve">  - [Ảnh Status Panel]: Tìm thấy Interface ID: 'RFSH0226'</t>
        </is>
      </c>
    </row>
    <row r="329">
      <c r="A329" s="2" t="inlineStr">
        <is>
          <t xml:space="preserve">      ✅ OK: Interface ID 'RFSH0226' có tồn tại trong tên file Excel.</t>
        </is>
      </c>
    </row>
    <row r="330">
      <c r="A330" t="inlineStr">
        <is>
          <t xml:space="preserve">  - [Ảnh Status Panel]: Tìm thấy giờ bắt đầu là 16:12:49</t>
        </is>
      </c>
    </row>
    <row r="331">
      <c r="A331" s="2" t="inlineStr">
        <is>
          <t xml:space="preserve">      ✅ OK: Thời gian log (16:12:49) &gt;= Thời gian ảnh (16:12:49)</t>
        </is>
      </c>
    </row>
    <row r="332">
      <c r="A332" s="2" t="inlineStr">
        <is>
          <t xml:space="preserve">      ✅ OK: Duration Log Main (460ms) &lt; Duration Ảnh (644ms)</t>
        </is>
      </c>
    </row>
    <row r="333">
      <c r="A333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334">
      <c r="A334" s="2" t="inlineStr">
        <is>
          <t xml:space="preserve">      ✅ OK: Jobnet ID 'P1J0226@10226' khớp với dữ liệu trong Log.</t>
        </is>
      </c>
    </row>
    <row r="335">
      <c r="A335" t="inlineStr">
        <is>
          <t xml:space="preserve">  - [Kiểm tra File]: Log text báo có tạo ra file 'RFSH0226_output.tsv'.</t>
        </is>
      </c>
    </row>
    <row r="336">
      <c r="A336" s="2" t="inlineStr">
        <is>
          <t xml:space="preserve">      ✅ OK: Tên file trong ảnh File Explorer (RFSH0226_output.tsv) KHỚP với tên file trong Log text.</t>
        </is>
      </c>
    </row>
    <row r="337">
      <c r="A337" t="inlineStr">
        <is>
          <t xml:space="preserve">  - [Ảnh File Explorer]: Tìm thấy file 'RFSH0226_output.tsv' có Date modified là '2026/05/18 16:12'</t>
        </is>
      </c>
    </row>
    <row r="338">
      <c r="A338" s="2" t="inlineStr">
        <is>
          <t xml:space="preserve">      ✅ OK: Thời gian xuất file 'RFSH0226_output.tsv' (2026/05/18 16:12) KHỚP với log (2026/05/18 16:12).</t>
        </is>
      </c>
    </row>
    <row r="339">
      <c r="A339" t="inlineStr">
        <is>
          <t xml:space="preserve">  - [Đối chiếu Testcase trong Log]:</t>
        </is>
      </c>
    </row>
    <row r="340">
      <c r="A340" t="inlineStr">
        <is>
          <t xml:space="preserve">  - [Đối chiếu テスト計画書兼結果報告書(個別)]: Tìm thấy 1 dòng (15)</t>
        </is>
      </c>
    </row>
    <row r="341">
      <c r="A341" s="2" t="inlineStr">
        <is>
          <t xml:space="preserve">      + Số lần test (Cột K): ✅ Tất cả 1 dòng đều khớp (Lần 8)</t>
        </is>
      </c>
    </row>
    <row r="342">
      <c r="A342" s="2" t="inlineStr">
        <is>
          <t xml:space="preserve">      + Ngày test (Cột I/G): ✅ Khớp ngày (2026/05/18) cho tất cả các dòng có dữ liệu</t>
        </is>
      </c>
    </row>
    <row r="343">
      <c r="A343" t="inlineStr"/>
    </row>
    <row r="344">
      <c r="A344" s="1">
        <f>=============== TỔNG KẾT COVERAGE CHO SHEET エビデンス(共通) ================</f>
        <v/>
      </c>
    </row>
    <row r="345">
      <c r="A345" s="2" t="inlineStr">
        <is>
          <t xml:space="preserve">  - ✅ Nhóm 1 (gồm TC: 1-1-1, 1-2-1, 2-1-1, 2-2-1, 3-1-1, 3-2-1, 4-1-1, 4-2-1, 5-1-1, 5-3-1, 5-4-1, 6-1-1, 7-1-1): Đã có Log Evidence.</t>
        </is>
      </c>
    </row>
    <row r="346">
      <c r="A346" s="2" t="inlineStr">
        <is>
          <t xml:space="preserve">  - ✅ Nhóm 2 (gồm TC: 1-2-2, 2-2-2): Đã có Log Evidence.</t>
        </is>
      </c>
    </row>
    <row r="347">
      <c r="A347" s="2" t="inlineStr">
        <is>
          <t xml:space="preserve">  - ✅ Nhóm 3 (gồm TC: 3-2-2): Đã có Log Evidence.</t>
        </is>
      </c>
    </row>
    <row r="348">
      <c r="A348" s="2" t="inlineStr">
        <is>
          <t xml:space="preserve">  - ✅ Nhóm 4 (gồm TC: 3-2-3): Đã có Log Evidence.</t>
        </is>
      </c>
    </row>
    <row r="349">
      <c r="A349" s="2" t="inlineStr">
        <is>
          <t xml:space="preserve">  - ✅ Nhóm 5 (gồm TC: 4-1-2, 7-1-2): Đã có Log Evidence.</t>
        </is>
      </c>
    </row>
    <row r="350">
      <c r="A350" s="2" t="inlineStr">
        <is>
          <t xml:space="preserve">  - ✅ Nhóm 6 (gồm TC: 4-2-2): Đã có Log Evidence.</t>
        </is>
      </c>
    </row>
    <row r="351">
      <c r="A351" s="2" t="inlineStr">
        <is>
          <t xml:space="preserve">  - ✅ Nhóm 7 (gồm TC: 4-2-3, 5-2-1): Đã có Log Evidence.</t>
        </is>
      </c>
    </row>
    <row r="352">
      <c r="A352" t="inlineStr">
        <is>
          <t xml:space="preserve">  =&gt; TOÀN BỘ CÁC NHÓM TEST TRONG KẾ HOẠCH ĐỀU ĐÃ CÓ EVIDENCE!</t>
        </is>
      </c>
    </row>
    <row r="353">
      <c r="A353" t="inlineStr"/>
    </row>
    <row r="354">
      <c r="A354" t="inlineStr"/>
    </row>
    <row r="355">
      <c r="A355" s="1">
        <f>=============== TỔNG KẾT COVERAGE CHO SHEET エビデンス(個別) ================</f>
        <v/>
      </c>
    </row>
    <row r="356">
      <c r="A356" s="2" t="inlineStr">
        <is>
          <t xml:space="preserve">  - ✅ Nhóm 1 (gồm TC: 1-1-1): Đã có Log Evidence.</t>
        </is>
      </c>
    </row>
    <row r="357">
      <c r="A357" s="2" t="inlineStr">
        <is>
          <t xml:space="preserve">  - ✅ Nhóm 2 (gồm TC: 1-2-1): Đã có Log Evidence.</t>
        </is>
      </c>
    </row>
    <row r="358">
      <c r="A358" s="2" t="inlineStr">
        <is>
          <t xml:space="preserve">  - ✅ Nhóm 3 (gồm TC: 3-1-1, 3-1-2, 3-1-3, 3-1-4, 3-1-5, 3-1-6, 3-2-1, 3-2-2, 3-2-3, 3-2-4, 3-2-5, 3-2-6): Đã có Log Evidence.</t>
        </is>
      </c>
    </row>
    <row r="359">
      <c r="A359" s="2" t="inlineStr">
        <is>
          <t xml:space="preserve">  - ✅ Nhóm 4 (gồm TC: 2-1-1): Đã có Log Evidence.</t>
        </is>
      </c>
    </row>
    <row r="360">
      <c r="A360" s="2" t="inlineStr">
        <is>
          <t xml:space="preserve">  - ✅ Nhóm 5 (gồm TC: 2-1-2): Đã có Log Evidence.</t>
        </is>
      </c>
    </row>
    <row r="361">
      <c r="A361" s="2" t="inlineStr">
        <is>
          <t xml:space="preserve">  - ✅ Nhóm 6 (gồm TC: 2-1-4): Đã có Log Evidence.</t>
        </is>
      </c>
    </row>
    <row r="362">
      <c r="A362" s="2" t="inlineStr">
        <is>
          <t xml:space="preserve">  - ✅ Nhóm 7 (gồm TC: 2-1-3): Đã có Log Evidence.</t>
        </is>
      </c>
    </row>
    <row r="363">
      <c r="A363" s="2" t="inlineStr">
        <is>
          <t xml:space="preserve">  - ✅ Nhóm 8 (gồm TC: 2-1-5): Đã có Log Evidence.</t>
        </is>
      </c>
    </row>
    <row r="364">
      <c r="A364" t="inlineStr">
        <is>
          <t xml:space="preserve">  =&gt; TOÀN BỘ CÁC NHÓM TEST TRONG KẾ HOẠCH ĐỀU ĐÃ CÓ EVIDENCE!</t>
        </is>
      </c>
    </row>
    <row r="365">
      <c r="A365" t="inlineStr"/>
    </row>
    <row r="366">
      <c r="A36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6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" t="inlineStr">
        <is>
          <t>✅ Đã check xong file '単体テスト仕様書兼成績書_E304_RFSH0226.xlsx'. Nhấn Enter để tiếp tục sang file tiếp theo...</t>
        </is>
      </c>
    </row>
    <row r="2">
      <c r="A2" s="1">
        <f>======================== [7/16] ĐANG XỬ LÝ FILE: 単体テスト仕様書兼成績書_E304_RFSH0229.xlsx =========================</f>
        <v/>
      </c>
    </row>
    <row r="3">
      <c r="A3" t="inlineStr">
        <is>
          <t>Đang đọc dữ liệu từ file: 単体テスト仕様書兼成績書_E304_RFSH0229.xlsx ...</t>
        </is>
      </c>
    </row>
    <row r="4">
      <c r="A4" t="inlineStr"/>
    </row>
    <row r="5">
      <c r="A5" s="1">
        <f>=============== TRẠNG THÁI OCR ================</f>
        <v/>
      </c>
    </row>
    <row r="6">
      <c r="A6" s="2" t="inlineStr">
        <is>
          <t>✅ Đã bật (Sẵn sàng đọc ảnh)</t>
        </is>
      </c>
    </row>
    <row r="7">
      <c r="A7" t="inlineStr"/>
    </row>
    <row r="8">
      <c r="A8" s="1">
        <f>=============== KIỂM TRA TRẠNG THÁI MỞ FILE ================</f>
        <v/>
      </c>
    </row>
    <row r="9">
      <c r="A9" s="2" t="inlineStr">
        <is>
          <t>✅ File đang mở ở sheet đầu tiên '表紙 '.</t>
        </is>
      </c>
    </row>
    <row r="10">
      <c r="A10" s="2" t="inlineStr">
        <is>
          <t>✅ Con trỏ chuột đang nằm ở ô 'A1'.</t>
        </is>
      </c>
    </row>
    <row r="11">
      <c r="A11" t="inlineStr"/>
    </row>
    <row r="12">
      <c r="A12" s="1">
        <f>=============== SHEET: エビデンス(共通) ================</f>
        <v/>
      </c>
    </row>
    <row r="13">
      <c r="A13" t="inlineStr">
        <is>
          <t xml:space="preserve">  -&gt; Tìm thấy 46 ảnh trong sheet này.</t>
        </is>
      </c>
    </row>
    <row r="14">
      <c r="A14" s="1">
        <f>=============== SHEET: エビデンス(個別) ================</f>
        <v/>
      </c>
    </row>
    <row r="15">
      <c r="A15" t="inlineStr">
        <is>
          <t xml:space="preserve">  -&gt; Tìm thấy 40 ảnh trong sheet này.</t>
        </is>
      </c>
    </row>
    <row r="16">
      <c r="A16" t="inlineStr"/>
    </row>
    <row r="17">
      <c r="A17" s="1" t="inlineStr">
        <is>
          <t>[GEMINI MANUAL MODE] ♻️ Đã tìm thấy file JSON kết quả cũ tại:</t>
        </is>
      </c>
    </row>
    <row r="18">
      <c r="A18" t="inlineStr">
        <is>
          <t>D:\project\tool\New folder\Gemini_Upload_単体テスト仕様書兼成績書_E304_RFSH0229\gemini_result.json</t>
        </is>
      </c>
    </row>
    <row r="19">
      <c r="A19">
        <f>&gt; Sử dụng luôn kết quả này, bỏ qua bước xuất ảnh PDF và hỏi lại Gemini.</f>
        <v/>
      </c>
    </row>
    <row r="20">
      <c r="A20" t="inlineStr"/>
    </row>
    <row r="21">
      <c r="A21" s="1">
        <f>=============== ĐANG PHÂN TÍCH KẾT QUẢ SHEET: エビデンス(共通) ================</f>
        <v/>
      </c>
    </row>
    <row r="22">
      <c r="A22" t="inlineStr"/>
    </row>
    <row r="23">
      <c r="A23" s="1" t="inlineStr">
        <is>
          <t>[Kiểm tra Cấu hình Flow - Trước khi Test]:</t>
        </is>
      </c>
    </row>
    <row r="24">
      <c r="A24" s="2" t="inlineStr">
        <is>
          <t xml:space="preserve">  - [Ảnh Flow]: ✅ Tìm thấy P_JobnetID: 'P1J0229@10229'</t>
        </is>
      </c>
    </row>
    <row r="25">
      <c r="A25" s="2" t="inlineStr">
        <is>
          <t xml:space="preserve">      ✅ OK: P_JobnetID 'P1J0229@10229' có chứa mã '0229' của file.</t>
        </is>
      </c>
    </row>
    <row r="26">
      <c r="A26" s="2" t="inlineStr">
        <is>
          <t xml:space="preserve">  - [Ảnh Flow]: ✅ Tìm thấy P_InterfaceID: 'RFSH0229'</t>
        </is>
      </c>
    </row>
    <row r="27">
      <c r="A27" s="2" t="inlineStr">
        <is>
          <t xml:space="preserve">      ✅ OK: P_InterfaceID 'RFSH0229' có chứa mã '0229' của file.</t>
        </is>
      </c>
    </row>
    <row r="28">
      <c r="A28" t="inlineStr"/>
    </row>
    <row r="29">
      <c r="A29" s="1" t="inlineStr">
        <is>
          <t>[Nhóm Test]: ■1回目 正常系・1000件未満・ファイル送信前結合有無=false</t>
        </is>
      </c>
    </row>
    <row r="30">
      <c r="A30" t="inlineStr">
        <is>
          <t xml:space="preserve">  - Tổng số dòng log: 53</t>
        </is>
      </c>
    </row>
    <row r="31">
      <c r="A31" s="2" t="inlineStr">
        <is>
          <t xml:space="preserve">  - Trạng thái Sort (行): ✅ Đã sắp xếp tăng dần hợp lệ.</t>
        </is>
      </c>
    </row>
    <row r="32">
      <c r="A32" t="inlineStr">
        <is>
          <t xml:space="preserve">  - Ngày chạy log: 2026/05/18</t>
        </is>
      </c>
    </row>
    <row r="33">
      <c r="A33" t="inlineStr">
        <is>
          <t xml:space="preserve">  - [Ảnh Status Panel]: Tìm thấy Jobnet ID: 'P1J0229@10229'</t>
        </is>
      </c>
    </row>
    <row r="34">
      <c r="A34" t="inlineStr">
        <is>
          <t xml:space="preserve">  - [Ảnh Status Panel]: Tìm thấy Interface ID: 'RFSH0229'</t>
        </is>
      </c>
    </row>
    <row r="35">
      <c r="A35" s="2" t="inlineStr">
        <is>
          <t xml:space="preserve">      ✅ OK: Interface ID 'RFSH0229' có tồn tại trong tên file Excel.</t>
        </is>
      </c>
    </row>
    <row r="36">
      <c r="A36" t="inlineStr">
        <is>
          <t xml:space="preserve">  - [Ảnh Status Panel]: Tìm thấy giờ bắt đầu là 17:30:02</t>
        </is>
      </c>
    </row>
    <row r="37">
      <c r="A37" s="2" t="inlineStr">
        <is>
          <t xml:space="preserve">      ✅ OK: Thời gian log (17:30:02) &gt;= Thời gian ảnh (17:30:02)</t>
        </is>
      </c>
    </row>
    <row r="38">
      <c r="A38" s="2" t="inlineStr">
        <is>
          <t xml:space="preserve">      ✅ OK: Duration Log Main (157ms) &lt; Duration Ảnh (349ms)</t>
        </is>
      </c>
    </row>
    <row r="39">
      <c r="A39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40">
      <c r="A40" s="2" t="inlineStr">
        <is>
          <t xml:space="preserve">      ✅ OK: Jobnet ID 'P1J0229@10229' khớp với dữ liệu trong Log.</t>
        </is>
      </c>
    </row>
    <row r="41">
      <c r="A41" t="inlineStr">
        <is>
          <t xml:space="preserve">  - [Kiểm tra File]: Log text báo có tạo ra file 'RFSH0229_output.tsv'.</t>
        </is>
      </c>
    </row>
    <row r="42">
      <c r="A42" s="2" t="inlineStr">
        <is>
          <t xml:space="preserve">      ✅ OK: Tên file trong ảnh File Explorer (RFSH0229_output.tsv) KHỚP với tên file trong Log text.</t>
        </is>
      </c>
    </row>
    <row r="43">
      <c r="A43" t="inlineStr">
        <is>
          <t xml:space="preserve">  - [Ảnh File Explorer]: Tìm thấy file 'RFSH0229_output.tsv' có Date modified là '2026/05/18 17:30'</t>
        </is>
      </c>
    </row>
    <row r="44">
      <c r="A44" s="2" t="inlineStr">
        <is>
          <t xml:space="preserve">      ✅ OK: Thời gian xuất file 'RFSH0229_output.tsv' (2026/05/18 17:30) KHỚP với log (2026/05/18 17:30).</t>
        </is>
      </c>
    </row>
    <row r="45">
      <c r="A45" t="inlineStr">
        <is>
          <t xml:space="preserve">  - [Đối chiếu Testcase trong Log]:</t>
        </is>
      </c>
    </row>
    <row r="46">
      <c r="A46" t="inlineStr">
        <is>
          <t xml:space="preserve">  - [Đối chiếu テスト計画書兼結果報告書(共通)]: Tìm thấy 13 dòng (6, 8, 12, 14, 18, 20, 25, 28, 33, 37, 39, 42, 45)</t>
        </is>
      </c>
    </row>
    <row r="47">
      <c r="A47" s="2" t="inlineStr">
        <is>
          <t xml:space="preserve">      + Số lần test (Cột K): ✅ Tất cả 13 dòng đều khớp (Lần 1)</t>
        </is>
      </c>
    </row>
    <row r="48">
      <c r="A48" s="2" t="inlineStr">
        <is>
          <t xml:space="preserve">      + Ngày test (Cột I/G): ✅ Khớp ngày (2026/05/18) cho tất cả các dòng có dữ liệu</t>
        </is>
      </c>
    </row>
    <row r="49">
      <c r="A49" t="inlineStr"/>
    </row>
    <row r="50">
      <c r="A50" s="1" t="inlineStr">
        <is>
          <t>[Nhóm Test]: ■2回目 異常系・起動パラメータ不正</t>
        </is>
      </c>
    </row>
    <row r="51">
      <c r="A51" t="inlineStr">
        <is>
          <t xml:space="preserve">  - Tổng số dòng log: 23</t>
        </is>
      </c>
    </row>
    <row r="52">
      <c r="A52" s="2" t="inlineStr">
        <is>
          <t xml:space="preserve">  - Trạng thái Sort (行): ✅ Đã sắp xếp tăng dần hợp lệ.</t>
        </is>
      </c>
    </row>
    <row r="53">
      <c r="A53" t="inlineStr">
        <is>
          <t xml:space="preserve">  - Ngày chạy log: 2026/05/18</t>
        </is>
      </c>
    </row>
    <row r="54">
      <c r="A54" t="inlineStr">
        <is>
          <t xml:space="preserve">  - [Ảnh Status Panel]: Tìm thấy Jobnet ID: ''</t>
        </is>
      </c>
    </row>
    <row r="55">
      <c r="A55" t="inlineStr">
        <is>
          <t xml:space="preserve">  - [Ảnh Status Panel]: Tìm thấy Interface ID: ''</t>
        </is>
      </c>
    </row>
    <row r="56">
      <c r="A56" s="3" t="inlineStr">
        <is>
          <t xml:space="preserve">      ⚠️ Interface ID là chuỗi rỗng nên bỏ qua kiểm tra với tên file.</t>
        </is>
      </c>
    </row>
    <row r="57">
      <c r="A57" t="inlineStr">
        <is>
          <t xml:space="preserve">  - [Ảnh Status Panel]: Tìm thấy giờ bắt đầu là 17:33:54</t>
        </is>
      </c>
    </row>
    <row r="58">
      <c r="A58" s="2" t="inlineStr">
        <is>
          <t xml:space="preserve">      ✅ OK: Thời gian log (17:33:54) &gt;= Thời gian ảnh (17:33:54)</t>
        </is>
      </c>
    </row>
    <row r="59">
      <c r="A59" s="2" t="inlineStr">
        <is>
          <t xml:space="preserve">      ✅ OK: Duration Log Main (33ms) &lt; Duration Ảnh (239ms)</t>
        </is>
      </c>
    </row>
    <row r="60">
      <c r="A60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61">
      <c r="A61" s="2" t="inlineStr">
        <is>
          <t xml:space="preserve">      ✅ OK: Jobnet ID '' khớp với dữ liệu trong Log.</t>
        </is>
      </c>
    </row>
    <row r="62">
      <c r="A62" t="inlineStr">
        <is>
          <t xml:space="preserve">  - [Đối chiếu Testcase trong Log]:</t>
        </is>
      </c>
    </row>
    <row r="63">
      <c r="A63" t="inlineStr">
        <is>
          <t xml:space="preserve">  - [Đối chiếu テスト計画書兼結果報告書(共通)]: Tìm thấy 2 dòng (9, 15)</t>
        </is>
      </c>
    </row>
    <row r="64">
      <c r="A64" s="2" t="inlineStr">
        <is>
          <t xml:space="preserve">      + Số lần test (Cột K): ✅ Tất cả 2 dòng đều khớp (Lần 2)</t>
        </is>
      </c>
    </row>
    <row r="65">
      <c r="A65" s="2" t="inlineStr">
        <is>
          <t xml:space="preserve">      + Ngày test (Cột I/G): ✅ Khớp ngày (2026/05/18) cho tất cả các dòng có dữ liệu</t>
        </is>
      </c>
    </row>
    <row r="66">
      <c r="A66" t="inlineStr"/>
    </row>
    <row r="67">
      <c r="A67" s="1" t="inlineStr">
        <is>
          <t>[Nhóm Test]: ■3回目 正常系・ファイル送信前結合有無=true</t>
        </is>
      </c>
    </row>
    <row r="68">
      <c r="A68" t="inlineStr">
        <is>
          <t xml:space="preserve">  - Tổng số dòng log: 65</t>
        </is>
      </c>
    </row>
    <row r="69">
      <c r="A69" s="2" t="inlineStr">
        <is>
          <t xml:space="preserve">  - Trạng thái Sort (行): ✅ Đã sắp xếp tăng dần hợp lệ.</t>
        </is>
      </c>
    </row>
    <row r="70">
      <c r="A70" t="inlineStr">
        <is>
          <t xml:space="preserve">  - Ngày chạy log: 2026/05/18</t>
        </is>
      </c>
    </row>
    <row r="71">
      <c r="A71" t="inlineStr">
        <is>
          <t xml:space="preserve">  - [Ảnh Status Panel]: Tìm thấy Jobnet ID: 'P1J0229@10229'</t>
        </is>
      </c>
    </row>
    <row r="72">
      <c r="A72" t="inlineStr">
        <is>
          <t xml:space="preserve">  - [Ảnh Status Panel]: Tìm thấy Interface ID: 'RFSH0229'</t>
        </is>
      </c>
    </row>
    <row r="73">
      <c r="A73" s="2" t="inlineStr">
        <is>
          <t xml:space="preserve">      ✅ OK: Interface ID 'RFSH0229' có tồn tại trong tên file Excel.</t>
        </is>
      </c>
    </row>
    <row r="74">
      <c r="A74" t="inlineStr">
        <is>
          <t xml:space="preserve">  - [Ảnh Status Panel]: Tìm thấy giờ bắt đầu là 17:37:37</t>
        </is>
      </c>
    </row>
    <row r="75">
      <c r="A75" s="2" t="inlineStr">
        <is>
          <t xml:space="preserve">      ✅ OK: Thời gian log (17:37:37) &gt;= Thời gian ảnh (17:37:37)</t>
        </is>
      </c>
    </row>
    <row r="76">
      <c r="A76" s="4" t="inlineStr">
        <is>
          <t xml:space="preserve">      ❌ LỖI: Duration Log Main (339ms) &gt;= Duration Ảnh (5ms)</t>
        </is>
      </c>
    </row>
    <row r="77">
      <c r="A77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78">
      <c r="A78" s="2" t="inlineStr">
        <is>
          <t xml:space="preserve">      ✅ OK: Jobnet ID 'P1J0229@10229' khớp với dữ liệu trong Log.</t>
        </is>
      </c>
    </row>
    <row r="79">
      <c r="A79" t="inlineStr">
        <is>
          <t xml:space="preserve">  - [Kiểm tra File]: Log text báo có tạo ra file 'RFSH0229_output.tsv'.</t>
        </is>
      </c>
    </row>
    <row r="80">
      <c r="A80" s="2" t="inlineStr">
        <is>
          <t xml:space="preserve">      ✅ OK: Tên file trong ảnh File Explorer (RFSH0229_output.tsv) KHỚP với tên file trong Log text.</t>
        </is>
      </c>
    </row>
    <row r="81">
      <c r="A81" t="inlineStr">
        <is>
          <t xml:space="preserve">  - [Ảnh File Explorer]: Tìm thấy file 'RFSH0229_output.tsv' có Date modified là '2026/05/18 17:37'</t>
        </is>
      </c>
    </row>
    <row r="82">
      <c r="A82" s="2" t="inlineStr">
        <is>
          <t xml:space="preserve">      ✅ OK: Thời gian xuất file 'RFSH0229_output.tsv' (2026/05/18 17:37) KHỚP với log (2026/05/18 17:37).</t>
        </is>
      </c>
    </row>
    <row r="83">
      <c r="A83" t="inlineStr">
        <is>
          <t xml:space="preserve">  - [Đối chiếu Testcase trong Log]:</t>
        </is>
      </c>
    </row>
    <row r="84">
      <c r="A84" t="inlineStr">
        <is>
          <t xml:space="preserve">  - [Đối chiếu テスト計画書兼結果報告書(共通)]: Tìm thấy 1 dòng (21)</t>
        </is>
      </c>
    </row>
    <row r="85">
      <c r="A85" s="2" t="inlineStr">
        <is>
          <t xml:space="preserve">      + Số lần test (Cột K): ✅ Tất cả 1 dòng đều khớp (Lần 3)</t>
        </is>
      </c>
    </row>
    <row r="86">
      <c r="A86" s="2" t="inlineStr">
        <is>
          <t xml:space="preserve">      + Ngày test (Cột I/G): ✅ Khớp ngày (2026/05/18) cho tất cả các dòng có dữ liệu</t>
        </is>
      </c>
    </row>
    <row r="87">
      <c r="A87" t="inlineStr"/>
    </row>
    <row r="88">
      <c r="A88" s="1" t="inlineStr">
        <is>
          <t>[Nhóm Test]: ■4回目 異常系・すでにファイルが存在する場合</t>
        </is>
      </c>
    </row>
    <row r="89">
      <c r="A89" t="inlineStr">
        <is>
          <t xml:space="preserve">  - Tổng số dòng log: 55</t>
        </is>
      </c>
    </row>
    <row r="90">
      <c r="A90" s="2" t="inlineStr">
        <is>
          <t xml:space="preserve">  - Trạng thái Sort (行): ✅ Đã sắp xếp tăng dần hợp lệ.</t>
        </is>
      </c>
    </row>
    <row r="91">
      <c r="A91" t="inlineStr">
        <is>
          <t xml:space="preserve">  - Ngày chạy log: 2026/05/18</t>
        </is>
      </c>
    </row>
    <row r="92">
      <c r="A92" t="inlineStr">
        <is>
          <t xml:space="preserve">  - [Ảnh Status Panel]: Tìm thấy Jobnet ID: 'P1J0229@10229'</t>
        </is>
      </c>
    </row>
    <row r="93">
      <c r="A93" t="inlineStr">
        <is>
          <t xml:space="preserve">  - [Ảnh Status Panel]: Tìm thấy Interface ID: 'RFSH0229'</t>
        </is>
      </c>
    </row>
    <row r="94">
      <c r="A94" s="2" t="inlineStr">
        <is>
          <t xml:space="preserve">      ✅ OK: Interface ID 'RFSH0229' có tồn tại trong tên file Excel.</t>
        </is>
      </c>
    </row>
    <row r="95">
      <c r="A95" t="inlineStr">
        <is>
          <t xml:space="preserve">  - [Ảnh Status Panel]: Tìm thấy giờ bắt đầu là 17:41:52</t>
        </is>
      </c>
    </row>
    <row r="96">
      <c r="A96" s="2" t="inlineStr">
        <is>
          <t xml:space="preserve">      ✅ OK: Thời gian log (17:41:52) &gt;= Thời gian ảnh (17:41:52)</t>
        </is>
      </c>
    </row>
    <row r="97">
      <c r="A97" s="2" t="inlineStr">
        <is>
          <t xml:space="preserve">      ✅ OK: Duration Log Main (267ms) &lt; Duration Ảnh (453ms)</t>
        </is>
      </c>
    </row>
    <row r="98">
      <c r="A98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99">
      <c r="A99" s="2" t="inlineStr">
        <is>
          <t xml:space="preserve">      ✅ OK: Jobnet ID 'P1J0229@10229' khớp với dữ liệu trong Log.</t>
        </is>
      </c>
    </row>
    <row r="100">
      <c r="A100" t="inlineStr">
        <is>
          <t xml:space="preserve">  - [Đối chiếu Testcase trong Log]:</t>
        </is>
      </c>
    </row>
    <row r="101">
      <c r="A101" t="inlineStr">
        <is>
          <t xml:space="preserve">  - [Đối chiếu テスト計画書兼結果報告書(共通)]: Tìm thấy 1 dòng (22)</t>
        </is>
      </c>
    </row>
    <row r="102">
      <c r="A102" s="2" t="inlineStr">
        <is>
          <t xml:space="preserve">      + Số lần test (Cột K): ✅ Tất cả 1 dòng đều khớp (Lần 4)</t>
        </is>
      </c>
    </row>
    <row r="103">
      <c r="A103" s="2" t="inlineStr">
        <is>
          <t xml:space="preserve">      + Ngày test (Cột I/G): ✅ Khớp ngày (2026/05/18) cho tất cả các dòng có dữ liệu</t>
        </is>
      </c>
    </row>
    <row r="104">
      <c r="A104" t="inlineStr"/>
    </row>
    <row r="105">
      <c r="A105" s="1" t="inlineStr">
        <is>
          <t>[Nhóm Test]: ■5回目 正常系・0byteファイル</t>
        </is>
      </c>
    </row>
    <row r="106">
      <c r="A106" t="inlineStr">
        <is>
          <t xml:space="preserve">  - Tổng số dòng log: 61</t>
        </is>
      </c>
    </row>
    <row r="107">
      <c r="A107" s="2" t="inlineStr">
        <is>
          <t xml:space="preserve">  - Trạng thái Sort (行): ✅ Đã sắp xếp tăng dần hợp lệ.</t>
        </is>
      </c>
    </row>
    <row r="108">
      <c r="A108" t="inlineStr">
        <is>
          <t xml:space="preserve">  - Ngày chạy log: 2026/05/18</t>
        </is>
      </c>
    </row>
    <row r="109">
      <c r="A109" t="inlineStr">
        <is>
          <t xml:space="preserve">  - [Ảnh Status Panel]: Tìm thấy Jobnet ID: 'P1J0229@10229'</t>
        </is>
      </c>
    </row>
    <row r="110">
      <c r="A110" t="inlineStr">
        <is>
          <t xml:space="preserve">  - [Ảnh Status Panel]: Tìm thấy Interface ID: 'RFSH0229'</t>
        </is>
      </c>
    </row>
    <row r="111">
      <c r="A111" s="2" t="inlineStr">
        <is>
          <t xml:space="preserve">      ✅ OK: Interface ID 'RFSH0229' có tồn tại trong tên file Excel.</t>
        </is>
      </c>
    </row>
    <row r="112">
      <c r="A112" t="inlineStr">
        <is>
          <t xml:space="preserve">  - [Ảnh Status Panel]: Tìm thấy giờ bắt đầu là 17:45:33</t>
        </is>
      </c>
    </row>
    <row r="113">
      <c r="A113" s="2" t="inlineStr">
        <is>
          <t xml:space="preserve">      ✅ OK: Thời gian log (17:45:33) &gt;= Thời gian ảnh (17:45:33)</t>
        </is>
      </c>
    </row>
    <row r="114">
      <c r="A114" s="2" t="inlineStr">
        <is>
          <t xml:space="preserve">      ✅ OK: Duration Log Main (360ms) &lt; Duration Ảnh (595ms)</t>
        </is>
      </c>
    </row>
    <row r="115">
      <c r="A115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16">
      <c r="A116" s="2" t="inlineStr">
        <is>
          <t xml:space="preserve">      ✅ OK: Jobnet ID 'P1J0229@10229' khớp với dữ liệu trong Log.</t>
        </is>
      </c>
    </row>
    <row r="117">
      <c r="A117" t="inlineStr">
        <is>
          <t xml:space="preserve">  - [Kiểm tra File]: Log text báo có tạo ra file 'RFSH0229_output.tsv'.</t>
        </is>
      </c>
    </row>
    <row r="118">
      <c r="A118" s="2" t="inlineStr">
        <is>
          <t xml:space="preserve">      ✅ OK: Tên file trong ảnh File Explorer (RFSH0229_output.tsv) KHỚP với tên file trong Log text.</t>
        </is>
      </c>
    </row>
    <row r="119">
      <c r="A119" t="inlineStr">
        <is>
          <t xml:space="preserve">  - [Ảnh File Explorer]: Tìm thấy file 'RFSH0229_output.tsv' có Date modified là '2026/05/18 17:45'</t>
        </is>
      </c>
    </row>
    <row r="120">
      <c r="A120" s="2" t="inlineStr">
        <is>
          <t xml:space="preserve">      ✅ OK: Thời gian xuất file 'RFSH0229_output.tsv' (2026/05/18 17:45) KHỚP với log (2026/05/18 17:45).</t>
        </is>
      </c>
    </row>
    <row r="121">
      <c r="A121" t="inlineStr">
        <is>
          <t xml:space="preserve">  - [Đối chiếu Testcase trong Log]:</t>
        </is>
      </c>
    </row>
    <row r="122">
      <c r="A122" t="inlineStr">
        <is>
          <t xml:space="preserve">  - [Đối chiếu テスト計画書兼結果報告書(共通)]: Tìm thấy 2 dòng (26, 46)</t>
        </is>
      </c>
    </row>
    <row r="123">
      <c r="A123" s="2" t="inlineStr">
        <is>
          <t xml:space="preserve">      + Số lần test (Cột K): ✅ Tất cả 2 dòng đều khớp (Lần 5)</t>
        </is>
      </c>
    </row>
    <row r="124">
      <c r="A124" s="2" t="inlineStr">
        <is>
          <t xml:space="preserve">      + Ngày test (Cột I/G): ✅ Khớp ngày (2026/05/18) cho tất cả các dòng có dữ liệu</t>
        </is>
      </c>
    </row>
    <row r="125">
      <c r="A125" t="inlineStr"/>
    </row>
    <row r="126">
      <c r="A126" s="1" t="inlineStr">
        <is>
          <t>[Nhóm Test]: ■6回目 正常系・データ行1000行</t>
        </is>
      </c>
    </row>
    <row r="127">
      <c r="A127" t="inlineStr">
        <is>
          <t xml:space="preserve">  - Tổng số dòng log: 65</t>
        </is>
      </c>
    </row>
    <row r="128">
      <c r="A128" s="2" t="inlineStr">
        <is>
          <t xml:space="preserve">  - Trạng thái Sort (行): ✅ Đã sắp xếp tăng dần hợp lệ.</t>
        </is>
      </c>
    </row>
    <row r="129">
      <c r="A129" t="inlineStr">
        <is>
          <t xml:space="preserve">  - Ngày chạy log: 2026/05/18</t>
        </is>
      </c>
    </row>
    <row r="130">
      <c r="A130" t="inlineStr">
        <is>
          <t xml:space="preserve">  - [Ảnh Status Panel]: Tìm thấy Jobnet ID: 'P1J0229@10229'</t>
        </is>
      </c>
    </row>
    <row r="131">
      <c r="A131" t="inlineStr">
        <is>
          <t xml:space="preserve">  - [Ảnh Status Panel]: Tìm thấy Interface ID: 'RFSH0229'</t>
        </is>
      </c>
    </row>
    <row r="132">
      <c r="A132" s="2" t="inlineStr">
        <is>
          <t xml:space="preserve">      ✅ OK: Interface ID 'RFSH0229' có tồn tại trong tên file Excel.</t>
        </is>
      </c>
    </row>
    <row r="133">
      <c r="A133" t="inlineStr">
        <is>
          <t xml:space="preserve">  - [Ảnh Status Panel]: Tìm thấy giờ bắt đầu là 18:02:56</t>
        </is>
      </c>
    </row>
    <row r="134">
      <c r="A134" s="2" t="inlineStr">
        <is>
          <t xml:space="preserve">      ✅ OK: Thời gian log (18:02:56) &gt;= Thời gian ảnh (18:02:56)</t>
        </is>
      </c>
    </row>
    <row r="135">
      <c r="A135" s="2" t="inlineStr">
        <is>
          <t xml:space="preserve">      ✅ OK: Duration Log Main (820ms) &lt; Duration Ảnh (1026ms)</t>
        </is>
      </c>
    </row>
    <row r="136">
      <c r="A136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37">
      <c r="A137" s="2" t="inlineStr">
        <is>
          <t xml:space="preserve">      ✅ OK: Jobnet ID 'P1J0229@10229' khớp với dữ liệu trong Log.</t>
        </is>
      </c>
    </row>
    <row r="138">
      <c r="A138" t="inlineStr">
        <is>
          <t xml:space="preserve">  - [Kiểm tra File]: Log text báo có tạo ra file 'RFSH0229_output.tsv'.</t>
        </is>
      </c>
    </row>
    <row r="139">
      <c r="A139" s="2" t="inlineStr">
        <is>
          <t xml:space="preserve">      ✅ OK: Tên file trong ảnh File Explorer (RFSH0229_output.tsv) KHỚP với tên file trong Log text.</t>
        </is>
      </c>
    </row>
    <row r="140">
      <c r="A140" t="inlineStr">
        <is>
          <t xml:space="preserve">  - [Ảnh File Explorer]: Tìm thấy file 'RFSH0229_output.tsv' có Date modified là '2026/05/18 18:02'</t>
        </is>
      </c>
    </row>
    <row r="141">
      <c r="A141" s="2" t="inlineStr">
        <is>
          <t xml:space="preserve">      ✅ OK: Thời gian xuất file 'RFSH0229_output.tsv' (2026/05/18 18:02) KHỚP với log (2026/05/18 18:02).</t>
        </is>
      </c>
    </row>
    <row r="142">
      <c r="A142" t="inlineStr">
        <is>
          <t xml:space="preserve">  - [Đối chiếu Testcase trong Log]:</t>
        </is>
      </c>
    </row>
    <row r="143">
      <c r="A143" t="inlineStr">
        <is>
          <t xml:space="preserve">  - [Đối chiếu テスト計画書兼結果報告書(共通)]: Tìm thấy 1 dòng (29)</t>
        </is>
      </c>
    </row>
    <row r="144">
      <c r="A144" s="2" t="inlineStr">
        <is>
          <t xml:space="preserve">      + Số lần test (Cột K): ✅ Tất cả 1 dòng đều khớp (Lần 6)</t>
        </is>
      </c>
    </row>
    <row r="145">
      <c r="A145" s="2" t="inlineStr">
        <is>
          <t xml:space="preserve">      + Ngày test (Cột I/G): ✅ Khớp ngày (2026/05/18) cho tất cả các dòng có dữ liệu</t>
        </is>
      </c>
    </row>
    <row r="146">
      <c r="A146" t="inlineStr"/>
    </row>
    <row r="147">
      <c r="A147" s="1" t="inlineStr">
        <is>
          <t>[Nhóm Test]: ■7回目 正常系・データ行1000行以上</t>
        </is>
      </c>
    </row>
    <row r="148">
      <c r="A148" t="inlineStr">
        <is>
          <t xml:space="preserve">  - Tổng số dòng log: 77</t>
        </is>
      </c>
    </row>
    <row r="149">
      <c r="A149" s="2" t="inlineStr">
        <is>
          <t xml:space="preserve">  - Trạng thái Sort (行): ✅ Đã sắp xếp tăng dần hợp lệ.</t>
        </is>
      </c>
    </row>
    <row r="150">
      <c r="A150" t="inlineStr">
        <is>
          <t xml:space="preserve">  - Ngày chạy log: 2026/05/18</t>
        </is>
      </c>
    </row>
    <row r="151">
      <c r="A151" t="inlineStr">
        <is>
          <t xml:space="preserve">  - [Ảnh Status Panel]: Tìm thấy Jobnet ID: 'P1J0229@10229'</t>
        </is>
      </c>
    </row>
    <row r="152">
      <c r="A152" t="inlineStr">
        <is>
          <t xml:space="preserve">  - [Ảnh Status Panel]: Tìm thấy Interface ID: 'RFSH0229'</t>
        </is>
      </c>
    </row>
    <row r="153">
      <c r="A153" s="2" t="inlineStr">
        <is>
          <t xml:space="preserve">      ✅ OK: Interface ID 'RFSH0229' có tồn tại trong tên file Excel.</t>
        </is>
      </c>
    </row>
    <row r="154">
      <c r="A154" t="inlineStr">
        <is>
          <t xml:space="preserve">  - [Ảnh Status Panel]: Tìm thấy giờ bắt đầu là 18:05:42</t>
        </is>
      </c>
    </row>
    <row r="155">
      <c r="A155" s="2" t="inlineStr">
        <is>
          <t xml:space="preserve">      ✅ OK: Thời gian log (18:05:42) &gt;= Thời gian ảnh (18:05:42)</t>
        </is>
      </c>
    </row>
    <row r="156">
      <c r="A156" s="2" t="inlineStr">
        <is>
          <t xml:space="preserve">      ✅ OK: Duration Log Main (790ms) &lt; Duration Ảnh (984ms)</t>
        </is>
      </c>
    </row>
    <row r="157">
      <c r="A157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58">
      <c r="A158" s="2" t="inlineStr">
        <is>
          <t xml:space="preserve">      ✅ OK: Jobnet ID 'P1J0229@10229' khớp với dữ liệu trong Log.</t>
        </is>
      </c>
    </row>
    <row r="159">
      <c r="A159" t="inlineStr">
        <is>
          <t xml:space="preserve">  - [Kiểm tra File]: Log text báo có tạo ra file 'RFSH0229_output.tsv'.</t>
        </is>
      </c>
    </row>
    <row r="160">
      <c r="A160" s="2" t="inlineStr">
        <is>
          <t xml:space="preserve">      ✅ OK: Tên file trong ảnh File Explorer (RFSH0229_output.tsv) KHỚP với tên file trong Log text.</t>
        </is>
      </c>
    </row>
    <row r="161">
      <c r="A161" t="inlineStr">
        <is>
          <t xml:space="preserve">  - [Ảnh File Explorer]: Tìm thấy file 'RFSH0229_output.tsv' có Date modified là '2026/05/18 18:05'</t>
        </is>
      </c>
    </row>
    <row r="162">
      <c r="A162" s="2" t="inlineStr">
        <is>
          <t xml:space="preserve">      ✅ OK: Thời gian xuất file 'RFSH0229_output.tsv' (2026/05/18 18:05) KHỚP với log (2026/05/18 18:05).</t>
        </is>
      </c>
    </row>
    <row r="163">
      <c r="A163" t="inlineStr">
        <is>
          <t xml:space="preserve">  - [Đối chiếu Testcase trong Log]:</t>
        </is>
      </c>
    </row>
    <row r="164">
      <c r="A164" t="inlineStr">
        <is>
          <t xml:space="preserve">  - [Đối chiếu テスト計画書兼結果報告書(共通)]: Tìm thấy 2 dòng (30, 35)</t>
        </is>
      </c>
    </row>
    <row r="165">
      <c r="A165" s="2" t="inlineStr">
        <is>
          <t xml:space="preserve">      + Số lần test (Cột K): ✅ Tất cả 2 dòng đều khớp (Lần 7)</t>
        </is>
      </c>
    </row>
    <row r="166">
      <c r="A166" s="2" t="inlineStr">
        <is>
          <t xml:space="preserve">      + Ngày test (Cột I/G): ✅ Khớp ngày (2026/05/18) cho tất cả các dòng có dữ liệu</t>
        </is>
      </c>
    </row>
    <row r="167">
      <c r="A167" t="inlineStr"/>
    </row>
    <row r="168">
      <c r="A168" s="1">
        <f>=============== ĐANG PHÂN TÍCH KẾT QUẢ SHEET: エビデンス(個別) ================</f>
        <v/>
      </c>
    </row>
    <row r="169">
      <c r="A169" t="inlineStr"/>
    </row>
    <row r="170">
      <c r="A170" s="1" t="inlineStr">
        <is>
          <t>[Nhóm Test]: ■1回目 正常系・0byteファイル</t>
        </is>
      </c>
    </row>
    <row r="171">
      <c r="A171" t="inlineStr">
        <is>
          <t xml:space="preserve">  - Tổng số dòng log: 49</t>
        </is>
      </c>
    </row>
    <row r="172">
      <c r="A172" s="2" t="inlineStr">
        <is>
          <t xml:space="preserve">  - Trạng thái Sort (行): ✅ Đã sắp xếp tăng dần hợp lệ.</t>
        </is>
      </c>
    </row>
    <row r="173">
      <c r="A173" t="inlineStr">
        <is>
          <t xml:space="preserve">  - Ngày chạy log: 2026/05/18</t>
        </is>
      </c>
    </row>
    <row r="174">
      <c r="A174" t="inlineStr">
        <is>
          <t xml:space="preserve">  - [Ảnh Status Panel]: Tìm thấy Jobnet ID: 'P1J0229@10229'</t>
        </is>
      </c>
    </row>
    <row r="175">
      <c r="A175" t="inlineStr">
        <is>
          <t xml:space="preserve">  - [Ảnh Status Panel]: Tìm thấy Interface ID: 'RFSH0229'</t>
        </is>
      </c>
    </row>
    <row r="176">
      <c r="A176" s="2" t="inlineStr">
        <is>
          <t xml:space="preserve">      ✅ OK: Interface ID 'RFSH0229' có tồn tại trong tên file Excel.</t>
        </is>
      </c>
    </row>
    <row r="177">
      <c r="A177" t="inlineStr">
        <is>
          <t xml:space="preserve">  - [Ảnh Status Panel]: Tìm thấy giờ bắt đầu là 17:07:34</t>
        </is>
      </c>
    </row>
    <row r="178">
      <c r="A178" s="2" t="inlineStr">
        <is>
          <t xml:space="preserve">      ✅ OK: Thời gian log (17:07:34) &gt;= Thời gian ảnh (17:07:34)</t>
        </is>
      </c>
    </row>
    <row r="179">
      <c r="A179" s="4" t="inlineStr">
        <is>
          <t xml:space="preserve">      ❌ LỖI: Duration Log Main (336ms) &gt;= Duration Ảnh (5ms)</t>
        </is>
      </c>
    </row>
    <row r="180">
      <c r="A180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81">
      <c r="A181" s="2" t="inlineStr">
        <is>
          <t xml:space="preserve">      ✅ OK: Jobnet ID 'P1J0229@10229' khớp với dữ liệu trong Log.</t>
        </is>
      </c>
    </row>
    <row r="182">
      <c r="A182" t="inlineStr">
        <is>
          <t xml:space="preserve">  - [Kiểm tra File]: Log text báo có tạo ra file 'RFSH0229_output.tsv'.</t>
        </is>
      </c>
    </row>
    <row r="183">
      <c r="A183" s="2" t="inlineStr">
        <is>
          <t xml:space="preserve">      ✅ OK: Tên file trong ảnh File Explorer (RFSH0229_output.tsv) KHỚP với tên file trong Log text.</t>
        </is>
      </c>
    </row>
    <row r="184">
      <c r="A184" t="inlineStr">
        <is>
          <t xml:space="preserve">  - [Ảnh File Explorer]: Tìm thấy file 'RFSH0229_output.tsv' có Date modified là '2026/05/18 17:07'</t>
        </is>
      </c>
    </row>
    <row r="185">
      <c r="A185" s="2" t="inlineStr">
        <is>
          <t xml:space="preserve">      ✅ OK: Thời gian xuất file 'RFSH0229_output.tsv' (2026/05/18 17:07) KHỚP với log (2026/05/18 17:07).</t>
        </is>
      </c>
    </row>
    <row r="186">
      <c r="A186" t="inlineStr">
        <is>
          <t xml:space="preserve">  - [Đối chiếu Testcase trong Log]:</t>
        </is>
      </c>
    </row>
    <row r="187">
      <c r="A187" t="inlineStr">
        <is>
          <t xml:space="preserve">  - [Đối chiếu テスト計画書兼結果報告書(個別)]: Tìm thấy 1 dòng (6)</t>
        </is>
      </c>
    </row>
    <row r="188">
      <c r="A188" s="2" t="inlineStr">
        <is>
          <t xml:space="preserve">      + Số lần test (Cột K): ✅ Tất cả 1 dòng đều khớp (Lần 1)</t>
        </is>
      </c>
    </row>
    <row r="189">
      <c r="A189" s="2" t="inlineStr">
        <is>
          <t xml:space="preserve">      + Ngày test (Cột I/G): ✅ Khớp ngày (2026/05/18) cho tất cả các dòng có dữ liệu</t>
        </is>
      </c>
    </row>
    <row r="190">
      <c r="A190" t="inlineStr"/>
    </row>
    <row r="191">
      <c r="A191" s="1" t="inlineStr">
        <is>
          <t>[Nhóm Test]: ■2回目 正常系・全項目空データファイル</t>
        </is>
      </c>
    </row>
    <row r="192">
      <c r="A192" t="inlineStr">
        <is>
          <t xml:space="preserve">  - Tổng số dòng log: 53</t>
        </is>
      </c>
    </row>
    <row r="193">
      <c r="A193" s="2" t="inlineStr">
        <is>
          <t xml:space="preserve">  - Trạng thái Sort (行): ✅ Đã sắp xếp tăng dần hợp lệ.</t>
        </is>
      </c>
    </row>
    <row r="194">
      <c r="A194" t="inlineStr">
        <is>
          <t xml:space="preserve">  - Ngày chạy log: 2026/05/18</t>
        </is>
      </c>
    </row>
    <row r="195">
      <c r="A195" t="inlineStr">
        <is>
          <t xml:space="preserve">  - [Ảnh Status Panel]: Tìm thấy Jobnet ID: 'P1J0229@10229'</t>
        </is>
      </c>
    </row>
    <row r="196">
      <c r="A196" t="inlineStr">
        <is>
          <t xml:space="preserve">  - [Ảnh Status Panel]: Tìm thấy Interface ID: 'RFSH0229'</t>
        </is>
      </c>
    </row>
    <row r="197">
      <c r="A197" s="2" t="inlineStr">
        <is>
          <t xml:space="preserve">      ✅ OK: Interface ID 'RFSH0229' có tồn tại trong tên file Excel.</t>
        </is>
      </c>
    </row>
    <row r="198">
      <c r="A198" t="inlineStr">
        <is>
          <t xml:space="preserve">  - [Ảnh Status Panel]: Tìm thấy giờ bắt đầu là 17:11:01</t>
        </is>
      </c>
    </row>
    <row r="199">
      <c r="A199" s="2" t="inlineStr">
        <is>
          <t xml:space="preserve">      ✅ OK: Thời gian log (17:11:01) &gt;= Thời gian ảnh (17:11:01)</t>
        </is>
      </c>
    </row>
    <row r="200">
      <c r="A200" s="2" t="inlineStr">
        <is>
          <t xml:space="preserve">      ✅ OK: Duration Log Main (635ms) &lt; Duration Ảnh (842ms)</t>
        </is>
      </c>
    </row>
    <row r="201">
      <c r="A201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02">
      <c r="A202" s="2" t="inlineStr">
        <is>
          <t xml:space="preserve">      ✅ OK: Jobnet ID 'P1J0229@10229' khớp với dữ liệu trong Log.</t>
        </is>
      </c>
    </row>
    <row r="203">
      <c r="A203" t="inlineStr">
        <is>
          <t xml:space="preserve">  - [Kiểm tra File]: Log text báo có tạo ra file 'RFSH0229_output.tsv'.</t>
        </is>
      </c>
    </row>
    <row r="204">
      <c r="A204" s="2" t="inlineStr">
        <is>
          <t xml:space="preserve">      ✅ OK: Tên file trong ảnh File Explorer (RFSH0229_output.tsv) KHỚP với tên file trong Log text.</t>
        </is>
      </c>
    </row>
    <row r="205">
      <c r="A205" t="inlineStr">
        <is>
          <t xml:space="preserve">  - [Ảnh File Explorer]: Tìm thấy file 'RFSH0229_output.tsv' có Date modified là '2026/05/18 17:11'</t>
        </is>
      </c>
    </row>
    <row r="206">
      <c r="A206" s="2" t="inlineStr">
        <is>
          <t xml:space="preserve">      ✅ OK: Thời gian xuất file 'RFSH0229_output.tsv' (2026/05/18 17:11) KHỚP với log (2026/05/18 17:11).</t>
        </is>
      </c>
    </row>
    <row r="207">
      <c r="A207" t="inlineStr">
        <is>
          <t xml:space="preserve">  - [Đối chiếu Testcase trong Log]:</t>
        </is>
      </c>
    </row>
    <row r="208">
      <c r="A208" t="inlineStr">
        <is>
          <t xml:space="preserve">  - [Đối chiếu テスト計画書兼結果報告書(個別)]: Tìm thấy 1 dòng (8)</t>
        </is>
      </c>
    </row>
    <row r="209">
      <c r="A209" s="2" t="inlineStr">
        <is>
          <t xml:space="preserve">      + Số lần test (Cột K): ✅ Tất cả 1 dòng đều khớp (Lần 2)</t>
        </is>
      </c>
    </row>
    <row r="210">
      <c r="A210" s="2" t="inlineStr">
        <is>
          <t xml:space="preserve">      + Ngày test (Cột I/G): ✅ Khớp ngày (2026/05/18) cho tất cả các dòng có dữ liệu</t>
        </is>
      </c>
    </row>
    <row r="211">
      <c r="A211" t="inlineStr"/>
    </row>
    <row r="212">
      <c r="A212" s="1" t="inlineStr">
        <is>
          <t>[Nhóm Test]: ■3回目 正常系・ファイル定義確認</t>
        </is>
      </c>
    </row>
    <row r="213">
      <c r="A213" t="inlineStr">
        <is>
          <t xml:space="preserve">  - Tổng số dòng log: 53</t>
        </is>
      </c>
    </row>
    <row r="214">
      <c r="A214" s="2" t="inlineStr">
        <is>
          <t xml:space="preserve">  - Trạng thái Sort (行): ✅ Đã sắp xếp tăng dần hợp lệ.</t>
        </is>
      </c>
    </row>
    <row r="215">
      <c r="A215" t="inlineStr">
        <is>
          <t xml:space="preserve">  - Ngày chạy log: 2026/05/18</t>
        </is>
      </c>
    </row>
    <row r="216">
      <c r="A216" t="inlineStr">
        <is>
          <t xml:space="preserve">  - [Ảnh Status Panel]: Tìm thấy Jobnet ID: 'P1J0229@10229'</t>
        </is>
      </c>
    </row>
    <row r="217">
      <c r="A217" t="inlineStr">
        <is>
          <t xml:space="preserve">  - [Ảnh Status Panel]: Tìm thấy Interface ID: 'RFSH0229'</t>
        </is>
      </c>
    </row>
    <row r="218">
      <c r="A218" s="2" t="inlineStr">
        <is>
          <t xml:space="preserve">      ✅ OK: Interface ID 'RFSH0229' có tồn tại trong tên file Excel.</t>
        </is>
      </c>
    </row>
    <row r="219">
      <c r="A219" t="inlineStr">
        <is>
          <t xml:space="preserve">  - [Ảnh Status Panel]: Tìm thấy giờ bắt đầu là 17:13:01</t>
        </is>
      </c>
    </row>
    <row r="220">
      <c r="A220" s="2" t="inlineStr">
        <is>
          <t xml:space="preserve">      ✅ OK: Thời gian log (17:13:01) &gt;= Thời gian ảnh (17:13:01)</t>
        </is>
      </c>
    </row>
    <row r="221">
      <c r="A221" s="2" t="inlineStr">
        <is>
          <t xml:space="preserve">      ✅ OK: Duration Log Main (463ms) &lt; Duration Ảnh (829ms)</t>
        </is>
      </c>
    </row>
    <row r="222">
      <c r="A222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23">
      <c r="A223" s="2" t="inlineStr">
        <is>
          <t xml:space="preserve">      ✅ OK: Jobnet ID 'P1J0229@10229' khớp với dữ liệu trong Log.</t>
        </is>
      </c>
    </row>
    <row r="224">
      <c r="A224" t="inlineStr">
        <is>
          <t xml:space="preserve">  - [Kiểm tra File]: Log text báo có tạo ra file 'RFSH0229_output.tsv'.</t>
        </is>
      </c>
    </row>
    <row r="225">
      <c r="A225" s="2" t="inlineStr">
        <is>
          <t xml:space="preserve">      ✅ OK: Tên file trong ảnh File Explorer (RFSH0229_output.tsv) KHỚP với tên file trong Log text.</t>
        </is>
      </c>
    </row>
    <row r="226">
      <c r="A226" t="inlineStr">
        <is>
          <t xml:space="preserve">  - [Ảnh File Explorer]: Tìm thấy file 'RFSH0229_output.tsv' có Date modified là '2026/05/18 17:13'</t>
        </is>
      </c>
    </row>
    <row r="227">
      <c r="A227" s="2" t="inlineStr">
        <is>
          <t xml:space="preserve">      ✅ OK: Thời gian xuất file 'RFSH0229_output.tsv' (2026/05/18 17:13) KHỚP với log (2026/05/18 17:13).</t>
        </is>
      </c>
    </row>
    <row r="228">
      <c r="A228" t="inlineStr">
        <is>
          <t xml:space="preserve">  - [Đối chiếu Testcase trong Log]:</t>
        </is>
      </c>
    </row>
    <row r="229">
      <c r="A229" t="inlineStr">
        <is>
          <t xml:space="preserve">  - [Đối chiếu テスト計画書兼結果報告書(個別)]: Tìm thấy 12 dòng (18, 19, 20, 21, 22, 23, 25, 26, 27, 28, 29, 30)</t>
        </is>
      </c>
    </row>
    <row r="230">
      <c r="A230" s="2" t="inlineStr">
        <is>
          <t xml:space="preserve">      + Số lần test (Cột K): ✅ Tất cả 12 dòng đều khớp (Lần 3)</t>
        </is>
      </c>
    </row>
    <row r="231">
      <c r="A231" s="2" t="inlineStr">
        <is>
          <t xml:space="preserve">      + Ngày test (Cột I/G): ✅ Khớp ngày (2026/05/18) cho tất cả các dòng có dữ liệu</t>
        </is>
      </c>
    </row>
    <row r="232">
      <c r="A232" t="inlineStr"/>
    </row>
    <row r="233">
      <c r="A233" s="1" t="inlineStr">
        <is>
          <t>[Nhóm Test]: ■4回目正常系・列分割→行変換確認（明細0件）</t>
        </is>
      </c>
    </row>
    <row r="234">
      <c r="A234" t="inlineStr">
        <is>
          <t xml:space="preserve">  - Tổng số dòng log: 53</t>
        </is>
      </c>
    </row>
    <row r="235">
      <c r="A235" s="2" t="inlineStr">
        <is>
          <t xml:space="preserve">  - Trạng thái Sort (行): ✅ Đã sắp xếp tăng dần hợp lệ.</t>
        </is>
      </c>
    </row>
    <row r="236">
      <c r="A236" t="inlineStr">
        <is>
          <t xml:space="preserve">  - Ngày chạy log: 2026/05/18</t>
        </is>
      </c>
    </row>
    <row r="237">
      <c r="A237" t="inlineStr">
        <is>
          <t xml:space="preserve">  - [Ảnh Status Panel]: Tìm thấy Jobnet ID: 'P1J0229@10229'</t>
        </is>
      </c>
    </row>
    <row r="238">
      <c r="A238" t="inlineStr">
        <is>
          <t xml:space="preserve">  - [Ảnh Status Panel]: Tìm thấy Interface ID: 'RFSH0229'</t>
        </is>
      </c>
    </row>
    <row r="239">
      <c r="A239" s="2" t="inlineStr">
        <is>
          <t xml:space="preserve">      ✅ OK: Interface ID 'RFSH0229' có tồn tại trong tên file Excel.</t>
        </is>
      </c>
    </row>
    <row r="240">
      <c r="A240" t="inlineStr">
        <is>
          <t xml:space="preserve">  - [Ảnh Status Panel]: Tìm thấy giờ bắt đầu là 17:15:20</t>
        </is>
      </c>
    </row>
    <row r="241">
      <c r="A241" s="2" t="inlineStr">
        <is>
          <t xml:space="preserve">      ✅ OK: Thời gian log (17:15:21) &gt;= Thời gian ảnh (17:15:20)</t>
        </is>
      </c>
    </row>
    <row r="242">
      <c r="A242" s="2" t="inlineStr">
        <is>
          <t xml:space="preserve">      ✅ OK: Duration Log Main (648ms) &lt; Duration Ảnh (864ms)</t>
        </is>
      </c>
    </row>
    <row r="243">
      <c r="A243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44">
      <c r="A244" s="2" t="inlineStr">
        <is>
          <t xml:space="preserve">      ✅ OK: Jobnet ID 'P1J0229@10229' khớp với dữ liệu trong Log.</t>
        </is>
      </c>
    </row>
    <row r="245">
      <c r="A245" t="inlineStr">
        <is>
          <t xml:space="preserve">  - [Kiểm tra File]: Log text báo có tạo ra file 'RFSH0229_output.tsv'.</t>
        </is>
      </c>
    </row>
    <row r="246">
      <c r="A246" s="2" t="inlineStr">
        <is>
          <t xml:space="preserve">      ✅ OK: Tên file trong ảnh File Explorer (RFSH0229_output.tsv) KHỚP với tên file trong Log text.</t>
        </is>
      </c>
    </row>
    <row r="247">
      <c r="A247" t="inlineStr">
        <is>
          <t xml:space="preserve">  - [Ảnh File Explorer]: Tìm thấy file 'RFSH0229_output.tsv' có Date modified là '2026/05/18 17:15'</t>
        </is>
      </c>
    </row>
    <row r="248">
      <c r="A248" s="2" t="inlineStr">
        <is>
          <t xml:space="preserve">      ✅ OK: Thời gian xuất file 'RFSH0229_output.tsv' (2026/05/18 17:15) KHỚP với log (2026/05/18 17:15).</t>
        </is>
      </c>
    </row>
    <row r="249">
      <c r="A249" t="inlineStr">
        <is>
          <t xml:space="preserve">  - [Đối chiếu Testcase trong Log]:</t>
        </is>
      </c>
    </row>
    <row r="250">
      <c r="A250" t="inlineStr">
        <is>
          <t xml:space="preserve">  - [Đối chiếu テスト計画書兼結果報告書(個別)]: Tìm thấy 1 dòng (11)</t>
        </is>
      </c>
    </row>
    <row r="251">
      <c r="A251" s="2" t="inlineStr">
        <is>
          <t xml:space="preserve">      + Số lần test (Cột K): ✅ Tất cả 1 dòng đều khớp (Lần 4)</t>
        </is>
      </c>
    </row>
    <row r="252">
      <c r="A252" s="2" t="inlineStr">
        <is>
          <t xml:space="preserve">      + Ngày test (Cột I/G): ✅ Khớp ngày (2026/05/18) cho tất cả các dòng có dữ liệu</t>
        </is>
      </c>
    </row>
    <row r="253">
      <c r="A253" t="inlineStr"/>
    </row>
    <row r="254">
      <c r="A254" s="1" t="inlineStr">
        <is>
          <t>[Nhóm Test]: ■5回目正常系・列分割→行変換確認（明細1件）</t>
        </is>
      </c>
    </row>
    <row r="255">
      <c r="A255" t="inlineStr">
        <is>
          <t xml:space="preserve">  - Tổng số dòng log: 53</t>
        </is>
      </c>
    </row>
    <row r="256">
      <c r="A256" s="2" t="inlineStr">
        <is>
          <t xml:space="preserve">  - Trạng thái Sort (行): ✅ Đã sắp xếp tăng dần hợp lệ.</t>
        </is>
      </c>
    </row>
    <row r="257">
      <c r="A257" t="inlineStr">
        <is>
          <t xml:space="preserve">  - Ngày chạy log: 2026/05/18</t>
        </is>
      </c>
    </row>
    <row r="258">
      <c r="A258" t="inlineStr">
        <is>
          <t xml:space="preserve">  - [Ảnh Status Panel]: Tìm thấy Jobnet ID: 'P1J0229@10229'</t>
        </is>
      </c>
    </row>
    <row r="259">
      <c r="A259" t="inlineStr">
        <is>
          <t xml:space="preserve">  - [Ảnh Status Panel]: Tìm thấy Interface ID: 'RFSH0229'</t>
        </is>
      </c>
    </row>
    <row r="260">
      <c r="A260" s="2" t="inlineStr">
        <is>
          <t xml:space="preserve">      ✅ OK: Interface ID 'RFSH0229' có tồn tại trong tên file Excel.</t>
        </is>
      </c>
    </row>
    <row r="261">
      <c r="A261" t="inlineStr">
        <is>
          <t xml:space="preserve">  - [Ảnh Status Panel]: Tìm thấy giờ bắt đầu là 17:16:51</t>
        </is>
      </c>
    </row>
    <row r="262">
      <c r="A262" s="2" t="inlineStr">
        <is>
          <t xml:space="preserve">      ✅ OK: Thời gian log (17:16:51) &gt;= Thời gian ảnh (17:16:51)</t>
        </is>
      </c>
    </row>
    <row r="263">
      <c r="A263" s="2" t="inlineStr">
        <is>
          <t xml:space="preserve">      ✅ OK: Duration Log Main (389ms) &lt; Duration Ảnh (588ms)</t>
        </is>
      </c>
    </row>
    <row r="264">
      <c r="A264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65">
      <c r="A265" s="2" t="inlineStr">
        <is>
          <t xml:space="preserve">      ✅ OK: Jobnet ID 'P1J0229@10229' khớp với dữ liệu trong Log.</t>
        </is>
      </c>
    </row>
    <row r="266">
      <c r="A266" t="inlineStr">
        <is>
          <t xml:space="preserve">  - [Kiểm tra File]: Log text báo có tạo ra file 'RFSH0229_output.tsv'.</t>
        </is>
      </c>
    </row>
    <row r="267">
      <c r="A267" s="2" t="inlineStr">
        <is>
          <t xml:space="preserve">      ✅ OK: Tên file trong ảnh File Explorer (RFSH0229_output.tsv) KHỚP với tên file trong Log text.</t>
        </is>
      </c>
    </row>
    <row r="268">
      <c r="A268" t="inlineStr">
        <is>
          <t xml:space="preserve">  - [Ảnh File Explorer]: Tìm thấy file 'RFSH0229_output.tsv' có Date modified là '2026/05/18 17:16'</t>
        </is>
      </c>
    </row>
    <row r="269">
      <c r="A269" s="2" t="inlineStr">
        <is>
          <t xml:space="preserve">      ✅ OK: Thời gian xuất file 'RFSH0229_output.tsv' (2026/05/18 17:16) KHỚP với log (2026/05/18 17:16).</t>
        </is>
      </c>
    </row>
    <row r="270">
      <c r="A270" t="inlineStr">
        <is>
          <t xml:space="preserve">  - [Đối chiếu Testcase trong Log]:</t>
        </is>
      </c>
    </row>
    <row r="271">
      <c r="A271" t="inlineStr">
        <is>
          <t xml:space="preserve">  - [Đối chiếu テスト計画書兼結果報告書(個別)]: Tìm thấy 1 dòng (12)</t>
        </is>
      </c>
    </row>
    <row r="272">
      <c r="A272" s="2" t="inlineStr">
        <is>
          <t xml:space="preserve">      + Số lần test (Cột K): ✅ Tất cả 1 dòng đều khớp (Lần 5)</t>
        </is>
      </c>
    </row>
    <row r="273">
      <c r="A273" s="2" t="inlineStr">
        <is>
          <t xml:space="preserve">      + Ngày test (Cột I/G): ✅ Khớp ngày (2026/05/18) cho tất cả các dòng có dữ liệu</t>
        </is>
      </c>
    </row>
    <row r="274">
      <c r="A274" t="inlineStr"/>
    </row>
    <row r="275">
      <c r="A275" s="1" t="inlineStr">
        <is>
          <t>[Nhóm Test]: ■6回目正常系・列分割→行変換確認（明細4件）</t>
        </is>
      </c>
    </row>
    <row r="276">
      <c r="A276" t="inlineStr">
        <is>
          <t xml:space="preserve">  - Tổng số dòng log: 53</t>
        </is>
      </c>
    </row>
    <row r="277">
      <c r="A277" s="2" t="inlineStr">
        <is>
          <t xml:space="preserve">  - Trạng thái Sort (行): ✅ Đã sắp xếp tăng dần hợp lệ.</t>
        </is>
      </c>
    </row>
    <row r="278">
      <c r="A278" t="inlineStr">
        <is>
          <t xml:space="preserve">  - Ngày chạy log: 2026/05/18</t>
        </is>
      </c>
    </row>
    <row r="279">
      <c r="A279" t="inlineStr">
        <is>
          <t xml:space="preserve">  - [Ảnh Status Panel]: Tìm thấy Jobnet ID: 'P1J0229@10229'</t>
        </is>
      </c>
    </row>
    <row r="280">
      <c r="A280" t="inlineStr">
        <is>
          <t xml:space="preserve">  - [Ảnh Status Panel]: Tìm thấy Interface ID: 'RFSH0229'</t>
        </is>
      </c>
    </row>
    <row r="281">
      <c r="A281" s="2" t="inlineStr">
        <is>
          <t xml:space="preserve">      ✅ OK: Interface ID 'RFSH0229' có tồn tại trong tên file Excel.</t>
        </is>
      </c>
    </row>
    <row r="282">
      <c r="A282" t="inlineStr">
        <is>
          <t xml:space="preserve">  - [Ảnh Status Panel]: Tìm thấy giờ bắt đầu là 17:18:30</t>
        </is>
      </c>
    </row>
    <row r="283">
      <c r="A283" s="2" t="inlineStr">
        <is>
          <t xml:space="preserve">      ✅ OK: Thời gian log (17:18:30) &gt;= Thời gian ảnh (17:18:30)</t>
        </is>
      </c>
    </row>
    <row r="284">
      <c r="A284" s="2" t="inlineStr">
        <is>
          <t xml:space="preserve">      ✅ OK: Duration Log Main (432ms) &lt; Duration Ảnh (617ms)</t>
        </is>
      </c>
    </row>
    <row r="285">
      <c r="A285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86">
      <c r="A286" s="2" t="inlineStr">
        <is>
          <t xml:space="preserve">      ✅ OK: Jobnet ID 'P1J0229@10229' khớp với dữ liệu trong Log.</t>
        </is>
      </c>
    </row>
    <row r="287">
      <c r="A287" t="inlineStr">
        <is>
          <t xml:space="preserve">  - [Kiểm tra File]: Log text báo có tạo ra file 'RFSH0229_output.tsv'.</t>
        </is>
      </c>
    </row>
    <row r="288">
      <c r="A288" s="2" t="inlineStr">
        <is>
          <t xml:space="preserve">      ✅ OK: Tên file trong ảnh File Explorer (RFSH0229_output.tsv) KHỚP với tên file trong Log text.</t>
        </is>
      </c>
    </row>
    <row r="289">
      <c r="A289" t="inlineStr">
        <is>
          <t xml:space="preserve">  - [Ảnh File Explorer]: Tìm thấy file 'RFSH0229_output.tsv' có Date modified là '2026/05/18 17:18'</t>
        </is>
      </c>
    </row>
    <row r="290">
      <c r="A290" s="2" t="inlineStr">
        <is>
          <t xml:space="preserve">      ✅ OK: Thời gian xuất file 'RFSH0229_output.tsv' (2026/05/18 17:18) KHỚP với log (2026/05/18 17:18).</t>
        </is>
      </c>
    </row>
    <row r="291">
      <c r="A291" t="inlineStr">
        <is>
          <t xml:space="preserve">  - [Đối chiếu Testcase trong Log]:</t>
        </is>
      </c>
    </row>
    <row r="292">
      <c r="A292" t="inlineStr">
        <is>
          <t xml:space="preserve">  - [Đối chiếu テスト計画書兼結果報告書(個別)]: Tìm thấy 1 dòng (14)</t>
        </is>
      </c>
    </row>
    <row r="293">
      <c r="A293" s="2" t="inlineStr">
        <is>
          <t xml:space="preserve">      + Số lần test (Cột K): ✅ Tất cả 1 dòng đều khớp (Lần 6)</t>
        </is>
      </c>
    </row>
    <row r="294">
      <c r="A294" s="2" t="inlineStr">
        <is>
          <t xml:space="preserve">      + Ngày test (Cột I/G): ✅ Khớp ngày (2026/05/18) cho tất cả các dòng có dữ liệu</t>
        </is>
      </c>
    </row>
    <row r="295">
      <c r="A295" t="inlineStr"/>
    </row>
    <row r="296">
      <c r="A296" s="1" t="inlineStr">
        <is>
          <t>[Nhóm Test]: ■7回目正常系・列分割→行変換確認（明細8件）</t>
        </is>
      </c>
    </row>
    <row r="297">
      <c r="A297" t="inlineStr">
        <is>
          <t xml:space="preserve">  - Tổng số dòng log: 53</t>
        </is>
      </c>
    </row>
    <row r="298">
      <c r="A298" s="2" t="inlineStr">
        <is>
          <t xml:space="preserve">  - Trạng thái Sort (行): ✅ Đã sắp xếp tăng dần hợp lệ.</t>
        </is>
      </c>
    </row>
    <row r="299">
      <c r="A299" t="inlineStr">
        <is>
          <t xml:space="preserve">  - Ngày chạy log: 2026/05/18</t>
        </is>
      </c>
    </row>
    <row r="300">
      <c r="A300" t="inlineStr">
        <is>
          <t xml:space="preserve">  - [Ảnh Status Panel]: Tìm thấy Jobnet ID: 'P1J0229@10229'</t>
        </is>
      </c>
    </row>
    <row r="301">
      <c r="A301" t="inlineStr">
        <is>
          <t xml:space="preserve">  - [Ảnh Status Panel]: Tìm thấy Interface ID: 'RFSH0229'</t>
        </is>
      </c>
    </row>
    <row r="302">
      <c r="A302" s="2" t="inlineStr">
        <is>
          <t xml:space="preserve">      ✅ OK: Interface ID 'RFSH0229' có tồn tại trong tên file Excel.</t>
        </is>
      </c>
    </row>
    <row r="303">
      <c r="A303" t="inlineStr">
        <is>
          <t xml:space="preserve">  - [Ảnh Status Panel]: Tìm thấy giờ bắt đầu là 17:21:11</t>
        </is>
      </c>
    </row>
    <row r="304">
      <c r="A304" s="2" t="inlineStr">
        <is>
          <t xml:space="preserve">      ✅ OK: Thời gian log (17:21:11) &gt;= Thời gian ảnh (17:21:11)</t>
        </is>
      </c>
    </row>
    <row r="305">
      <c r="A305" s="2" t="inlineStr">
        <is>
          <t xml:space="preserve">      ✅ OK: Duration Log Main (657ms) &lt; Duration Ảnh (862ms)</t>
        </is>
      </c>
    </row>
    <row r="306">
      <c r="A306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307">
      <c r="A307" s="2" t="inlineStr">
        <is>
          <t xml:space="preserve">      ✅ OK: Jobnet ID 'P1J0229@10229' khớp với dữ liệu trong Log.</t>
        </is>
      </c>
    </row>
    <row r="308">
      <c r="A308" t="inlineStr">
        <is>
          <t xml:space="preserve">  - [Kiểm tra File]: Log text báo có tạo ra file 'RFSH0229_output.tsv'.</t>
        </is>
      </c>
    </row>
    <row r="309">
      <c r="A309" s="2" t="inlineStr">
        <is>
          <t xml:space="preserve">      ✅ OK: Tên file trong ảnh File Explorer (RFSH0229_output.tsv) KHỚP với tên file trong Log text.</t>
        </is>
      </c>
    </row>
    <row r="310">
      <c r="A310" t="inlineStr">
        <is>
          <t xml:space="preserve">  - [Ảnh File Explorer]: Tìm thấy file 'RFSH0229_output.tsv' có Date modified là '2026/05/18 17:21'</t>
        </is>
      </c>
    </row>
    <row r="311">
      <c r="A311" s="2" t="inlineStr">
        <is>
          <t xml:space="preserve">      ✅ OK: Thời gian xuất file 'RFSH0229_output.tsv' (2026/05/18 17:21) KHỚP với log (2026/05/18 17:21).</t>
        </is>
      </c>
    </row>
    <row r="312">
      <c r="A312" t="inlineStr">
        <is>
          <t xml:space="preserve">  - [Đối chiếu Testcase trong Log]:</t>
        </is>
      </c>
    </row>
    <row r="313">
      <c r="A313" s="3" t="inlineStr">
        <is>
          <t xml:space="preserve">      ⚠️ CẢNH BÁO: Phát hiện testcase không có trong kế hoạch cho nhóm này: 7252-4746-9907</t>
        </is>
      </c>
    </row>
    <row r="314">
      <c r="A314" t="inlineStr">
        <is>
          <t xml:space="preserve">  - [Đối chiếu テスト計画書兼結果報告書(個別)]: Tìm thấy 1 dòng (13)</t>
        </is>
      </c>
    </row>
    <row r="315">
      <c r="A315" s="2" t="inlineStr">
        <is>
          <t xml:space="preserve">      + Số lần test (Cột K): ✅ Tất cả 1 dòng đều khớp (Lần 7)</t>
        </is>
      </c>
    </row>
    <row r="316">
      <c r="A316" s="2" t="inlineStr">
        <is>
          <t xml:space="preserve">      + Ngày test (Cột I/G): ✅ Khớp ngày (2026/05/18) cho tất cả các dòng có dữ liệu</t>
        </is>
      </c>
    </row>
    <row r="317">
      <c r="A317" t="inlineStr"/>
    </row>
    <row r="318">
      <c r="A318" s="1" t="inlineStr">
        <is>
          <t>[Nhóm Test]: ■8回目正常系・列分割→行変換確認（レコードが複数件あり）</t>
        </is>
      </c>
    </row>
    <row r="319">
      <c r="A319" t="inlineStr">
        <is>
          <t xml:space="preserve">  - Tổng số dòng log: 53</t>
        </is>
      </c>
    </row>
    <row r="320">
      <c r="A320" s="2" t="inlineStr">
        <is>
          <t xml:space="preserve">  - Trạng thái Sort (行): ✅ Đã sắp xếp tăng dần hợp lệ.</t>
        </is>
      </c>
    </row>
    <row r="321">
      <c r="A321" t="inlineStr">
        <is>
          <t xml:space="preserve">  - Ngày chạy log: 2026/05/18</t>
        </is>
      </c>
    </row>
    <row r="322">
      <c r="A322" t="inlineStr">
        <is>
          <t xml:space="preserve">  - [Ảnh Status Panel]: Tìm thấy Jobnet ID: 'P1J0229@10229'</t>
        </is>
      </c>
    </row>
    <row r="323">
      <c r="A323" t="inlineStr">
        <is>
          <t xml:space="preserve">  - [Ảnh Status Panel]: Tìm thấy Interface ID: 'RFSH0229'</t>
        </is>
      </c>
    </row>
    <row r="324">
      <c r="A324" s="2" t="inlineStr">
        <is>
          <t xml:space="preserve">      ✅ OK: Interface ID 'RFSH0229' có tồn tại trong tên file Excel.</t>
        </is>
      </c>
    </row>
    <row r="325">
      <c r="A325" t="inlineStr">
        <is>
          <t xml:space="preserve">  - [Ảnh Status Panel]: Tìm thấy giờ bắt đầu là 17:23:46</t>
        </is>
      </c>
    </row>
    <row r="326">
      <c r="A326" s="2" t="inlineStr">
        <is>
          <t xml:space="preserve">      ✅ OK: Thời gian log (17:23:46) &gt;= Thời gian ảnh (17:23:46)</t>
        </is>
      </c>
    </row>
    <row r="327">
      <c r="A327" s="2" t="inlineStr">
        <is>
          <t xml:space="preserve">      ✅ OK: Duration Log Main (464ms) &lt; Duration Ảnh (657ms)</t>
        </is>
      </c>
    </row>
    <row r="328">
      <c r="A328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329">
      <c r="A329" s="2" t="inlineStr">
        <is>
          <t xml:space="preserve">      ✅ OK: Jobnet ID 'P1J0229@10229' khớp với dữ liệu trong Log.</t>
        </is>
      </c>
    </row>
    <row r="330">
      <c r="A330" t="inlineStr">
        <is>
          <t xml:space="preserve">  - [Kiểm tra File]: Log text báo có tạo ra file 'RFSH0229_output.tsv'.</t>
        </is>
      </c>
    </row>
    <row r="331">
      <c r="A331" s="2" t="inlineStr">
        <is>
          <t xml:space="preserve">      ✅ OK: Tên file trong ảnh File Explorer (RFSH0229_output.tsv) KHỚP với tên file trong Log text.</t>
        </is>
      </c>
    </row>
    <row r="332">
      <c r="A332" t="inlineStr">
        <is>
          <t xml:space="preserve">  - [Ảnh File Explorer]: Tìm thấy file 'RFSH0229_output.tsv' có Date modified là '2026/05/18 17:23'</t>
        </is>
      </c>
    </row>
    <row r="333">
      <c r="A333" s="2" t="inlineStr">
        <is>
          <t xml:space="preserve">      ✅ OK: Thời gian xuất file 'RFSH0229_output.tsv' (2026/05/18 17:23) KHỚP với log (2026/05/18 17:23).</t>
        </is>
      </c>
    </row>
    <row r="334">
      <c r="A334" t="inlineStr">
        <is>
          <t xml:space="preserve">  - [Đối chiếu Testcase trong Log]:</t>
        </is>
      </c>
    </row>
    <row r="335">
      <c r="A335" t="inlineStr">
        <is>
          <t xml:space="preserve">  - [Đối chiếu テスト計画書兼結果報告書(個別)]: Tìm thấy 1 dòng (15)</t>
        </is>
      </c>
    </row>
    <row r="336">
      <c r="A336" s="2" t="inlineStr">
        <is>
          <t xml:space="preserve">      + Số lần test (Cột K): ✅ Tất cả 1 dòng đều khớp (Lần 8)</t>
        </is>
      </c>
    </row>
    <row r="337">
      <c r="A337" s="2" t="inlineStr">
        <is>
          <t xml:space="preserve">      + Ngày test (Cột I/G): ✅ Khớp ngày (2026/05/18) cho tất cả các dòng có dữ liệu</t>
        </is>
      </c>
    </row>
    <row r="338">
      <c r="A338" t="inlineStr"/>
    </row>
    <row r="339">
      <c r="A339" s="1">
        <f>=============== TỔNG KẾT COVERAGE CHO SHEET エビデンス(共通) ================</f>
        <v/>
      </c>
    </row>
    <row r="340">
      <c r="A340" s="2" t="inlineStr">
        <is>
          <t xml:space="preserve">  - ✅ Nhóm 1 (gồm TC: 1-1-1, 1-2-1, 2-1-1, 2-2-1, 3-1-1, 3-2-1, 4-1-1, 4-2-1, 5-1-1, 5-3-1, 5-4-1, 6-1-1, 7-1-1): Đã có Log Evidence.</t>
        </is>
      </c>
    </row>
    <row r="341">
      <c r="A341" s="2" t="inlineStr">
        <is>
          <t xml:space="preserve">  - ✅ Nhóm 2 (gồm TC: 1-2-2, 2-2-2): Đã có Log Evidence.</t>
        </is>
      </c>
    </row>
    <row r="342">
      <c r="A342" s="2" t="inlineStr">
        <is>
          <t xml:space="preserve">  - ✅ Nhóm 3 (gồm TC: 3-2-2): Đã có Log Evidence.</t>
        </is>
      </c>
    </row>
    <row r="343">
      <c r="A343" s="2" t="inlineStr">
        <is>
          <t xml:space="preserve">  - ✅ Nhóm 4 (gồm TC: 3-2-3): Đã có Log Evidence.</t>
        </is>
      </c>
    </row>
    <row r="344">
      <c r="A344" s="2" t="inlineStr">
        <is>
          <t xml:space="preserve">  - ✅ Nhóm 5 (gồm TC: 4-1-2, 7-1-2): Đã có Log Evidence.</t>
        </is>
      </c>
    </row>
    <row r="345">
      <c r="A345" s="2" t="inlineStr">
        <is>
          <t xml:space="preserve">  - ✅ Nhóm 6 (gồm TC: 4-2-2): Đã có Log Evidence.</t>
        </is>
      </c>
    </row>
    <row r="346">
      <c r="A346" s="2" t="inlineStr">
        <is>
          <t xml:space="preserve">  - ✅ Nhóm 7 (gồm TC: 4-2-3, 5-2-1): Đã có Log Evidence.</t>
        </is>
      </c>
    </row>
    <row r="347">
      <c r="A347" t="inlineStr">
        <is>
          <t xml:space="preserve">  =&gt; TOÀN BỘ CÁC NHÓM TEST TRONG KẾ HOẠCH ĐỀU ĐÃ CÓ EVIDENCE!</t>
        </is>
      </c>
    </row>
    <row r="348">
      <c r="A348" t="inlineStr"/>
    </row>
    <row r="349">
      <c r="A349" t="inlineStr"/>
    </row>
    <row r="350">
      <c r="A350" s="1">
        <f>=============== TỔNG KẾT COVERAGE CHO SHEET エビデンス(個別) ================</f>
        <v/>
      </c>
    </row>
    <row r="351">
      <c r="A351" s="2" t="inlineStr">
        <is>
          <t xml:space="preserve">  - ✅ Nhóm 1 (gồm TC: 1-1-1): Đã có Log Evidence.</t>
        </is>
      </c>
    </row>
    <row r="352">
      <c r="A352" s="2" t="inlineStr">
        <is>
          <t xml:space="preserve">  - ✅ Nhóm 2 (gồm TC: 1-2-1): Đã có Log Evidence.</t>
        </is>
      </c>
    </row>
    <row r="353">
      <c r="A353" s="2" t="inlineStr">
        <is>
          <t xml:space="preserve">  - ✅ Nhóm 3 (gồm TC: 3-1-1, 3-1-2, 3-1-3, 3-1-4, 3-1-5, 3-1-6, 3-2-1, 3-2-2, 3-2-3, 3-2-4, 3-2-5, 3-2-6): Đã có Log Evidence.</t>
        </is>
      </c>
    </row>
    <row r="354">
      <c r="A354" s="2" t="inlineStr">
        <is>
          <t xml:space="preserve">  - ✅ Nhóm 4 (gồm TC: 2-1-1): Đã có Log Evidence.</t>
        </is>
      </c>
    </row>
    <row r="355">
      <c r="A355" s="2" t="inlineStr">
        <is>
          <t xml:space="preserve">  - ✅ Nhóm 5 (gồm TC: 2-1-2): Đã có Log Evidence.</t>
        </is>
      </c>
    </row>
    <row r="356">
      <c r="A356" s="2" t="inlineStr">
        <is>
          <t xml:space="preserve">  - ✅ Nhóm 6 (gồm TC: 2-1-4): Đã có Log Evidence.</t>
        </is>
      </c>
    </row>
    <row r="357">
      <c r="A357" s="2" t="inlineStr">
        <is>
          <t xml:space="preserve">  - ✅ Nhóm 7 (gồm TC: 2-1-3): Đã có Log Evidence.</t>
        </is>
      </c>
    </row>
    <row r="358">
      <c r="A358" s="2" t="inlineStr">
        <is>
          <t xml:space="preserve">  - ✅ Nhóm 8 (gồm TC: 2-1-5): Đã có Log Evidence.</t>
        </is>
      </c>
    </row>
    <row r="359">
      <c r="A359" t="inlineStr">
        <is>
          <t xml:space="preserve">  =&gt; TOÀN BỘ CÁC NHÓM TEST TRONG KẾ HOẠCH ĐỀU ĐÃ CÓ EVIDENCE!</t>
        </is>
      </c>
    </row>
    <row r="360">
      <c r="A360" t="inlineStr"/>
    </row>
    <row r="361">
      <c r="A36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7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" t="inlineStr">
        <is>
          <t>✅ Đã check xong file '単体テスト仕様書兼成績書_E304_RFSH0229.xlsx'. Nhấn Enter để tiếp tục sang file tiếp theo...</t>
        </is>
      </c>
    </row>
    <row r="2">
      <c r="A2" s="1">
        <f>======================== [8/16] ĐANG XỬ LÝ FILE: 単体テスト仕様書兼成績書_E304_RFSH0239.xlsx =========================</f>
        <v/>
      </c>
    </row>
    <row r="3">
      <c r="A3" t="inlineStr">
        <is>
          <t>Đang đọc dữ liệu từ file: 単体テスト仕様書兼成績書_E304_RFSH0239.xlsx ...</t>
        </is>
      </c>
    </row>
    <row r="4">
      <c r="A4" t="inlineStr"/>
    </row>
    <row r="5">
      <c r="A5" s="1">
        <f>=============== TRẠNG THÁI OCR ================</f>
        <v/>
      </c>
    </row>
    <row r="6">
      <c r="A6" s="2" t="inlineStr">
        <is>
          <t>✅ Đã bật (Sẵn sàng đọc ảnh)</t>
        </is>
      </c>
    </row>
    <row r="7">
      <c r="A7" t="inlineStr"/>
    </row>
    <row r="8">
      <c r="A8" s="1">
        <f>=============== KIỂM TRA TRẠNG THÁI MỞ FILE ================</f>
        <v/>
      </c>
    </row>
    <row r="9">
      <c r="A9" s="2" t="inlineStr">
        <is>
          <t>✅ File đang mở ở sheet đầu tiên '表紙 '.</t>
        </is>
      </c>
    </row>
    <row r="10">
      <c r="A10" s="2" t="inlineStr">
        <is>
          <t>✅ Con trỏ chuột đang nằm ở ô 'A1'.</t>
        </is>
      </c>
    </row>
    <row r="11">
      <c r="A11" t="inlineStr"/>
    </row>
    <row r="12">
      <c r="A12" s="1">
        <f>=============== SHEET: エビデンス(共通) ================</f>
        <v/>
      </c>
    </row>
    <row r="13">
      <c r="A13" t="inlineStr">
        <is>
          <t xml:space="preserve">  -&gt; Tìm thấy 45 ảnh trong sheet này.</t>
        </is>
      </c>
    </row>
    <row r="14">
      <c r="A14" s="1">
        <f>=============== SHEET: エビデンス(個別) ================</f>
        <v/>
      </c>
    </row>
    <row r="15">
      <c r="A15" t="inlineStr">
        <is>
          <t xml:space="preserve">  -&gt; Tìm thấy 40 ảnh trong sheet này.</t>
        </is>
      </c>
    </row>
    <row r="16">
      <c r="A16" t="inlineStr"/>
    </row>
    <row r="17">
      <c r="A17" s="1" t="inlineStr">
        <is>
          <t>[GEMINI MANUAL MODE] ♻️ Đã tìm thấy file JSON kết quả cũ tại:</t>
        </is>
      </c>
    </row>
    <row r="18">
      <c r="A18" t="inlineStr">
        <is>
          <t>D:\project\tool\New folder\Gemini_Upload_単体テスト仕様書兼成績書_E304_RFSH0239\gemini_result.json</t>
        </is>
      </c>
    </row>
    <row r="19">
      <c r="A19">
        <f>&gt; Sử dụng luôn kết quả này, bỏ qua bước xuất ảnh PDF và hỏi lại Gemini.</f>
        <v/>
      </c>
    </row>
    <row r="20">
      <c r="A20" t="inlineStr"/>
    </row>
    <row r="21">
      <c r="A21" s="1">
        <f>=============== ĐANG PHÂN TÍCH KẾT QUẢ SHEET: エビデンス(共通) ================</f>
        <v/>
      </c>
    </row>
    <row r="22">
      <c r="A22" t="inlineStr"/>
    </row>
    <row r="23">
      <c r="A23" s="1" t="inlineStr">
        <is>
          <t>[Kiểm tra Cấu hình Flow - Trước khi Test]:</t>
        </is>
      </c>
    </row>
    <row r="24">
      <c r="A24" s="2" t="inlineStr">
        <is>
          <t xml:space="preserve">  - [Ảnh Flow]: ✅ Tìm thấy P_JobnetID: 'P1J0239@10239'</t>
        </is>
      </c>
    </row>
    <row r="25">
      <c r="A25" s="2" t="inlineStr">
        <is>
          <t xml:space="preserve">      ✅ OK: P_JobnetID 'P1J0239@10239' có chứa mã '0239' của file.</t>
        </is>
      </c>
    </row>
    <row r="26">
      <c r="A26" s="2" t="inlineStr">
        <is>
          <t xml:space="preserve">  - [Ảnh Flow]: ✅ Tìm thấy P_InterfaceID: 'RFSH0239'</t>
        </is>
      </c>
    </row>
    <row r="27">
      <c r="A27" s="2" t="inlineStr">
        <is>
          <t xml:space="preserve">      ✅ OK: P_InterfaceID 'RFSH0239' có chứa mã '0239' của file.</t>
        </is>
      </c>
    </row>
    <row r="28">
      <c r="A28" t="inlineStr"/>
    </row>
    <row r="29">
      <c r="A29" s="1" t="inlineStr">
        <is>
          <t>[Nhóm Test]: ■1回目 正常系・1000件未満・ファイル送信前結合有無=false</t>
        </is>
      </c>
    </row>
    <row r="30">
      <c r="A30" t="inlineStr">
        <is>
          <t xml:space="preserve">  - Tổng số dòng log: 53</t>
        </is>
      </c>
    </row>
    <row r="31">
      <c r="A31" s="2" t="inlineStr">
        <is>
          <t xml:space="preserve">  - Trạng thái Sort (行): ✅ Đã sắp xếp tăng dần hợp lệ.</t>
        </is>
      </c>
    </row>
    <row r="32">
      <c r="A32" t="inlineStr">
        <is>
          <t xml:space="preserve">  - Ngày chạy log: 2026/05/18</t>
        </is>
      </c>
    </row>
    <row r="33">
      <c r="A33" t="inlineStr">
        <is>
          <t xml:space="preserve">  - [Ảnh Status Panel]: Tìm thấy Jobnet ID: 'P1J0239@10239'</t>
        </is>
      </c>
    </row>
    <row r="34">
      <c r="A34" t="inlineStr">
        <is>
          <t xml:space="preserve">  - [Ảnh Status Panel]: Tìm thấy Interface ID: 'RFSH0239'</t>
        </is>
      </c>
    </row>
    <row r="35">
      <c r="A35" s="2" t="inlineStr">
        <is>
          <t xml:space="preserve">      ✅ OK: Interface ID 'RFSH0239' có tồn tại trong tên file Excel.</t>
        </is>
      </c>
    </row>
    <row r="36">
      <c r="A36" t="inlineStr">
        <is>
          <t xml:space="preserve">  - [Ảnh Status Panel]: Tìm thấy giờ bắt đầu là 18:35:51</t>
        </is>
      </c>
    </row>
    <row r="37">
      <c r="A37" s="2" t="inlineStr">
        <is>
          <t xml:space="preserve">      ✅ OK: Thời gian log (18:35:51) &gt;= Thời gian ảnh (18:35:51)</t>
        </is>
      </c>
    </row>
    <row r="38">
      <c r="A38" s="2" t="inlineStr">
        <is>
          <t xml:space="preserve">      ✅ OK: Duration Log Main (318ms) &lt; Duration Ảnh (506ms)</t>
        </is>
      </c>
    </row>
    <row r="39">
      <c r="A39" t="inlineStr">
        <is>
          <t xml:space="preserve">  - [Ảnh Log Viewer]: Tìm thấy thời gian kết thúc trong ảnh log là '18:35:52'</t>
        </is>
      </c>
    </row>
    <row r="40">
      <c r="A40" s="2" t="inlineStr">
        <is>
          <t xml:space="preserve">      ✅ OK: Giờ kết thúc trong ảnh Log (18:35:52) KHỚP với log text (18:35:52).</t>
        </is>
      </c>
    </row>
    <row r="41">
      <c r="A41" s="2" t="inlineStr">
        <is>
          <t xml:space="preserve">      ✅ OK: Giờ ảnh Log (18:35:52) &gt;= Giờ bắt đầu (18:35:51).</t>
        </is>
      </c>
    </row>
    <row r="42">
      <c r="A42" s="2" t="inlineStr">
        <is>
          <t xml:space="preserve">      ✅ OK: Jobnet ID 'P1J0239@10239' khớp với dữ liệu trong Log.</t>
        </is>
      </c>
    </row>
    <row r="43">
      <c r="A43" t="inlineStr">
        <is>
          <t xml:space="preserve">  - [Kiểm tra File]: Log text báo có tạo ra file 'RFSH0239_output.tsv'.</t>
        </is>
      </c>
    </row>
    <row r="44">
      <c r="A44" s="2" t="inlineStr">
        <is>
          <t xml:space="preserve">      ✅ OK: Tên file trong ảnh File Explorer (RFSH0239_output.tsv) KHỚP với tên file trong Log text.</t>
        </is>
      </c>
    </row>
    <row r="45">
      <c r="A45" t="inlineStr">
        <is>
          <t xml:space="preserve">  - [Ảnh File Explorer]: Tìm thấy file 'RFSH0239_output.tsv' có Date modified là '2026/05/18 18:35'</t>
        </is>
      </c>
    </row>
    <row r="46">
      <c r="A46" s="2" t="inlineStr">
        <is>
          <t xml:space="preserve">      ✅ OK: Thời gian xuất file 'RFSH0239_output.tsv' (2026/05/18 18:35) KHỚP với log (2026/05/18 18:35).</t>
        </is>
      </c>
    </row>
    <row r="47">
      <c r="A47" t="inlineStr">
        <is>
          <t xml:space="preserve">  - [Đối chiếu Testcase trong Log]:</t>
        </is>
      </c>
    </row>
    <row r="48">
      <c r="A48" t="inlineStr">
        <is>
          <t xml:space="preserve">  - [Đối chiếu テスト計画書兼結果報告書(共通)]: Tìm thấy 13 dòng (6, 8, 12, 14, 18, 20, 25, 28, 33, 37, 39, 42, 45)</t>
        </is>
      </c>
    </row>
    <row r="49">
      <c r="A49" s="2" t="inlineStr">
        <is>
          <t xml:space="preserve">      + Số lần test (Cột K): ✅ Tất cả 13 dòng đều khớp (Lần 1)</t>
        </is>
      </c>
    </row>
    <row r="50">
      <c r="A50" s="2" t="inlineStr">
        <is>
          <t xml:space="preserve">      + Ngày test (Cột I/G): ✅ Khớp ngày (2026/05/18) cho tất cả các dòng có dữ liệu</t>
        </is>
      </c>
    </row>
    <row r="51">
      <c r="A51" t="inlineStr"/>
    </row>
    <row r="52">
      <c r="A52" s="1" t="inlineStr">
        <is>
          <t>[Nhóm Test]: ■2回目 異常系・起動パラメータ不正</t>
        </is>
      </c>
    </row>
    <row r="53">
      <c r="A53" t="inlineStr">
        <is>
          <t xml:space="preserve">  - Tổng số dòng log: 23</t>
        </is>
      </c>
    </row>
    <row r="54">
      <c r="A54" s="2" t="inlineStr">
        <is>
          <t xml:space="preserve">  - Trạng thái Sort (行): ✅ Đã sắp xếp tăng dần hợp lệ.</t>
        </is>
      </c>
    </row>
    <row r="55">
      <c r="A55" t="inlineStr">
        <is>
          <t xml:space="preserve">  - Ngày chạy log: 2026/05/18</t>
        </is>
      </c>
    </row>
    <row r="56">
      <c r="A56" t="inlineStr">
        <is>
          <t xml:space="preserve">  - [Ảnh Status Panel]: Tìm thấy Jobnet ID: ''</t>
        </is>
      </c>
    </row>
    <row r="57">
      <c r="A57" t="inlineStr">
        <is>
          <t xml:space="preserve">  - [Ảnh Status Panel]: Tìm thấy Interface ID: ''</t>
        </is>
      </c>
    </row>
    <row r="58">
      <c r="A58" s="3" t="inlineStr">
        <is>
          <t xml:space="preserve">      ⚠️ Interface ID là chuỗi rỗng nên bỏ qua kiểm tra với tên file.</t>
        </is>
      </c>
    </row>
    <row r="59">
      <c r="A59" t="inlineStr">
        <is>
          <t xml:space="preserve">  - [Ảnh Status Panel]: Tìm thấy giờ bắt đầu là 18:40:21</t>
        </is>
      </c>
    </row>
    <row r="60">
      <c r="A60" s="2" t="inlineStr">
        <is>
          <t xml:space="preserve">      ✅ OK: Thời gian log (18:40:21) &gt;= Thời gian ảnh (18:40:21)</t>
        </is>
      </c>
    </row>
    <row r="61">
      <c r="A61" s="2" t="inlineStr">
        <is>
          <t xml:space="preserve">      ✅ OK: Duration Log Main (60ms) &lt; Duration Ảnh (293ms)</t>
        </is>
      </c>
    </row>
    <row r="62">
      <c r="A62" t="inlineStr">
        <is>
          <t xml:space="preserve">  - [Ảnh Log Viewer]: Tìm thấy thời gian kết thúc trong ảnh log là '18:40:21'</t>
        </is>
      </c>
    </row>
    <row r="63">
      <c r="A63" s="2" t="inlineStr">
        <is>
          <t xml:space="preserve">      ✅ OK: Giờ kết thúc trong ảnh Log (18:40:21) KHỚP với log text (18:40:21).</t>
        </is>
      </c>
    </row>
    <row r="64">
      <c r="A64" s="2" t="inlineStr">
        <is>
          <t xml:space="preserve">      ✅ OK: Giờ ảnh Log (18:40:21) &gt;= Giờ bắt đầu (18:40:21).</t>
        </is>
      </c>
    </row>
    <row r="65">
      <c r="A65" s="2" t="inlineStr">
        <is>
          <t xml:space="preserve">      ✅ OK: Jobnet ID '' khớp với dữ liệu trong Log.</t>
        </is>
      </c>
    </row>
    <row r="66">
      <c r="A66" t="inlineStr">
        <is>
          <t xml:space="preserve">  - [Đối chiếu Testcase trong Log]:</t>
        </is>
      </c>
    </row>
    <row r="67">
      <c r="A67" t="inlineStr">
        <is>
          <t xml:space="preserve">  - [Đối chiếu テスト計画書兼結果報告書(共通)]: Tìm thấy 2 dòng (9, 15)</t>
        </is>
      </c>
    </row>
    <row r="68">
      <c r="A68" s="2" t="inlineStr">
        <is>
          <t xml:space="preserve">      + Số lần test (Cột K): ✅ Tất cả 2 dòng đều khớp (Lần 2)</t>
        </is>
      </c>
    </row>
    <row r="69">
      <c r="A69" s="2" t="inlineStr">
        <is>
          <t xml:space="preserve">      + Ngày test (Cột I/G): ✅ Khớp ngày (2026/05/18) cho tất cả các dòng có dữ liệu</t>
        </is>
      </c>
    </row>
    <row r="70">
      <c r="A70" t="inlineStr"/>
    </row>
    <row r="71">
      <c r="A71" s="1" t="inlineStr">
        <is>
          <t>[Nhóm Test]: ■3回目 正常系・ファイル送信前結合有無=true</t>
        </is>
      </c>
    </row>
    <row r="72">
      <c r="A72" t="inlineStr">
        <is>
          <t xml:space="preserve">  - Tổng số dòng log: 65</t>
        </is>
      </c>
    </row>
    <row r="73">
      <c r="A73" s="2" t="inlineStr">
        <is>
          <t xml:space="preserve">  - Trạng thái Sort (行): ✅ Đã sắp xếp tăng dần hợp lệ.</t>
        </is>
      </c>
    </row>
    <row r="74">
      <c r="A74" t="inlineStr">
        <is>
          <t xml:space="preserve">  - Ngày chạy log: 2026/05/18</t>
        </is>
      </c>
    </row>
    <row r="75">
      <c r="A75" t="inlineStr">
        <is>
          <t xml:space="preserve">  - [Ảnh Status Panel]: Tìm thấy Jobnet ID: ''</t>
        </is>
      </c>
    </row>
    <row r="76">
      <c r="A76" t="inlineStr">
        <is>
          <t xml:space="preserve">  - [Ảnh Status Panel]: Tìm thấy Interface ID: ''</t>
        </is>
      </c>
    </row>
    <row r="77">
      <c r="A77" s="3" t="inlineStr">
        <is>
          <t xml:space="preserve">      ⚠️ Interface ID là chuỗi rỗng nên bỏ qua kiểm tra với tên file.</t>
        </is>
      </c>
    </row>
    <row r="78">
      <c r="A78" t="inlineStr">
        <is>
          <t xml:space="preserve">  - [Ảnh Status Panel]: Tìm thấy giờ bắt đầu là 18:45:01</t>
        </is>
      </c>
    </row>
    <row r="79">
      <c r="A79" s="2" t="inlineStr">
        <is>
          <t xml:space="preserve">      ✅ OK: Thời gian log (18:45:01) &gt;= Thời gian ảnh (18:45:01)</t>
        </is>
      </c>
    </row>
    <row r="80">
      <c r="A80" s="2" t="inlineStr">
        <is>
          <t xml:space="preserve">      ✅ OK: Duration Log Main (315ms) &lt; Duration Ảnh (506ms)</t>
        </is>
      </c>
    </row>
    <row r="81">
      <c r="A81" t="inlineStr">
        <is>
          <t xml:space="preserve">  - [Ảnh Log Viewer]: Tìm thấy thời gian kết thúc trong ảnh log là '18:45:01'</t>
        </is>
      </c>
    </row>
    <row r="82">
      <c r="A82" s="2" t="inlineStr">
        <is>
          <t xml:space="preserve">      ✅ OK: Giờ kết thúc trong ảnh Log (18:45:01) KHỚP với log text (18:45:01).</t>
        </is>
      </c>
    </row>
    <row r="83">
      <c r="A83" s="2" t="inlineStr">
        <is>
          <t xml:space="preserve">      ✅ OK: Giờ ảnh Log (18:45:01) &gt;= Giờ bắt đầu (18:45:01).</t>
        </is>
      </c>
    </row>
    <row r="84">
      <c r="A84" s="4" t="inlineStr">
        <is>
          <t xml:space="preserve">      ❌ LỖI: Jobnet ID trong ảnh là '', nhưng trong Log là 'P1J0239'.</t>
        </is>
      </c>
    </row>
    <row r="85">
      <c r="A85" t="inlineStr">
        <is>
          <t xml:space="preserve">  - [Kiểm tra File]: Log text báo có tạo ra file 'RFSH0239_output.tsv'.</t>
        </is>
      </c>
    </row>
    <row r="86">
      <c r="A86" s="2" t="inlineStr">
        <is>
          <t xml:space="preserve">      ✅ OK: Tên file trong ảnh File Explorer (RFSH0239_output.tsv) KHỚP với tên file trong Log text.</t>
        </is>
      </c>
    </row>
    <row r="87">
      <c r="A87" t="inlineStr">
        <is>
          <t xml:space="preserve">  - [Ảnh File Explorer]: Tìm thấy file 'RFSH0239_output.tsv' có Date modified là '2026/05/18 18:45'</t>
        </is>
      </c>
    </row>
    <row r="88">
      <c r="A88" s="2" t="inlineStr">
        <is>
          <t xml:space="preserve">      ✅ OK: Thời gian xuất file 'RFSH0239_output.tsv' (2026/05/18 18:45) KHỚP với log (2026/05/18 18:45).</t>
        </is>
      </c>
    </row>
    <row r="89">
      <c r="A89" t="inlineStr">
        <is>
          <t xml:space="preserve">  - [Đối chiếu Testcase trong Log]:</t>
        </is>
      </c>
    </row>
    <row r="90">
      <c r="A90" t="inlineStr">
        <is>
          <t xml:space="preserve">  - [Đối chiếu テスト計画書兼結果報告書(共通)]: Tìm thấy 1 dòng (21)</t>
        </is>
      </c>
    </row>
    <row r="91">
      <c r="A91" s="2" t="inlineStr">
        <is>
          <t xml:space="preserve">      + Số lần test (Cột K): ✅ Tất cả 1 dòng đều khớp (Lần 3)</t>
        </is>
      </c>
    </row>
    <row r="92">
      <c r="A92" s="2" t="inlineStr">
        <is>
          <t xml:space="preserve">      + Ngày test (Cột I/G): ✅ Khớp ngày (2026/05/18) cho tất cả các dòng có dữ liệu</t>
        </is>
      </c>
    </row>
    <row r="93">
      <c r="A93" t="inlineStr"/>
    </row>
    <row r="94">
      <c r="A94" s="1" t="inlineStr">
        <is>
          <t>[Nhóm Test]: ■4回目 異常系・すでにファイルが存在する場合</t>
        </is>
      </c>
    </row>
    <row r="95">
      <c r="A95" t="inlineStr">
        <is>
          <t xml:space="preserve">  - Tổng số dòng log: 55</t>
        </is>
      </c>
    </row>
    <row r="96">
      <c r="A96" s="2" t="inlineStr">
        <is>
          <t xml:space="preserve">  - Trạng thái Sort (行): ✅ Đã sắp xếp tăng dần hợp lệ.</t>
        </is>
      </c>
    </row>
    <row r="97">
      <c r="A97" t="inlineStr">
        <is>
          <t xml:space="preserve">  - Ngày chạy log: 2026/05/18</t>
        </is>
      </c>
    </row>
    <row r="98">
      <c r="A98" t="inlineStr">
        <is>
          <t xml:space="preserve">  - [Ảnh Status Panel]: Tìm thấy Jobnet ID: ''</t>
        </is>
      </c>
    </row>
    <row r="99">
      <c r="A99" t="inlineStr">
        <is>
          <t xml:space="preserve">  - [Ảnh Status Panel]: Tìm thấy Interface ID: ''</t>
        </is>
      </c>
    </row>
    <row r="100">
      <c r="A100" s="3" t="inlineStr">
        <is>
          <t xml:space="preserve">      ⚠️ Interface ID là chuỗi rỗng nên bỏ qua kiểm tra với tên file.</t>
        </is>
      </c>
    </row>
    <row r="101">
      <c r="A101" t="inlineStr">
        <is>
          <t xml:space="preserve">  - [Ảnh Status Panel]: Tìm thấy giờ bắt đầu là 18:47:10</t>
        </is>
      </c>
    </row>
    <row r="102">
      <c r="A102" s="2" t="inlineStr">
        <is>
          <t xml:space="preserve">      ✅ OK: Thời gian log (18:47:10) &gt;= Thời gian ảnh (18:47:10)</t>
        </is>
      </c>
    </row>
    <row r="103">
      <c r="A103" s="2" t="inlineStr">
        <is>
          <t xml:space="preserve">      ✅ OK: Duration Log Main (325ms) &lt; Duration Ảnh (516ms)</t>
        </is>
      </c>
    </row>
    <row r="104">
      <c r="A104" t="inlineStr">
        <is>
          <t xml:space="preserve">  - [Ảnh Log Viewer]: Tìm thấy thời gian kết thúc trong ảnh log là '18:47:11'</t>
        </is>
      </c>
    </row>
    <row r="105">
      <c r="A105" s="2" t="inlineStr">
        <is>
          <t xml:space="preserve">      ✅ OK: Giờ kết thúc trong ảnh Log (18:47:11) KHỚP với log text (18:47:11).</t>
        </is>
      </c>
    </row>
    <row r="106">
      <c r="A106" s="2" t="inlineStr">
        <is>
          <t xml:space="preserve">      ✅ OK: Giờ ảnh Log (18:47:11) &gt;= Giờ bắt đầu (18:47:10).</t>
        </is>
      </c>
    </row>
    <row r="107">
      <c r="A107" s="4" t="inlineStr">
        <is>
          <t xml:space="preserve">      ❌ LỖI: Jobnet ID trong ảnh là '', nhưng trong Log là 'P1J0239'.</t>
        </is>
      </c>
    </row>
    <row r="108">
      <c r="A108" t="inlineStr">
        <is>
          <t xml:space="preserve">  - [Đối chiếu Testcase trong Log]:</t>
        </is>
      </c>
    </row>
    <row r="109">
      <c r="A109" t="inlineStr">
        <is>
          <t xml:space="preserve">  - [Đối chiếu テスト計画書兼結果報告書(共通)]: Tìm thấy 1 dòng (22)</t>
        </is>
      </c>
    </row>
    <row r="110">
      <c r="A110" s="2" t="inlineStr">
        <is>
          <t xml:space="preserve">      + Số lần test (Cột K): ✅ Tất cả 1 dòng đều khớp (Lần 4)</t>
        </is>
      </c>
    </row>
    <row r="111">
      <c r="A111" s="2" t="inlineStr">
        <is>
          <t xml:space="preserve">      + Ngày test (Cột I/G): ✅ Khớp ngày (2026/05/18) cho tất cả các dòng có dữ liệu</t>
        </is>
      </c>
    </row>
    <row r="112">
      <c r="A112" t="inlineStr"/>
    </row>
    <row r="113">
      <c r="A113" s="1" t="inlineStr">
        <is>
          <t>[Nhóm Test]: ■5回目 正常系・0byteファイル</t>
        </is>
      </c>
    </row>
    <row r="114">
      <c r="A114" t="inlineStr">
        <is>
          <t xml:space="preserve">  - Tổng số dòng log: 61</t>
        </is>
      </c>
    </row>
    <row r="115">
      <c r="A115" s="2" t="inlineStr">
        <is>
          <t xml:space="preserve">  - Trạng thái Sort (行): ✅ Đã sắp xếp tăng dần hợp lệ.</t>
        </is>
      </c>
    </row>
    <row r="116">
      <c r="A116" t="inlineStr">
        <is>
          <t xml:space="preserve">  - Ngày chạy log: 2026/05/18</t>
        </is>
      </c>
    </row>
    <row r="117">
      <c r="A117" t="inlineStr">
        <is>
          <t xml:space="preserve">  - [Ảnh Status Panel]: Tìm thấy Jobnet ID: ''</t>
        </is>
      </c>
    </row>
    <row r="118">
      <c r="A118" t="inlineStr">
        <is>
          <t xml:space="preserve">  - [Ảnh Status Panel]: Tìm thấy Interface ID: ''</t>
        </is>
      </c>
    </row>
    <row r="119">
      <c r="A119" s="3" t="inlineStr">
        <is>
          <t xml:space="preserve">      ⚠️ Interface ID là chuỗi rỗng nên bỏ qua kiểm tra với tên file.</t>
        </is>
      </c>
    </row>
    <row r="120">
      <c r="A120" t="inlineStr">
        <is>
          <t xml:space="preserve">  - [Ảnh Status Panel]: Tìm thấy giờ bắt đầu là 18:51:01</t>
        </is>
      </c>
    </row>
    <row r="121">
      <c r="A121" s="2" t="inlineStr">
        <is>
          <t xml:space="preserve">      ✅ OK: Thời gian log (18:51:02) &gt;= Thời gian ảnh (18:51:01)</t>
        </is>
      </c>
    </row>
    <row r="122">
      <c r="A122" s="2" t="inlineStr">
        <is>
          <t xml:space="preserve">      ✅ OK: Duration Log Main (277ms) &lt; Duration Ảnh (477ms)</t>
        </is>
      </c>
    </row>
    <row r="123">
      <c r="A123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24">
      <c r="A124" s="4" t="inlineStr">
        <is>
          <t xml:space="preserve">      ❌ LỖI: Jobnet ID trong ảnh là '', nhưng trong Log là 'P1J0239'.</t>
        </is>
      </c>
    </row>
    <row r="125">
      <c r="A125" t="inlineStr">
        <is>
          <t xml:space="preserve">  - [Kiểm tra File]: Log text báo có tạo ra file 'RFSH0239_output.tsv'.</t>
        </is>
      </c>
    </row>
    <row r="126">
      <c r="A126" s="2" t="inlineStr">
        <is>
          <t xml:space="preserve">      ✅ OK: Tên file trong ảnh File Explorer (RFSH0239_output.tsv) KHỚP với tên file trong Log text.</t>
        </is>
      </c>
    </row>
    <row r="127">
      <c r="A127" t="inlineStr">
        <is>
          <t xml:space="preserve">  - [Ảnh File Explorer]: Tìm thấy file 'RFSH0239_output.tsv' có Date modified là '2026/05/18 18:51'</t>
        </is>
      </c>
    </row>
    <row r="128">
      <c r="A128" s="2" t="inlineStr">
        <is>
          <t xml:space="preserve">      ✅ OK: Thời gian xuất file 'RFSH0239_output.tsv' (2026/05/18 18:51) KHỚP với log (2026/05/18 18:51).</t>
        </is>
      </c>
    </row>
    <row r="129">
      <c r="A129" t="inlineStr">
        <is>
          <t xml:space="preserve">  - [Đối chiếu Testcase trong Log]:</t>
        </is>
      </c>
    </row>
    <row r="130">
      <c r="A130" t="inlineStr">
        <is>
          <t xml:space="preserve">  - [Đối chiếu テスト計画書兼結果報告書(共通)]: Tìm thấy 2 dòng (26, 46)</t>
        </is>
      </c>
    </row>
    <row r="131">
      <c r="A131" s="2" t="inlineStr">
        <is>
          <t xml:space="preserve">      + Số lần test (Cột K): ✅ Tất cả 2 dòng đều khớp (Lần 5)</t>
        </is>
      </c>
    </row>
    <row r="132">
      <c r="A132" s="2" t="inlineStr">
        <is>
          <t xml:space="preserve">      + Ngày test (Cột I/G): ✅ Khớp ngày (2026/05/18) cho tất cả các dòng có dữ liệu</t>
        </is>
      </c>
    </row>
    <row r="133">
      <c r="A133" t="inlineStr"/>
    </row>
    <row r="134">
      <c r="A134" s="1" t="inlineStr">
        <is>
          <t>[Nhóm Test]: ■6回目 正常系・データ行1000行</t>
        </is>
      </c>
    </row>
    <row r="135">
      <c r="A135" t="inlineStr">
        <is>
          <t xml:space="preserve">  - Tổng số dòng log: 65</t>
        </is>
      </c>
    </row>
    <row r="136">
      <c r="A136" s="2" t="inlineStr">
        <is>
          <t xml:space="preserve">  - Trạng thái Sort (行): ✅ Đã sắp xếp tăng dần hợp lệ.</t>
        </is>
      </c>
    </row>
    <row r="137">
      <c r="A137" t="inlineStr">
        <is>
          <t xml:space="preserve">  - Ngày chạy log: 2026/05/18</t>
        </is>
      </c>
    </row>
    <row r="138">
      <c r="A138" t="inlineStr">
        <is>
          <t xml:space="preserve">  - [Ảnh Status Panel]: Tìm thấy Jobnet ID: ''</t>
        </is>
      </c>
    </row>
    <row r="139">
      <c r="A139" t="inlineStr">
        <is>
          <t xml:space="preserve">  - [Ảnh Status Panel]: Tìm thấy Interface ID: ''</t>
        </is>
      </c>
    </row>
    <row r="140">
      <c r="A140" s="3" t="inlineStr">
        <is>
          <t xml:space="preserve">      ⚠️ Interface ID là chuỗi rỗng nên bỏ qua kiểm tra với tên file.</t>
        </is>
      </c>
    </row>
    <row r="141">
      <c r="A141" t="inlineStr">
        <is>
          <t xml:space="preserve">  - [Ảnh Status Panel]: Tìm thấy giờ bắt đầu là 18:52:55</t>
        </is>
      </c>
    </row>
    <row r="142">
      <c r="A142" s="2" t="inlineStr">
        <is>
          <t xml:space="preserve">      ✅ OK: Thời gian log (18:52:55) &gt;= Thời gian ảnh (18:52:55)</t>
        </is>
      </c>
    </row>
    <row r="143">
      <c r="A143" s="2" t="inlineStr">
        <is>
          <t xml:space="preserve">      ✅ OK: Duration Log Main (788ms) &lt; Duration Ảnh (972ms)</t>
        </is>
      </c>
    </row>
    <row r="144">
      <c r="A144" t="inlineStr">
        <is>
          <t xml:space="preserve">  - [Ảnh Log Viewer]: Tìm thấy thời gian kết thúc trong ảnh log là '18:52:56'</t>
        </is>
      </c>
    </row>
    <row r="145">
      <c r="A145" s="2" t="inlineStr">
        <is>
          <t xml:space="preserve">      ✅ OK: Giờ kết thúc trong ảnh Log (18:52:56) KHỚP với log text (18:52:56).</t>
        </is>
      </c>
    </row>
    <row r="146">
      <c r="A146" s="2" t="inlineStr">
        <is>
          <t xml:space="preserve">      ✅ OK: Giờ ảnh Log (18:52:56) &gt;= Giờ bắt đầu (18:52:55).</t>
        </is>
      </c>
    </row>
    <row r="147">
      <c r="A147" s="4" t="inlineStr">
        <is>
          <t xml:space="preserve">      ❌ LỖI: Jobnet ID trong ảnh là '', nhưng trong Log là 'P1J0239'.</t>
        </is>
      </c>
    </row>
    <row r="148">
      <c r="A148" t="inlineStr">
        <is>
          <t xml:space="preserve">  - [Kiểm tra File]: Log text báo có tạo ra file 'RFSH0239_output.tsv'.</t>
        </is>
      </c>
    </row>
    <row r="149">
      <c r="A149" s="2" t="inlineStr">
        <is>
          <t xml:space="preserve">      ✅ OK: Tên file trong ảnh File Explorer (RFSH0239_output.tsv) KHỚP với tên file trong Log text.</t>
        </is>
      </c>
    </row>
    <row r="150">
      <c r="A150" t="inlineStr">
        <is>
          <t xml:space="preserve">  - [Ảnh File Explorer]: Tìm thấy file 'RFSH0239_output.tsv' có Date modified là '2026/05/18 18:52'</t>
        </is>
      </c>
    </row>
    <row r="151">
      <c r="A151" s="2" t="inlineStr">
        <is>
          <t xml:space="preserve">      ✅ OK: Thời gian xuất file 'RFSH0239_output.tsv' (2026/05/18 18:52) KHỚP với log (2026/05/18 18:52).</t>
        </is>
      </c>
    </row>
    <row r="152">
      <c r="A152" t="inlineStr">
        <is>
          <t xml:space="preserve">  - [Đối chiếu Testcase trong Log]:</t>
        </is>
      </c>
    </row>
    <row r="153">
      <c r="A153" t="inlineStr">
        <is>
          <t xml:space="preserve">  - [Đối chiếu テスト計画書兼結果報告書(共通)]: Tìm thấy 1 dòng (29)</t>
        </is>
      </c>
    </row>
    <row r="154">
      <c r="A154" s="2" t="inlineStr">
        <is>
          <t xml:space="preserve">      + Số lần test (Cột K): ✅ Tất cả 1 dòng đều khớp (Lần 6)</t>
        </is>
      </c>
    </row>
    <row r="155">
      <c r="A155" s="2" t="inlineStr">
        <is>
          <t xml:space="preserve">      + Ngày test (Cột I/G): ✅ Khớp ngày (2026/05/18) cho tất cả các dòng có dữ liệu</t>
        </is>
      </c>
    </row>
    <row r="156">
      <c r="A156" t="inlineStr"/>
    </row>
    <row r="157">
      <c r="A157" s="1" t="inlineStr">
        <is>
          <t>[Nhóm Test]: ■7回目 正常系・データ行1000行以上</t>
        </is>
      </c>
    </row>
    <row r="158">
      <c r="A158" t="inlineStr">
        <is>
          <t xml:space="preserve">  - Tổng số dòng log: 77</t>
        </is>
      </c>
    </row>
    <row r="159">
      <c r="A159" s="2" t="inlineStr">
        <is>
          <t xml:space="preserve">  - Trạng thái Sort (行): ✅ Đã sắp xếp tăng dần hợp lệ.</t>
        </is>
      </c>
    </row>
    <row r="160">
      <c r="A160" t="inlineStr">
        <is>
          <t xml:space="preserve">  - Ngày chạy log: 2026/05/18</t>
        </is>
      </c>
    </row>
    <row r="161">
      <c r="A161" t="inlineStr">
        <is>
          <t xml:space="preserve">  - [Ảnh Status Panel]: Tìm thấy Jobnet ID: ''</t>
        </is>
      </c>
    </row>
    <row r="162">
      <c r="A162" t="inlineStr">
        <is>
          <t xml:space="preserve">  - [Ảnh Status Panel]: Tìm thấy Interface ID: ''</t>
        </is>
      </c>
    </row>
    <row r="163">
      <c r="A163" s="3" t="inlineStr">
        <is>
          <t xml:space="preserve">      ⚠️ Interface ID là chuỗi rỗng nên bỏ qua kiểm tra với tên file.</t>
        </is>
      </c>
    </row>
    <row r="164">
      <c r="A164" t="inlineStr">
        <is>
          <t xml:space="preserve">  - [Ảnh Status Panel]: Tìm thấy giờ bắt đầu là 18:55:03</t>
        </is>
      </c>
    </row>
    <row r="165">
      <c r="A165" s="2" t="inlineStr">
        <is>
          <t xml:space="preserve">      ✅ OK: Thời gian log (18:55:03) &gt;= Thời gian ảnh (18:55:03)</t>
        </is>
      </c>
    </row>
    <row r="166">
      <c r="A166" s="2" t="inlineStr">
        <is>
          <t xml:space="preserve">      ✅ OK: Duration Log Main (792ms) &lt; Duration Ảnh (991ms)</t>
        </is>
      </c>
    </row>
    <row r="167">
      <c r="A167" t="inlineStr">
        <is>
          <t xml:space="preserve">  - [Ảnh Log Viewer]: Tìm thấy thời gian kết thúc trong ảnh log là '18:55:04'</t>
        </is>
      </c>
    </row>
    <row r="168">
      <c r="A168" s="2" t="inlineStr">
        <is>
          <t xml:space="preserve">      ✅ OK: Giờ kết thúc trong ảnh Log (18:55:04) KHỚP với log text (18:55:04).</t>
        </is>
      </c>
    </row>
    <row r="169">
      <c r="A169" s="2" t="inlineStr">
        <is>
          <t xml:space="preserve">      ✅ OK: Giờ ảnh Log (18:55:04) &gt;= Giờ bắt đầu (18:55:03).</t>
        </is>
      </c>
    </row>
    <row r="170">
      <c r="A170" s="4" t="inlineStr">
        <is>
          <t xml:space="preserve">      ❌ LỖI: Jobnet ID trong ảnh là '', nhưng trong Log là 'P1J0239'.</t>
        </is>
      </c>
    </row>
    <row r="171">
      <c r="A171" t="inlineStr">
        <is>
          <t xml:space="preserve">  - [Kiểm tra File]: Log text báo có tạo ra file 'RFSH0239_output.tsv'.</t>
        </is>
      </c>
    </row>
    <row r="172">
      <c r="A172" s="2" t="inlineStr">
        <is>
          <t xml:space="preserve">      ✅ OK: Tên file trong ảnh File Explorer (RFSH0239_output.tsv) KHỚP với tên file trong Log text.</t>
        </is>
      </c>
    </row>
    <row r="173">
      <c r="A173" t="inlineStr">
        <is>
          <t xml:space="preserve">  - [Ảnh File Explorer]: Tìm thấy file 'RFSH0239_output.tsv' có Date modified là '2026/05/18 18:55'</t>
        </is>
      </c>
    </row>
    <row r="174">
      <c r="A174" s="2" t="inlineStr">
        <is>
          <t xml:space="preserve">      ✅ OK: Thời gian xuất file 'RFSH0239_output.tsv' (2026/05/18 18:55) KHỚP với log (2026/05/18 18:55).</t>
        </is>
      </c>
    </row>
    <row r="175">
      <c r="A175" t="inlineStr">
        <is>
          <t xml:space="preserve">  - [Đối chiếu Testcase trong Log]:</t>
        </is>
      </c>
    </row>
    <row r="176">
      <c r="A176" t="inlineStr">
        <is>
          <t xml:space="preserve">  - [Đối chiếu テスト計画書兼結果報告書(共通)]: Tìm thấy 2 dòng (30, 35)</t>
        </is>
      </c>
    </row>
    <row r="177">
      <c r="A177" s="2" t="inlineStr">
        <is>
          <t xml:space="preserve">      + Số lần test (Cột K): ✅ Tất cả 2 dòng đều khớp (Lần 7)</t>
        </is>
      </c>
    </row>
    <row r="178">
      <c r="A178" s="2" t="inlineStr">
        <is>
          <t xml:space="preserve">      + Ngày test (Cột I/G): ✅ Khớp ngày (2026/05/18) cho tất cả các dòng có dữ liệu</t>
        </is>
      </c>
    </row>
    <row r="179">
      <c r="A179" t="inlineStr"/>
    </row>
    <row r="180">
      <c r="A180" s="1">
        <f>=============== ĐANG PHÂN TÍCH KẾT QUẢ SHEET: エビデンス(個別) ================</f>
        <v/>
      </c>
    </row>
    <row r="181">
      <c r="A181" t="inlineStr"/>
    </row>
    <row r="182">
      <c r="A182" s="1" t="inlineStr">
        <is>
          <t>[Nhóm Test]: ■1回目 正常系・0byteファイル</t>
        </is>
      </c>
    </row>
    <row r="183">
      <c r="A183" t="inlineStr">
        <is>
          <t xml:space="preserve">  - Tổng số dòng log: 49</t>
        </is>
      </c>
    </row>
    <row r="184">
      <c r="A184" s="2" t="inlineStr">
        <is>
          <t xml:space="preserve">  - Trạng thái Sort (行): ✅ Đã sắp xếp tăng dần hợp lệ.</t>
        </is>
      </c>
    </row>
    <row r="185">
      <c r="A185" t="inlineStr">
        <is>
          <t xml:space="preserve">  - Ngày chạy log: 2026/05/18</t>
        </is>
      </c>
    </row>
    <row r="186">
      <c r="A186" t="inlineStr">
        <is>
          <t xml:space="preserve">  - [Ảnh Status Panel]: Tìm thấy Jobnet ID: 'P1J0239@10239'</t>
        </is>
      </c>
    </row>
    <row r="187">
      <c r="A187" t="inlineStr">
        <is>
          <t xml:space="preserve">  - [Ảnh Status Panel]: Tìm thấy Interface ID: 'RFSH0239'</t>
        </is>
      </c>
    </row>
    <row r="188">
      <c r="A188" s="2" t="inlineStr">
        <is>
          <t xml:space="preserve">      ✅ OK: Interface ID 'RFSH0239' có tồn tại trong tên file Excel.</t>
        </is>
      </c>
    </row>
    <row r="189">
      <c r="A189" t="inlineStr">
        <is>
          <t xml:space="preserve">  - [Ảnh Status Panel]: Tìm thấy giờ bắt đầu là 18:15:58</t>
        </is>
      </c>
    </row>
    <row r="190">
      <c r="A190" s="2" t="inlineStr">
        <is>
          <t xml:space="preserve">      ✅ OK: Thời gian log (18:15:58) &gt;= Thời gian ảnh (18:15:58)</t>
        </is>
      </c>
    </row>
    <row r="191">
      <c r="A191" s="2" t="inlineStr">
        <is>
          <t xml:space="preserve">      ✅ OK: Duration Log Main (429ms) &lt; Duration Ảnh (772ms)</t>
        </is>
      </c>
    </row>
    <row r="192">
      <c r="A192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93">
      <c r="A193" s="2" t="inlineStr">
        <is>
          <t xml:space="preserve">      ✅ OK: Jobnet ID 'P1J0239@10239' khớp với dữ liệu trong Log.</t>
        </is>
      </c>
    </row>
    <row r="194">
      <c r="A194" t="inlineStr">
        <is>
          <t xml:space="preserve">  - [Kiểm tra File]: Log text báo có tạo ra file 'RFSH0239_output.tsv'.</t>
        </is>
      </c>
    </row>
    <row r="195">
      <c r="A195" s="2" t="inlineStr">
        <is>
          <t xml:space="preserve">      ✅ OK: Tên file trong ảnh File Explorer (RFSH0239_output.tsv) KHỚP với tên file trong Log text.</t>
        </is>
      </c>
    </row>
    <row r="196">
      <c r="A196" t="inlineStr">
        <is>
          <t xml:space="preserve">  - [Ảnh File Explorer]: Tìm thấy file 'RFSH0239_output.tsv' có Date modified là '2026/05/18 18:15'</t>
        </is>
      </c>
    </row>
    <row r="197">
      <c r="A197" s="2" t="inlineStr">
        <is>
          <t xml:space="preserve">      ✅ OK: Thời gian xuất file 'RFSH0239_output.tsv' (2026/05/18 18:15) KHỚP với log (2026/05/18 18:15).</t>
        </is>
      </c>
    </row>
    <row r="198">
      <c r="A198" t="inlineStr">
        <is>
          <t xml:space="preserve">  - [Đối chiếu Testcase trong Log]:</t>
        </is>
      </c>
    </row>
    <row r="199">
      <c r="A199" t="inlineStr">
        <is>
          <t xml:space="preserve">  - [Đối chiếu テスト計画書兼結果報告書(個別)]: Tìm thấy 1 dòng (6)</t>
        </is>
      </c>
    </row>
    <row r="200">
      <c r="A200" s="2" t="inlineStr">
        <is>
          <t xml:space="preserve">      + Số lần test (Cột K): ✅ Tất cả 1 dòng đều khớp (Lần 1)</t>
        </is>
      </c>
    </row>
    <row r="201">
      <c r="A201" s="2" t="inlineStr">
        <is>
          <t xml:space="preserve">      + Ngày test (Cột I/G): ✅ Khớp ngày (2026/05/18) cho tất cả các dòng có dữ liệu</t>
        </is>
      </c>
    </row>
    <row r="202">
      <c r="A202" t="inlineStr"/>
    </row>
    <row r="203">
      <c r="A203" s="1" t="inlineStr">
        <is>
          <t>[Nhóm Test]: ■2回目 正常系・全項目空データファイル</t>
        </is>
      </c>
    </row>
    <row r="204">
      <c r="A204" t="inlineStr">
        <is>
          <t xml:space="preserve">  - Tổng số dòng log: 53</t>
        </is>
      </c>
    </row>
    <row r="205">
      <c r="A205" s="2" t="inlineStr">
        <is>
          <t xml:space="preserve">  - Trạng thái Sort (行): ✅ Đã sắp xếp tăng dần hợp lệ.</t>
        </is>
      </c>
    </row>
    <row r="206">
      <c r="A206" t="inlineStr">
        <is>
          <t xml:space="preserve">  - Ngày chạy log: 2026/05/18</t>
        </is>
      </c>
    </row>
    <row r="207">
      <c r="A207" t="inlineStr">
        <is>
          <t xml:space="preserve">  - [Ảnh Status Panel]: Tìm thấy Jobnet ID: 'P1J0239@10239'</t>
        </is>
      </c>
    </row>
    <row r="208">
      <c r="A208" t="inlineStr">
        <is>
          <t xml:space="preserve">  - [Ảnh Status Panel]: Tìm thấy Interface ID: 'RFSH0239'</t>
        </is>
      </c>
    </row>
    <row r="209">
      <c r="A209" s="2" t="inlineStr">
        <is>
          <t xml:space="preserve">      ✅ OK: Interface ID 'RFSH0239' có tồn tại trong tên file Excel.</t>
        </is>
      </c>
    </row>
    <row r="210">
      <c r="A210" t="inlineStr">
        <is>
          <t xml:space="preserve">  - [Ảnh Status Panel]: Tìm thấy giờ bắt đầu là 18:21:37</t>
        </is>
      </c>
    </row>
    <row r="211">
      <c r="A211" s="2" t="inlineStr">
        <is>
          <t xml:space="preserve">      ✅ OK: Thời gian log (18:21:38) &gt;= Thời gian ảnh (18:21:37)</t>
        </is>
      </c>
    </row>
    <row r="212">
      <c r="A212" s="2" t="inlineStr">
        <is>
          <t xml:space="preserve">      ✅ OK: Duration Log Main (390ms) &lt; Duration Ảnh (595ms)</t>
        </is>
      </c>
    </row>
    <row r="213">
      <c r="A213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14">
      <c r="A214" s="2" t="inlineStr">
        <is>
          <t xml:space="preserve">      ✅ OK: Jobnet ID 'P1J0239@10239' khớp với dữ liệu trong Log.</t>
        </is>
      </c>
    </row>
    <row r="215">
      <c r="A215" t="inlineStr">
        <is>
          <t xml:space="preserve">  - [Kiểm tra File]: Log text báo có tạo ra file 'RFSH0239_output.tsv'.</t>
        </is>
      </c>
    </row>
    <row r="216">
      <c r="A216" s="2" t="inlineStr">
        <is>
          <t xml:space="preserve">      ✅ OK: Tên file trong ảnh File Explorer (RFSH0239_output.tsv) KHỚP với tên file trong Log text.</t>
        </is>
      </c>
    </row>
    <row r="217">
      <c r="A217" t="inlineStr">
        <is>
          <t xml:space="preserve">  - [Ảnh File Explorer]: Tìm thấy file 'RFSH0239_output.tsv' có Date modified là '2026/05/18 18:21'</t>
        </is>
      </c>
    </row>
    <row r="218">
      <c r="A218" s="2" t="inlineStr">
        <is>
          <t xml:space="preserve">      ✅ OK: Thời gian xuất file 'RFSH0239_output.tsv' (2026/05/18 18:21) KHỚP với log (2026/05/18 18:21).</t>
        </is>
      </c>
    </row>
    <row r="219">
      <c r="A219" t="inlineStr">
        <is>
          <t xml:space="preserve">  - [Đối chiếu Testcase trong Log]:</t>
        </is>
      </c>
    </row>
    <row r="220">
      <c r="A220" t="inlineStr">
        <is>
          <t xml:space="preserve">  - [Đối chiếu テスト計画書兼結果報告書(個別)]: Tìm thấy 1 dòng (8)</t>
        </is>
      </c>
    </row>
    <row r="221">
      <c r="A221" s="2" t="inlineStr">
        <is>
          <t xml:space="preserve">      + Số lần test (Cột K): ✅ Tất cả 1 dòng đều khớp (Lần 2)</t>
        </is>
      </c>
    </row>
    <row r="222">
      <c r="A222" s="2" t="inlineStr">
        <is>
          <t xml:space="preserve">      + Ngày test (Cột I/G): ✅ Khớp ngày (2026/05/18) cho tất cả các dòng có dữ liệu</t>
        </is>
      </c>
    </row>
    <row r="223">
      <c r="A223" t="inlineStr"/>
    </row>
    <row r="224">
      <c r="A224" s="1" t="inlineStr">
        <is>
          <t>[Nhóm Test]: ■3回目 正常系・ファイル定義確認</t>
        </is>
      </c>
    </row>
    <row r="225">
      <c r="A225" t="inlineStr">
        <is>
          <t xml:space="preserve">  - Tổng số dòng log: 53</t>
        </is>
      </c>
    </row>
    <row r="226">
      <c r="A226" s="2" t="inlineStr">
        <is>
          <t xml:space="preserve">  - Trạng thái Sort (行): ✅ Đã sắp xếp tăng dần hợp lệ.</t>
        </is>
      </c>
    </row>
    <row r="227">
      <c r="A227" t="inlineStr">
        <is>
          <t xml:space="preserve">  - Ngày chạy log: 2026/05/18</t>
        </is>
      </c>
    </row>
    <row r="228">
      <c r="A228" t="inlineStr">
        <is>
          <t xml:space="preserve">  - [Ảnh Status Panel]: Tìm thấy Jobnet ID: 'P1J0239@10239'</t>
        </is>
      </c>
    </row>
    <row r="229">
      <c r="A229" t="inlineStr">
        <is>
          <t xml:space="preserve">  - [Ảnh Status Panel]: Tìm thấy Interface ID: 'RFSH0239'</t>
        </is>
      </c>
    </row>
    <row r="230">
      <c r="A230" s="2" t="inlineStr">
        <is>
          <t xml:space="preserve">      ✅ OK: Interface ID 'RFSH0239' có tồn tại trong tên file Excel.</t>
        </is>
      </c>
    </row>
    <row r="231">
      <c r="A231" t="inlineStr">
        <is>
          <t xml:space="preserve">  - [Ảnh Status Panel]: Tìm thấy giờ bắt đầu là 18:23:23</t>
        </is>
      </c>
    </row>
    <row r="232">
      <c r="A232" s="2" t="inlineStr">
        <is>
          <t xml:space="preserve">      ✅ OK: Thời gian log (18:23:23) &gt;= Thời gian ảnh (18:23:23)</t>
        </is>
      </c>
    </row>
    <row r="233">
      <c r="A233" s="2" t="inlineStr">
        <is>
          <t xml:space="preserve">      ✅ OK: Duration Log Main (578ms) &lt; Duration Ảnh (866ms)</t>
        </is>
      </c>
    </row>
    <row r="234">
      <c r="A234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35">
      <c r="A235" s="2" t="inlineStr">
        <is>
          <t xml:space="preserve">      ✅ OK: Jobnet ID 'P1J0239@10239' khớp với dữ liệu trong Log.</t>
        </is>
      </c>
    </row>
    <row r="236">
      <c r="A236" t="inlineStr">
        <is>
          <t xml:space="preserve">  - [Kiểm tra File]: Log text báo có tạo ra file 'RFSH0239_output.tsv'.</t>
        </is>
      </c>
    </row>
    <row r="237">
      <c r="A237" s="2" t="inlineStr">
        <is>
          <t xml:space="preserve">      ✅ OK: Tên file trong ảnh File Explorer (RFSH0239_output.tsv) KHỚP với tên file trong Log text.</t>
        </is>
      </c>
    </row>
    <row r="238">
      <c r="A238" t="inlineStr">
        <is>
          <t xml:space="preserve">  - [Ảnh File Explorer]: Tìm thấy file 'RFSH0239_output.tsv' có Date modified là '2026/05/18 18:23'</t>
        </is>
      </c>
    </row>
    <row r="239">
      <c r="A239" s="2" t="inlineStr">
        <is>
          <t xml:space="preserve">      ✅ OK: Thời gian xuất file 'RFSH0239_output.tsv' (2026/05/18 18:23) KHỚP với log (2026/05/18 18:23).</t>
        </is>
      </c>
    </row>
    <row r="240">
      <c r="A240" t="inlineStr">
        <is>
          <t xml:space="preserve">  - [Đối chiếu Testcase trong Log]:</t>
        </is>
      </c>
    </row>
    <row r="241">
      <c r="A241" t="inlineStr">
        <is>
          <t xml:space="preserve">  - [Đối chiếu テスト計画書兼結果報告書(個別)]: Tìm thấy 12 dòng (18, 19, 20, 21, 22, 23, 25, 26, 27, 28, 29, 30)</t>
        </is>
      </c>
    </row>
    <row r="242">
      <c r="A242" s="2" t="inlineStr">
        <is>
          <t xml:space="preserve">      + Số lần test (Cột K): ✅ Tất cả 12 dòng đều khớp (Lần 3)</t>
        </is>
      </c>
    </row>
    <row r="243">
      <c r="A243" s="2" t="inlineStr">
        <is>
          <t xml:space="preserve">      + Ngày test (Cột I/G): ✅ Khớp ngày (2026/05/18) cho tất cả các dòng có dữ liệu</t>
        </is>
      </c>
    </row>
    <row r="244">
      <c r="A244" t="inlineStr"/>
    </row>
    <row r="245">
      <c r="A245" s="1" t="inlineStr">
        <is>
          <t>[Nhóm Test]: ■4回目正常系・列分割→行変換確認（明細0件）</t>
        </is>
      </c>
    </row>
    <row r="246">
      <c r="A246" t="inlineStr">
        <is>
          <t xml:space="preserve">  - Tổng số dòng log: 53</t>
        </is>
      </c>
    </row>
    <row r="247">
      <c r="A247" s="2" t="inlineStr">
        <is>
          <t xml:space="preserve">  - Trạng thái Sort (行): ✅ Đã sắp xếp tăng dần hợp lệ.</t>
        </is>
      </c>
    </row>
    <row r="248">
      <c r="A248" t="inlineStr">
        <is>
          <t xml:space="preserve">  - Ngày chạy log: 2026/05/18</t>
        </is>
      </c>
    </row>
    <row r="249">
      <c r="A249" t="inlineStr">
        <is>
          <t xml:space="preserve">  - [Ảnh Status Panel]: Tìm thấy Jobnet ID: 'P1J0239@10239'</t>
        </is>
      </c>
    </row>
    <row r="250">
      <c r="A250" t="inlineStr">
        <is>
          <t xml:space="preserve">  - [Ảnh Status Panel]: Tìm thấy Interface ID: 'RFSH0239'</t>
        </is>
      </c>
    </row>
    <row r="251">
      <c r="A251" s="2" t="inlineStr">
        <is>
          <t xml:space="preserve">      ✅ OK: Interface ID 'RFSH0239' có tồn tại trong tên file Excel.</t>
        </is>
      </c>
    </row>
    <row r="252">
      <c r="A252" t="inlineStr">
        <is>
          <t xml:space="preserve">  - [Ảnh Status Panel]: Tìm thấy giờ bắt đầu là 18:25:21</t>
        </is>
      </c>
    </row>
    <row r="253">
      <c r="A253" s="2" t="inlineStr">
        <is>
          <t xml:space="preserve">      ✅ OK: Thời gian log (18:25:21) &gt;= Thời gian ảnh (18:25:21)</t>
        </is>
      </c>
    </row>
    <row r="254">
      <c r="A254" s="2" t="inlineStr">
        <is>
          <t xml:space="preserve">      ✅ OK: Duration Log Main (1048ms) &lt; Duration Ảnh (1520ms)</t>
        </is>
      </c>
    </row>
    <row r="255">
      <c r="A255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56">
      <c r="A256" s="2" t="inlineStr">
        <is>
          <t xml:space="preserve">      ✅ OK: Jobnet ID 'P1J0239@10239' khớp với dữ liệu trong Log.</t>
        </is>
      </c>
    </row>
    <row r="257">
      <c r="A257" t="inlineStr">
        <is>
          <t xml:space="preserve">  - [Kiểm tra File]: Log text báo có tạo ra file 'RFSH0239_output.tsv'.</t>
        </is>
      </c>
    </row>
    <row r="258">
      <c r="A258" s="2" t="inlineStr">
        <is>
          <t xml:space="preserve">      ✅ OK: Tên file trong ảnh File Explorer (RFSH0239_output.tsv) KHỚP với tên file trong Log text.</t>
        </is>
      </c>
    </row>
    <row r="259">
      <c r="A259" t="inlineStr">
        <is>
          <t xml:space="preserve">  - [Ảnh File Explorer]: Tìm thấy file 'RFSH0239_output.tsv' có Date modified là '2026/05/18 18:25'</t>
        </is>
      </c>
    </row>
    <row r="260">
      <c r="A260" s="2" t="inlineStr">
        <is>
          <t xml:space="preserve">      ✅ OK: Thời gian xuất file 'RFSH0239_output.tsv' (2026/05/18 18:25) KHỚP với log (2026/05/18 18:25).</t>
        </is>
      </c>
    </row>
    <row r="261">
      <c r="A261" t="inlineStr">
        <is>
          <t xml:space="preserve">  - [Đối chiếu Testcase trong Log]:</t>
        </is>
      </c>
    </row>
    <row r="262">
      <c r="A262" t="inlineStr">
        <is>
          <t xml:space="preserve">  - [Đối chiếu テスト計画書兼結果報告書(個別)]: Tìm thấy 1 dòng (11)</t>
        </is>
      </c>
    </row>
    <row r="263">
      <c r="A263" s="2" t="inlineStr">
        <is>
          <t xml:space="preserve">      + Số lần test (Cột K): ✅ Tất cả 1 dòng đều khớp (Lần 4)</t>
        </is>
      </c>
    </row>
    <row r="264">
      <c r="A264" s="2" t="inlineStr">
        <is>
          <t xml:space="preserve">      + Ngày test (Cột I/G): ✅ Khớp ngày (2026/05/18) cho tất cả các dòng có dữ liệu</t>
        </is>
      </c>
    </row>
    <row r="265">
      <c r="A265" t="inlineStr"/>
    </row>
    <row r="266">
      <c r="A266" s="1" t="inlineStr">
        <is>
          <t>[Nhóm Test]: ■5回目正常系・列分割→行変換確認（明細1件）</t>
        </is>
      </c>
    </row>
    <row r="267">
      <c r="A267" t="inlineStr">
        <is>
          <t xml:space="preserve">  - Tổng số dòng log: 53</t>
        </is>
      </c>
    </row>
    <row r="268">
      <c r="A268" s="2" t="inlineStr">
        <is>
          <t xml:space="preserve">  - Trạng thái Sort (行): ✅ Đã sắp xếp tăng dần hợp lệ.</t>
        </is>
      </c>
    </row>
    <row r="269">
      <c r="A269" t="inlineStr">
        <is>
          <t xml:space="preserve">  - Ngày chạy log: 2026/05/18</t>
        </is>
      </c>
    </row>
    <row r="270">
      <c r="A270" t="inlineStr">
        <is>
          <t xml:space="preserve">  - [Ảnh Status Panel]: Tìm thấy Jobnet ID: 'P1J0239@10239'</t>
        </is>
      </c>
    </row>
    <row r="271">
      <c r="A271" t="inlineStr">
        <is>
          <t xml:space="preserve">  - [Ảnh Status Panel]: Tìm thấy Interface ID: 'RFSH0239'</t>
        </is>
      </c>
    </row>
    <row r="272">
      <c r="A272" s="2" t="inlineStr">
        <is>
          <t xml:space="preserve">      ✅ OK: Interface ID 'RFSH0239' có tồn tại trong tên file Excel.</t>
        </is>
      </c>
    </row>
    <row r="273">
      <c r="A273" t="inlineStr">
        <is>
          <t xml:space="preserve">  - [Ảnh Status Panel]: Tìm thấy giờ bắt đầu là 18:27:11</t>
        </is>
      </c>
    </row>
    <row r="274">
      <c r="A274" s="2" t="inlineStr">
        <is>
          <t xml:space="preserve">      ✅ OK: Thời gian log (18:27:11) &gt;= Thời gian ảnh (18:27:11)</t>
        </is>
      </c>
    </row>
    <row r="275">
      <c r="A275" s="2" t="inlineStr">
        <is>
          <t xml:space="preserve">      ✅ OK: Duration Log Main (461ms) &lt; Duration Ảnh (652ms)</t>
        </is>
      </c>
    </row>
    <row r="276">
      <c r="A276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77">
      <c r="A277" s="2" t="inlineStr">
        <is>
          <t xml:space="preserve">      ✅ OK: Jobnet ID 'P1J0239@10239' khớp với dữ liệu trong Log.</t>
        </is>
      </c>
    </row>
    <row r="278">
      <c r="A278" t="inlineStr">
        <is>
          <t xml:space="preserve">  - [Kiểm tra File]: Log text báo có tạo ra file 'RFSH0239_output.tsv'.</t>
        </is>
      </c>
    </row>
    <row r="279">
      <c r="A279" s="2" t="inlineStr">
        <is>
          <t xml:space="preserve">      ✅ OK: Tên file trong ảnh File Explorer (RFSH0239_output.tsv) KHỚP với tên file trong Log text.</t>
        </is>
      </c>
    </row>
    <row r="280">
      <c r="A280" t="inlineStr">
        <is>
          <t xml:space="preserve">  - [Ảnh File Explorer]: Tìm thấy file 'RFSH0239_output.tsv' có Date modified là '2026/05/18 18:27'</t>
        </is>
      </c>
    </row>
    <row r="281">
      <c r="A281" s="2" t="inlineStr">
        <is>
          <t xml:space="preserve">      ✅ OK: Thời gian xuất file 'RFSH0239_output.tsv' (2026/05/18 18:27) KHỚP với log (2026/05/18 18:27).</t>
        </is>
      </c>
    </row>
    <row r="282">
      <c r="A282" t="inlineStr">
        <is>
          <t xml:space="preserve">  - [Đối chiếu Testcase trong Log]:</t>
        </is>
      </c>
    </row>
    <row r="283">
      <c r="A283" t="inlineStr">
        <is>
          <t xml:space="preserve">  - [Đối chiếu テスト計画書兼結果報告書(個別)]: Tìm thấy 1 dòng (12)</t>
        </is>
      </c>
    </row>
    <row r="284">
      <c r="A284" s="2" t="inlineStr">
        <is>
          <t xml:space="preserve">      + Số lần test (Cột K): ✅ Tất cả 1 dòng đều khớp (Lần 5)</t>
        </is>
      </c>
    </row>
    <row r="285">
      <c r="A285" s="2" t="inlineStr">
        <is>
          <t xml:space="preserve">      + Ngày test (Cột I/G): ✅ Khớp ngày (2026/05/18) cho tất cả các dòng có dữ liệu</t>
        </is>
      </c>
    </row>
    <row r="286">
      <c r="A286" t="inlineStr"/>
    </row>
    <row r="287">
      <c r="A287" s="1" t="inlineStr">
        <is>
          <t>[Nhóm Test]: ■6回目正常系・列分割→行変換確認（明細4件）</t>
        </is>
      </c>
    </row>
    <row r="288">
      <c r="A288" t="inlineStr">
        <is>
          <t xml:space="preserve">  - Tổng số dòng log: 53</t>
        </is>
      </c>
    </row>
    <row r="289">
      <c r="A289" s="2" t="inlineStr">
        <is>
          <t xml:space="preserve">  - Trạng thái Sort (行): ✅ Đã sắp xếp tăng dần hợp lệ.</t>
        </is>
      </c>
    </row>
    <row r="290">
      <c r="A290" t="inlineStr">
        <is>
          <t xml:space="preserve">  - Ngày chạy log: 2026/05/18</t>
        </is>
      </c>
    </row>
    <row r="291">
      <c r="A291" t="inlineStr">
        <is>
          <t xml:space="preserve">  - [Ảnh Status Panel]: Tìm thấy Jobnet ID: 'P1J0239@10239'</t>
        </is>
      </c>
    </row>
    <row r="292">
      <c r="A292" t="inlineStr">
        <is>
          <t xml:space="preserve">  - [Ảnh Status Panel]: Tìm thấy Interface ID: 'RFSH0239'</t>
        </is>
      </c>
    </row>
    <row r="293">
      <c r="A293" s="2" t="inlineStr">
        <is>
          <t xml:space="preserve">      ✅ OK: Interface ID 'RFSH0239' có tồn tại trong tên file Excel.</t>
        </is>
      </c>
    </row>
    <row r="294">
      <c r="A294" t="inlineStr">
        <is>
          <t xml:space="preserve">  - [Ảnh Status Panel]: Tìm thấy giờ bắt đầu là 18:28:46</t>
        </is>
      </c>
    </row>
    <row r="295">
      <c r="A295" s="2" t="inlineStr">
        <is>
          <t xml:space="preserve">      ✅ OK: Thời gian log (18:28:46) &gt;= Thời gian ảnh (18:28:46)</t>
        </is>
      </c>
    </row>
    <row r="296">
      <c r="A296" s="2" t="inlineStr">
        <is>
          <t xml:space="preserve">      ✅ OK: Duration Log Main (452ms) &lt; Duration Ảnh (643ms)</t>
        </is>
      </c>
    </row>
    <row r="297">
      <c r="A297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98">
      <c r="A298" s="2" t="inlineStr">
        <is>
          <t xml:space="preserve">      ✅ OK: Jobnet ID 'P1J0239@10239' khớp với dữ liệu trong Log.</t>
        </is>
      </c>
    </row>
    <row r="299">
      <c r="A299" t="inlineStr">
        <is>
          <t xml:space="preserve">  - [Kiểm tra File]: Log text báo có tạo ra file 'RFSH0239_output.tsv'.</t>
        </is>
      </c>
    </row>
    <row r="300">
      <c r="A300" s="2" t="inlineStr">
        <is>
          <t xml:space="preserve">      ✅ OK: Tên file trong ảnh File Explorer (RFSH0239_output.tsv) KHỚP với tên file trong Log text.</t>
        </is>
      </c>
    </row>
    <row r="301">
      <c r="A301" t="inlineStr">
        <is>
          <t xml:space="preserve">  - [Ảnh File Explorer]: Tìm thấy file 'RFSH0239_output.tsv' có Date modified là '2026/05/18 18:28'</t>
        </is>
      </c>
    </row>
    <row r="302">
      <c r="A302" s="2" t="inlineStr">
        <is>
          <t xml:space="preserve">      ✅ OK: Thời gian xuất file 'RFSH0239_output.tsv' (2026/05/18 18:28) KHỚP với log (2026/05/18 18:28).</t>
        </is>
      </c>
    </row>
    <row r="303">
      <c r="A303" t="inlineStr">
        <is>
          <t xml:space="preserve">  - [Đối chiếu Testcase trong Log]:</t>
        </is>
      </c>
    </row>
    <row r="304">
      <c r="A304" t="inlineStr">
        <is>
          <t xml:space="preserve">  - [Đối chiếu テスト計画書兼結果報告書(個別)]: Tìm thấy 1 dòng (14)</t>
        </is>
      </c>
    </row>
    <row r="305">
      <c r="A305" s="2" t="inlineStr">
        <is>
          <t xml:space="preserve">      + Số lần test (Cột K): ✅ Tất cả 1 dòng đều khớp (Lần 6)</t>
        </is>
      </c>
    </row>
    <row r="306">
      <c r="A306" s="2" t="inlineStr">
        <is>
          <t xml:space="preserve">      + Ngày test (Cột I/G): ✅ Khớp ngày (2026/05/18) cho tất cả các dòng có dữ liệu</t>
        </is>
      </c>
    </row>
    <row r="307">
      <c r="A307" t="inlineStr"/>
    </row>
    <row r="308">
      <c r="A308" s="1" t="inlineStr">
        <is>
          <t>[Nhóm Test]: ■7回目正常系・列分割→行変換確認（明細8件）</t>
        </is>
      </c>
    </row>
    <row r="309">
      <c r="A309" t="inlineStr">
        <is>
          <t xml:space="preserve">  - Tổng số dòng log: 53</t>
        </is>
      </c>
    </row>
    <row r="310">
      <c r="A310" s="2" t="inlineStr">
        <is>
          <t xml:space="preserve">  - Trạng thái Sort (行): ✅ Đã sắp xếp tăng dần hợp lệ.</t>
        </is>
      </c>
    </row>
    <row r="311">
      <c r="A311" t="inlineStr">
        <is>
          <t xml:space="preserve">  - Ngày chạy log: 2026/05/18</t>
        </is>
      </c>
    </row>
    <row r="312">
      <c r="A312" t="inlineStr">
        <is>
          <t xml:space="preserve">  - [Ảnh Status Panel]: Tìm thấy Jobnet ID: 'P1J0239@10239'</t>
        </is>
      </c>
    </row>
    <row r="313">
      <c r="A313" t="inlineStr">
        <is>
          <t xml:space="preserve">  - [Ảnh Status Panel]: Tìm thấy Interface ID: 'RFSH0239'</t>
        </is>
      </c>
    </row>
    <row r="314">
      <c r="A314" s="2" t="inlineStr">
        <is>
          <t xml:space="preserve">      ✅ OK: Interface ID 'RFSH0239' có tồn tại trong tên file Excel.</t>
        </is>
      </c>
    </row>
    <row r="315">
      <c r="A315" t="inlineStr">
        <is>
          <t xml:space="preserve">  - [Ảnh Status Panel]: Tìm thấy giờ bắt đầu là 18:30:19</t>
        </is>
      </c>
    </row>
    <row r="316">
      <c r="A316" s="2" t="inlineStr">
        <is>
          <t xml:space="preserve">      ✅ OK: Thời gian log (18:30:20) &gt;= Thời gian ảnh (18:30:19)</t>
        </is>
      </c>
    </row>
    <row r="317">
      <c r="A317" s="2" t="inlineStr">
        <is>
          <t xml:space="preserve">      ✅ OK: Duration Log Main (1189ms) &lt; Duration Ảnh (1759ms)</t>
        </is>
      </c>
    </row>
    <row r="318">
      <c r="A318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319">
      <c r="A319" s="2" t="inlineStr">
        <is>
          <t xml:space="preserve">      ✅ OK: Jobnet ID 'P1J0239@10239' khớp với dữ liệu trong Log.</t>
        </is>
      </c>
    </row>
    <row r="320">
      <c r="A320" t="inlineStr">
        <is>
          <t xml:space="preserve">  - [Kiểm tra File]: Log text báo có tạo ra file 'RFSH0239_output.tsv'.</t>
        </is>
      </c>
    </row>
    <row r="321">
      <c r="A321" s="2" t="inlineStr">
        <is>
          <t xml:space="preserve">      ✅ OK: Tên file trong ảnh File Explorer (RFSH0239_output.tsv) KHỚP với tên file trong Log text.</t>
        </is>
      </c>
    </row>
    <row r="322">
      <c r="A322" t="inlineStr">
        <is>
          <t xml:space="preserve">  - [Ảnh File Explorer]: Tìm thấy file 'RFSH0239_output.tsv' có Date modified là '2026/05/18 18:30'</t>
        </is>
      </c>
    </row>
    <row r="323">
      <c r="A323" s="2" t="inlineStr">
        <is>
          <t xml:space="preserve">      ✅ OK: Thời gian xuất file 'RFSH0239_output.tsv' (2026/05/18 18:30) KHỚP với log (2026/05/18 18:30).</t>
        </is>
      </c>
    </row>
    <row r="324">
      <c r="A324" t="inlineStr">
        <is>
          <t xml:space="preserve">  - [Đối chiếu Testcase trong Log]:</t>
        </is>
      </c>
    </row>
    <row r="325">
      <c r="A325" t="inlineStr">
        <is>
          <t xml:space="preserve">  - [Đối chiếu テスト計画書兼結果報告書(個別)]: Tìm thấy 1 dòng (13)</t>
        </is>
      </c>
    </row>
    <row r="326">
      <c r="A326" s="2" t="inlineStr">
        <is>
          <t xml:space="preserve">      + Số lần test (Cột K): ✅ Tất cả 1 dòng đều khớp (Lần 7)</t>
        </is>
      </c>
    </row>
    <row r="327">
      <c r="A327" s="2" t="inlineStr">
        <is>
          <t xml:space="preserve">      + Ngày test (Cột I/G): ✅ Khớp ngày (2026/05/18) cho tất cả các dòng có dữ liệu</t>
        </is>
      </c>
    </row>
    <row r="328">
      <c r="A328" t="inlineStr"/>
    </row>
    <row r="329">
      <c r="A329" s="1" t="inlineStr">
        <is>
          <t>[Nhóm Test]: ■8回目正常系・列分割→行変換確認（レコードが複数件あり）</t>
        </is>
      </c>
    </row>
    <row r="330">
      <c r="A330" t="inlineStr">
        <is>
          <t xml:space="preserve">  - Tổng số dòng log: 53</t>
        </is>
      </c>
    </row>
    <row r="331">
      <c r="A331" s="2" t="inlineStr">
        <is>
          <t xml:space="preserve">  - Trạng thái Sort (行): ✅ Đã sắp xếp tăng dần hợp lệ.</t>
        </is>
      </c>
    </row>
    <row r="332">
      <c r="A332" t="inlineStr">
        <is>
          <t xml:space="preserve">  - Ngày chạy log: 2026/05/18</t>
        </is>
      </c>
    </row>
    <row r="333">
      <c r="A333" t="inlineStr">
        <is>
          <t xml:space="preserve">  - [Ảnh Status Panel]: Tìm thấy Jobnet ID: 'P1J0239@10239'</t>
        </is>
      </c>
    </row>
    <row r="334">
      <c r="A334" t="inlineStr">
        <is>
          <t xml:space="preserve">  - [Ảnh Status Panel]: Tìm thấy Interface ID: 'RFSH0239'</t>
        </is>
      </c>
    </row>
    <row r="335">
      <c r="A335" s="2" t="inlineStr">
        <is>
          <t xml:space="preserve">      ✅ OK: Interface ID 'RFSH0239' có tồn tại trong tên file Excel.</t>
        </is>
      </c>
    </row>
    <row r="336">
      <c r="A336" t="inlineStr">
        <is>
          <t xml:space="preserve">  - [Ảnh Status Panel]: Tìm thấy giờ bắt đầu là 18:31:58</t>
        </is>
      </c>
    </row>
    <row r="337">
      <c r="A337" s="2" t="inlineStr">
        <is>
          <t xml:space="preserve">      ✅ OK: Thời gian log (18:31:58) &gt;= Thời gian ảnh (18:31:58)</t>
        </is>
      </c>
    </row>
    <row r="338">
      <c r="A338" s="2" t="inlineStr">
        <is>
          <t xml:space="preserve">      ✅ OK: Duration Log Main (453ms) &lt; Duration Ảnh (656ms)</t>
        </is>
      </c>
    </row>
    <row r="339">
      <c r="A339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340">
      <c r="A340" s="2" t="inlineStr">
        <is>
          <t xml:space="preserve">      ✅ OK: Jobnet ID 'P1J0239@10239' khớp với dữ liệu trong Log.</t>
        </is>
      </c>
    </row>
    <row r="341">
      <c r="A341" t="inlineStr">
        <is>
          <t xml:space="preserve">  - [Kiểm tra File]: Log text báo có tạo ra file 'RFSH0239_output.tsv'.</t>
        </is>
      </c>
    </row>
    <row r="342">
      <c r="A342" s="2" t="inlineStr">
        <is>
          <t xml:space="preserve">      ✅ OK: Tên file trong ảnh File Explorer (RFSH0239_output.tsv) KHỚP với tên file trong Log text.</t>
        </is>
      </c>
    </row>
    <row r="343">
      <c r="A343" t="inlineStr">
        <is>
          <t xml:space="preserve">  - [Ảnh File Explorer]: Tìm thấy file 'RFSH0239_output.tsv' có Date modified là '2026/05/18 18:31'</t>
        </is>
      </c>
    </row>
    <row r="344">
      <c r="A344" s="2" t="inlineStr">
        <is>
          <t xml:space="preserve">      ✅ OK: Thời gian xuất file 'RFSH0239_output.tsv' (2026/05/18 18:31) KHỚP với log (2026/05/18 18:31).</t>
        </is>
      </c>
    </row>
    <row r="345">
      <c r="A345" t="inlineStr">
        <is>
          <t xml:space="preserve">  - [Đối chiếu Testcase trong Log]:</t>
        </is>
      </c>
    </row>
    <row r="346">
      <c r="A346" t="inlineStr">
        <is>
          <t xml:space="preserve">  - [Đối chiếu テスト計画書兼結果報告書(個別)]: Tìm thấy 1 dòng (15)</t>
        </is>
      </c>
    </row>
    <row r="347">
      <c r="A347" s="2" t="inlineStr">
        <is>
          <t xml:space="preserve">      + Số lần test (Cột K): ✅ Tất cả 1 dòng đều khớp (Lần 8)</t>
        </is>
      </c>
    </row>
    <row r="348">
      <c r="A348" s="2" t="inlineStr">
        <is>
          <t xml:space="preserve">      + Ngày test (Cột I/G): ✅ Khớp ngày (2026/05/18) cho tất cả các dòng có dữ liệu</t>
        </is>
      </c>
    </row>
    <row r="349">
      <c r="A349" t="inlineStr"/>
    </row>
    <row r="350">
      <c r="A350" s="1">
        <f>=============== TỔNG KẾT COVERAGE CHO SHEET エビデンス(共通) ================</f>
        <v/>
      </c>
    </row>
    <row r="351">
      <c r="A351" s="2" t="inlineStr">
        <is>
          <t xml:space="preserve">  - ✅ Nhóm 1 (gồm TC: 1-1-1, 1-2-1, 2-1-1, 2-2-1, 3-1-1, 3-2-1, 4-1-1, 4-2-1, 5-1-1, 5-3-1, 5-4-1, 6-1-1, 7-1-1): Đã có Log Evidence.</t>
        </is>
      </c>
    </row>
    <row r="352">
      <c r="A352" s="2" t="inlineStr">
        <is>
          <t xml:space="preserve">  - ✅ Nhóm 2 (gồm TC: 1-2-2, 2-2-2): Đã có Log Evidence.</t>
        </is>
      </c>
    </row>
    <row r="353">
      <c r="A353" s="2" t="inlineStr">
        <is>
          <t xml:space="preserve">  - ✅ Nhóm 3 (gồm TC: 3-2-2): Đã có Log Evidence.</t>
        </is>
      </c>
    </row>
    <row r="354">
      <c r="A354" s="2" t="inlineStr">
        <is>
          <t xml:space="preserve">  - ✅ Nhóm 4 (gồm TC: 3-2-3): Đã có Log Evidence.</t>
        </is>
      </c>
    </row>
    <row r="355">
      <c r="A355" s="2" t="inlineStr">
        <is>
          <t xml:space="preserve">  - ✅ Nhóm 5 (gồm TC: 4-1-2, 7-1-2): Đã có Log Evidence.</t>
        </is>
      </c>
    </row>
    <row r="356">
      <c r="A356" s="2" t="inlineStr">
        <is>
          <t xml:space="preserve">  - ✅ Nhóm 6 (gồm TC: 4-2-2): Đã có Log Evidence.</t>
        </is>
      </c>
    </row>
    <row r="357">
      <c r="A357" s="2" t="inlineStr">
        <is>
          <t xml:space="preserve">  - ✅ Nhóm 7 (gồm TC: 4-2-3, 5-2-1): Đã có Log Evidence.</t>
        </is>
      </c>
    </row>
    <row r="358">
      <c r="A358" t="inlineStr">
        <is>
          <t xml:space="preserve">  =&gt; TOÀN BỘ CÁC NHÓM TEST TRONG KẾ HOẠCH ĐỀU ĐÃ CÓ EVIDENCE!</t>
        </is>
      </c>
    </row>
    <row r="359">
      <c r="A359" t="inlineStr"/>
    </row>
    <row r="360">
      <c r="A360" t="inlineStr"/>
    </row>
    <row r="361">
      <c r="A361" s="1">
        <f>=============== TỔNG KẾT COVERAGE CHO SHEET エビデンス(個別) ================</f>
        <v/>
      </c>
    </row>
    <row r="362">
      <c r="A362" s="2" t="inlineStr">
        <is>
          <t xml:space="preserve">  - ✅ Nhóm 1 (gồm TC: 1-1-1): Đã có Log Evidence.</t>
        </is>
      </c>
    </row>
    <row r="363">
      <c r="A363" s="2" t="inlineStr">
        <is>
          <t xml:space="preserve">  - ✅ Nhóm 2 (gồm TC: 1-2-1): Đã có Log Evidence.</t>
        </is>
      </c>
    </row>
    <row r="364">
      <c r="A364" s="2" t="inlineStr">
        <is>
          <t xml:space="preserve">  - ✅ Nhóm 3 (gồm TC: 3-1-1, 3-1-2, 3-1-3, 3-1-4, 3-1-5, 3-1-6, 3-2-1, 3-2-2, 3-2-3, 3-2-4, 3-2-5, 3-2-6): Đã có Log Evidence.</t>
        </is>
      </c>
    </row>
    <row r="365">
      <c r="A365" s="2" t="inlineStr">
        <is>
          <t xml:space="preserve">  - ✅ Nhóm 4 (gồm TC: 2-1-1): Đã có Log Evidence.</t>
        </is>
      </c>
    </row>
    <row r="366">
      <c r="A366" s="2" t="inlineStr">
        <is>
          <t xml:space="preserve">  - ✅ Nhóm 5 (gồm TC: 2-1-2): Đã có Log Evidence.</t>
        </is>
      </c>
    </row>
    <row r="367">
      <c r="A367" s="2" t="inlineStr">
        <is>
          <t xml:space="preserve">  - ✅ Nhóm 6 (gồm TC: 2-1-4): Đã có Log Evidence.</t>
        </is>
      </c>
    </row>
    <row r="368">
      <c r="A368" s="2" t="inlineStr">
        <is>
          <t xml:space="preserve">  - ✅ Nhóm 7 (gồm TC: 2-1-3): Đã có Log Evidence.</t>
        </is>
      </c>
    </row>
    <row r="369">
      <c r="A369" s="2" t="inlineStr">
        <is>
          <t xml:space="preserve">  - ✅ Nhóm 8 (gồm TC: 2-1-5): Đã có Log Evidence.</t>
        </is>
      </c>
    </row>
    <row r="370">
      <c r="A370" t="inlineStr">
        <is>
          <t xml:space="preserve">  =&gt; TOÀN BỘ CÁC NHÓM TEST TRONG KẾ HOẠCH ĐỀU ĐÃ CÓ EVIDENCE!</t>
        </is>
      </c>
    </row>
    <row r="371">
      <c r="A371" t="inlineStr"/>
    </row>
    <row r="372">
      <c r="A37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7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" t="inlineStr">
        <is>
          <t>✅ Đã check xong file '単体テスト仕様書兼成績書_E304_RFSH0239.xlsx'. Nhấn Enter để tiếp tục sang file tiếp theo...</t>
        </is>
      </c>
    </row>
    <row r="2">
      <c r="A2" s="1">
        <f>======================== [9/16] ĐANG XỬ LÝ FILE: 単体テスト仕様書兼成績書_E304_RFSH0274.xlsx =========================</f>
        <v/>
      </c>
    </row>
    <row r="3">
      <c r="A3" t="inlineStr">
        <is>
          <t>Đang đọc dữ liệu từ file: 単体テスト仕様書兼成績書_E304_RFSH0274.xlsx ...</t>
        </is>
      </c>
    </row>
    <row r="4">
      <c r="A4" t="inlineStr"/>
    </row>
    <row r="5">
      <c r="A5" s="1">
        <f>=============== TRẠNG THÁI OCR ================</f>
        <v/>
      </c>
    </row>
    <row r="6">
      <c r="A6" s="2" t="inlineStr">
        <is>
          <t>✅ Đã bật (Sẵn sàng đọc ảnh)</t>
        </is>
      </c>
    </row>
    <row r="7">
      <c r="A7" t="inlineStr"/>
    </row>
    <row r="8">
      <c r="A8" s="1">
        <f>=============== KIỂM TRA TRẠNG THÁI MỞ FILE ================</f>
        <v/>
      </c>
    </row>
    <row r="9">
      <c r="A9" s="2" t="inlineStr">
        <is>
          <t>✅ File đang mở ở sheet đầu tiên '表紙 '.</t>
        </is>
      </c>
    </row>
    <row r="10">
      <c r="A10" s="2" t="inlineStr">
        <is>
          <t>✅ Con trỏ chuột đang nằm ở ô 'A1'.</t>
        </is>
      </c>
    </row>
    <row r="11">
      <c r="A11" t="inlineStr"/>
    </row>
    <row r="12">
      <c r="A12" s="1">
        <f>=============== SHEET: エビデンス(共通) ================</f>
        <v/>
      </c>
    </row>
    <row r="13">
      <c r="A13" t="inlineStr">
        <is>
          <t xml:space="preserve">  -&gt; Tìm thấy 44 ảnh trong sheet này.</t>
        </is>
      </c>
    </row>
    <row r="14">
      <c r="A14" s="1">
        <f>=============== SHEET: エビデンス(個別) ================</f>
        <v/>
      </c>
    </row>
    <row r="15">
      <c r="A15" t="inlineStr">
        <is>
          <t xml:space="preserve">  -&gt; Tìm thấy 40 ảnh trong sheet này.</t>
        </is>
      </c>
    </row>
    <row r="16">
      <c r="A16" t="inlineStr"/>
    </row>
    <row r="17">
      <c r="A17" s="1" t="inlineStr">
        <is>
          <t>[GEMINI MANUAL MODE] ♻️ Đã tìm thấy file JSON kết quả cũ tại:</t>
        </is>
      </c>
    </row>
    <row r="18">
      <c r="A18" t="inlineStr">
        <is>
          <t>D:\project\tool\New folder\Gemini_Upload_単体テスト仕様書兼成績書_E304_RFSH0274\gemini_result.json</t>
        </is>
      </c>
    </row>
    <row r="19">
      <c r="A19">
        <f>&gt; Sử dụng luôn kết quả này, bỏ qua bước xuất ảnh PDF và hỏi lại Gemini.</f>
        <v/>
      </c>
    </row>
    <row r="20">
      <c r="A20" t="inlineStr"/>
    </row>
    <row r="21">
      <c r="A21" s="1">
        <f>=============== ĐANG PHÂN TÍCH KẾT QUẢ SHEET: エビデンス(共通) ================</f>
        <v/>
      </c>
    </row>
    <row r="22">
      <c r="A22" t="inlineStr"/>
    </row>
    <row r="23">
      <c r="A23" s="1" t="inlineStr">
        <is>
          <t>[Kiểm tra Cấu hình Flow - Trước khi Test]:</t>
        </is>
      </c>
    </row>
    <row r="24">
      <c r="A24" s="2" t="inlineStr">
        <is>
          <t xml:space="preserve">  - [Ảnh Flow]: ✅ Tìm thấy P_JobnetID: 'P1J0274@10274'</t>
        </is>
      </c>
    </row>
    <row r="25">
      <c r="A25" s="2" t="inlineStr">
        <is>
          <t xml:space="preserve">      ✅ OK: P_JobnetID 'P1J0274@10274' có chứa mã '0274' của file.</t>
        </is>
      </c>
    </row>
    <row r="26">
      <c r="A26" s="2" t="inlineStr">
        <is>
          <t xml:space="preserve">  - [Ảnh Flow]: ✅ Tìm thấy P_InterfaceID: 'RFSH0274'</t>
        </is>
      </c>
    </row>
    <row r="27">
      <c r="A27" s="2" t="inlineStr">
        <is>
          <t xml:space="preserve">      ✅ OK: P_InterfaceID 'RFSH0274' có chứa mã '0274' của file.</t>
        </is>
      </c>
    </row>
    <row r="28">
      <c r="A28" t="inlineStr"/>
    </row>
    <row r="29">
      <c r="A29" s="1" t="inlineStr">
        <is>
          <t>[Nhóm Test]: ■1回目 正常系・1000件未満・ファイル送信前結合有無=false</t>
        </is>
      </c>
    </row>
    <row r="30">
      <c r="A30" t="inlineStr">
        <is>
          <t xml:space="preserve">  - Tổng số dòng log: 53</t>
        </is>
      </c>
    </row>
    <row r="31">
      <c r="A31" s="2" t="inlineStr">
        <is>
          <t xml:space="preserve">  - Trạng thái Sort (行): ✅ Đã sắp xếp tăng dần hợp lệ.</t>
        </is>
      </c>
    </row>
    <row r="32">
      <c r="A32" t="inlineStr">
        <is>
          <t xml:space="preserve">  - Ngày chạy log: 2026/05/18</t>
        </is>
      </c>
    </row>
    <row r="33">
      <c r="A33" t="inlineStr">
        <is>
          <t xml:space="preserve">  - [Ảnh Status Panel]: Tìm thấy Jobnet ID: 'P1J0274@10274'</t>
        </is>
      </c>
    </row>
    <row r="34">
      <c r="A34" t="inlineStr">
        <is>
          <t xml:space="preserve">  - [Ảnh Status Panel]: Tìm thấy Interface ID: 'RFSH0274'</t>
        </is>
      </c>
    </row>
    <row r="35">
      <c r="A35" s="2" t="inlineStr">
        <is>
          <t xml:space="preserve">      ✅ OK: Interface ID 'RFSH0274' có tồn tại trong tên file Excel.</t>
        </is>
      </c>
    </row>
    <row r="36">
      <c r="A36" t="inlineStr">
        <is>
          <t xml:space="preserve">  - [Ảnh Status Panel]: Tìm thấy giờ bắt đầu là 17:18:54</t>
        </is>
      </c>
    </row>
    <row r="37">
      <c r="A37" s="2" t="inlineStr">
        <is>
          <t xml:space="preserve">      ✅ OK: Thời gian log (17:18:54) &gt;= Thời gian ảnh (17:18:54)</t>
        </is>
      </c>
    </row>
    <row r="38">
      <c r="A38" s="2" t="inlineStr">
        <is>
          <t xml:space="preserve">      ✅ OK: Duration Log Main (380ms) &lt; Duration Ảnh (567ms)</t>
        </is>
      </c>
    </row>
    <row r="39">
      <c r="A39" t="inlineStr">
        <is>
          <t xml:space="preserve">  - [Ảnh Log Viewer]: Tìm thấy thời gian kết thúc trong ảnh log là '17:18:55'</t>
        </is>
      </c>
    </row>
    <row r="40">
      <c r="A40" s="2" t="inlineStr">
        <is>
          <t xml:space="preserve">      ✅ OK: Giờ kết thúc trong ảnh Log (17:18:55) KHỚP với log text (17:18:55).</t>
        </is>
      </c>
    </row>
    <row r="41">
      <c r="A41" s="2" t="inlineStr">
        <is>
          <t xml:space="preserve">      ✅ OK: Giờ ảnh Log (17:18:55) &gt;= Giờ bắt đầu (17:18:54).</t>
        </is>
      </c>
    </row>
    <row r="42">
      <c r="A42" s="2" t="inlineStr">
        <is>
          <t xml:space="preserve">      ✅ OK: Jobnet ID 'P1J0274@10274' khớp với dữ liệu trong Log.</t>
        </is>
      </c>
    </row>
    <row r="43">
      <c r="A43" t="inlineStr">
        <is>
          <t xml:space="preserve">  - [Kiểm tra File]: Log text báo có tạo ra file 'RFSH0274_output.tsv'.</t>
        </is>
      </c>
    </row>
    <row r="44">
      <c r="A44" s="2" t="inlineStr">
        <is>
          <t xml:space="preserve">      ✅ OK: Tên file trong ảnh File Explorer (RFSH0274_output.tsv) KHỚP với tên file trong Log text.</t>
        </is>
      </c>
    </row>
    <row r="45">
      <c r="A45" t="inlineStr">
        <is>
          <t xml:space="preserve">  - [Ảnh File Explorer]: Tìm thấy file 'RFSH0274_output.tsv' có Date modified là '2026/05/18 17:18'</t>
        </is>
      </c>
    </row>
    <row r="46">
      <c r="A46" s="2" t="inlineStr">
        <is>
          <t xml:space="preserve">      ✅ OK: Thời gian xuất file 'RFSH0274_output.tsv' (2026/05/18 17:18) KHỚP với log (2026/05/18 17:18).</t>
        </is>
      </c>
    </row>
    <row r="47">
      <c r="A47" t="inlineStr">
        <is>
          <t xml:space="preserve">  - [Đối chiếu Testcase trong Log]:</t>
        </is>
      </c>
    </row>
    <row r="48">
      <c r="A48" t="inlineStr">
        <is>
          <t xml:space="preserve">  - [Đối chiếu テスト計画書兼結果報告書(共通)]: Tìm thấy 13 dòng (6, 8, 12, 14, 18, 20, 25, 28, 33, 37, 39, 42, 45)</t>
        </is>
      </c>
    </row>
    <row r="49">
      <c r="A49" s="2" t="inlineStr">
        <is>
          <t xml:space="preserve">      + Số lần test (Cột K): ✅ Tất cả 13 dòng đều khớp (Lần 1)</t>
        </is>
      </c>
    </row>
    <row r="50">
      <c r="A50" s="2" t="inlineStr">
        <is>
          <t xml:space="preserve">      + Ngày test (Cột I/G): ✅ Khớp ngày (2026/05/18) cho tất cả các dòng có dữ liệu</t>
        </is>
      </c>
    </row>
    <row r="51">
      <c r="A51" t="inlineStr"/>
    </row>
    <row r="52">
      <c r="A52" s="1" t="inlineStr">
        <is>
          <t>[Nhóm Test]: ■2回目 異常系・起動パラメータ不正</t>
        </is>
      </c>
    </row>
    <row r="53">
      <c r="A53" t="inlineStr">
        <is>
          <t xml:space="preserve">  - Tổng số dòng log: 23</t>
        </is>
      </c>
    </row>
    <row r="54">
      <c r="A54" s="2" t="inlineStr">
        <is>
          <t xml:space="preserve">  - Trạng thái Sort (行): ✅ Đã sắp xếp tăng dần hợp lệ.</t>
        </is>
      </c>
    </row>
    <row r="55">
      <c r="A55" t="inlineStr">
        <is>
          <t xml:space="preserve">  - Ngày chạy log: 2026/05/18</t>
        </is>
      </c>
    </row>
    <row r="56">
      <c r="A56" t="inlineStr">
        <is>
          <t xml:space="preserve">  - [Ảnh Status Panel]: Tìm thấy Jobnet ID: ''</t>
        </is>
      </c>
    </row>
    <row r="57">
      <c r="A57" t="inlineStr">
        <is>
          <t xml:space="preserve">  - [Ảnh Status Panel]: Tìm thấy Interface ID: ''</t>
        </is>
      </c>
    </row>
    <row r="58">
      <c r="A58" s="3" t="inlineStr">
        <is>
          <t xml:space="preserve">      ⚠️ Interface ID là chuỗi rỗng nên bỏ qua kiểm tra với tên file.</t>
        </is>
      </c>
    </row>
    <row r="59">
      <c r="A59" t="inlineStr">
        <is>
          <t xml:space="preserve">  - [Ảnh Status Panel]: Tìm thấy giờ bắt đầu là 17:23:27</t>
        </is>
      </c>
    </row>
    <row r="60">
      <c r="A60" s="2" t="inlineStr">
        <is>
          <t xml:space="preserve">      ✅ OK: Thời gian log (17:23:27) &gt;= Thời gian ảnh (17:23:27)</t>
        </is>
      </c>
    </row>
    <row r="61">
      <c r="A61" s="2" t="inlineStr">
        <is>
          <t xml:space="preserve">      ✅ OK: Duration Log Main (91ms) &lt; Duration Ảnh (294ms)</t>
        </is>
      </c>
    </row>
    <row r="62">
      <c r="A62" t="inlineStr">
        <is>
          <t xml:space="preserve">  - [Ảnh Log Viewer]: Tìm thấy thời gian kết thúc trong ảnh log là '17:23:27'</t>
        </is>
      </c>
    </row>
    <row r="63">
      <c r="A63" s="2" t="inlineStr">
        <is>
          <t xml:space="preserve">      ✅ OK: Giờ kết thúc trong ảnh Log (17:23:27) KHỚP với log text (17:23:27).</t>
        </is>
      </c>
    </row>
    <row r="64">
      <c r="A64" s="2" t="inlineStr">
        <is>
          <t xml:space="preserve">      ✅ OK: Giờ ảnh Log (17:23:27) &gt;= Giờ bắt đầu (17:23:27).</t>
        </is>
      </c>
    </row>
    <row r="65">
      <c r="A65" s="2" t="inlineStr">
        <is>
          <t xml:space="preserve">      ✅ OK: Jobnet ID '' khớp với dữ liệu trong Log.</t>
        </is>
      </c>
    </row>
    <row r="66">
      <c r="A66" t="inlineStr">
        <is>
          <t xml:space="preserve">  - [Đối chiếu Testcase trong Log]:</t>
        </is>
      </c>
    </row>
    <row r="67">
      <c r="A67" t="inlineStr">
        <is>
          <t xml:space="preserve">  - [Đối chiếu テスト計画書兼結果報告書(共通)]: Tìm thấy 2 dòng (9, 15)</t>
        </is>
      </c>
    </row>
    <row r="68">
      <c r="A68" s="2" t="inlineStr">
        <is>
          <t xml:space="preserve">      + Số lần test (Cột K): ✅ Tất cả 2 dòng đều khớp (Lần 2)</t>
        </is>
      </c>
    </row>
    <row r="69">
      <c r="A69" s="2" t="inlineStr">
        <is>
          <t xml:space="preserve">      + Ngày test (Cột I/G): ✅ Khớp ngày (2026/05/18) cho tất cả các dòng có dữ liệu</t>
        </is>
      </c>
    </row>
    <row r="70">
      <c r="A70" t="inlineStr"/>
    </row>
    <row r="71">
      <c r="A71" s="1" t="inlineStr">
        <is>
          <t>[Nhóm Test]: ■3回目 正常系・ファイル送信前結合有無=true</t>
        </is>
      </c>
    </row>
    <row r="72">
      <c r="A72" t="inlineStr">
        <is>
          <t xml:space="preserve">  - Tổng số dòng log: 65</t>
        </is>
      </c>
    </row>
    <row r="73">
      <c r="A73" s="2" t="inlineStr">
        <is>
          <t xml:space="preserve">  - Trạng thái Sort (行): ✅ Đã sắp xếp tăng dần hợp lệ.</t>
        </is>
      </c>
    </row>
    <row r="74">
      <c r="A74" t="inlineStr">
        <is>
          <t xml:space="preserve">  - Ngày chạy log: 2026/05/18</t>
        </is>
      </c>
    </row>
    <row r="75">
      <c r="A75" t="inlineStr">
        <is>
          <t xml:space="preserve">  - [Ảnh Status Panel]: Tìm thấy Jobnet ID: 'P1J0274@10274'</t>
        </is>
      </c>
    </row>
    <row r="76">
      <c r="A76" t="inlineStr">
        <is>
          <t xml:space="preserve">  - [Ảnh Status Panel]: Tìm thấy Interface ID: 'RFSH0274'</t>
        </is>
      </c>
    </row>
    <row r="77">
      <c r="A77" s="2" t="inlineStr">
        <is>
          <t xml:space="preserve">      ✅ OK: Interface ID 'RFSH0274' có tồn tại trong tên file Excel.</t>
        </is>
      </c>
    </row>
    <row r="78">
      <c r="A78" t="inlineStr">
        <is>
          <t xml:space="preserve">  - [Ảnh Status Panel]: Tìm thấy giờ bắt đầu là 17:26:57</t>
        </is>
      </c>
    </row>
    <row r="79">
      <c r="A79" s="2" t="inlineStr">
        <is>
          <t xml:space="preserve">      ✅ OK: Thời gian log (17:26:57) &gt;= Thời gian ảnh (17:26:57)</t>
        </is>
      </c>
    </row>
    <row r="80">
      <c r="A80" s="2" t="inlineStr">
        <is>
          <t xml:space="preserve">      ✅ OK: Duration Log Main (345ms) &lt; Duration Ảnh (543ms)</t>
        </is>
      </c>
    </row>
    <row r="81">
      <c r="A81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82">
      <c r="A82" s="2" t="inlineStr">
        <is>
          <t xml:space="preserve">      ✅ OK: Jobnet ID 'P1J0274@10274' khớp với dữ liệu trong Log.</t>
        </is>
      </c>
    </row>
    <row r="83">
      <c r="A83" t="inlineStr">
        <is>
          <t xml:space="preserve">  - [Kiểm tra File]: Log text báo có tạo ra file 'RFSH0274_output.tsv'.</t>
        </is>
      </c>
    </row>
    <row r="84">
      <c r="A84" s="2" t="inlineStr">
        <is>
          <t xml:space="preserve">      ✅ OK: Tên file trong ảnh File Explorer (RFSH0274_output.tsv) KHỚP với tên file trong Log text.</t>
        </is>
      </c>
    </row>
    <row r="85">
      <c r="A85" t="inlineStr">
        <is>
          <t xml:space="preserve">  - [Ảnh File Explorer]: Tìm thấy file 'RFSH0274_output.tsv' có Date modified là '2026/05/18 17:26'</t>
        </is>
      </c>
    </row>
    <row r="86">
      <c r="A86" s="2" t="inlineStr">
        <is>
          <t xml:space="preserve">      ✅ OK: Thời gian xuất file 'RFSH0274_output.tsv' (2026/05/18 17:26) KHỚP với log (2026/05/18 17:26).</t>
        </is>
      </c>
    </row>
    <row r="87">
      <c r="A87" t="inlineStr">
        <is>
          <t xml:space="preserve">  - [Đối chiếu Testcase trong Log]:</t>
        </is>
      </c>
    </row>
    <row r="88">
      <c r="A88" t="inlineStr">
        <is>
          <t xml:space="preserve">  - [Đối chiếu テスト計画書兼結果報告書(共通)]: Tìm thấy 1 dòng (21)</t>
        </is>
      </c>
    </row>
    <row r="89">
      <c r="A89" s="2" t="inlineStr">
        <is>
          <t xml:space="preserve">      + Số lần test (Cột K): ✅ Tất cả 1 dòng đều khớp (Lần 3)</t>
        </is>
      </c>
    </row>
    <row r="90">
      <c r="A90" s="2" t="inlineStr">
        <is>
          <t xml:space="preserve">      + Ngày test (Cột I/G): ✅ Khớp ngày (2026/05/18) cho tất cả các dòng có dữ liệu</t>
        </is>
      </c>
    </row>
    <row r="91">
      <c r="A91" t="inlineStr"/>
    </row>
    <row r="92">
      <c r="A92" s="1" t="inlineStr">
        <is>
          <t>[Nhóm Test]: ■4回目 異常系・すでにファイルが存在する場合</t>
        </is>
      </c>
    </row>
    <row r="93">
      <c r="A93" t="inlineStr">
        <is>
          <t xml:space="preserve">  - Tổng số dòng log: 55</t>
        </is>
      </c>
    </row>
    <row r="94">
      <c r="A94" s="2" t="inlineStr">
        <is>
          <t xml:space="preserve">  - Trạng thái Sort (行): ✅ Đã sắp xếp tăng dần hợp lệ.</t>
        </is>
      </c>
    </row>
    <row r="95">
      <c r="A95" t="inlineStr">
        <is>
          <t xml:space="preserve">  - Ngày chạy log: 2026/05/18</t>
        </is>
      </c>
    </row>
    <row r="96">
      <c r="A96" t="inlineStr">
        <is>
          <t xml:space="preserve">  - [Ảnh Status Panel]: Tìm thấy Jobnet ID: 'P1J0274@10274'</t>
        </is>
      </c>
    </row>
    <row r="97">
      <c r="A97" t="inlineStr">
        <is>
          <t xml:space="preserve">  - [Ảnh Status Panel]: Tìm thấy Interface ID: 'RFSH0274'</t>
        </is>
      </c>
    </row>
    <row r="98">
      <c r="A98" s="2" t="inlineStr">
        <is>
          <t xml:space="preserve">      ✅ OK: Interface ID 'RFSH0274' có tồn tại trong tên file Excel.</t>
        </is>
      </c>
    </row>
    <row r="99">
      <c r="A99" t="inlineStr">
        <is>
          <t xml:space="preserve">  - [Ảnh Status Panel]: Tìm thấy giờ bắt đầu là 17:29:55</t>
        </is>
      </c>
    </row>
    <row r="100">
      <c r="A100" s="2" t="inlineStr">
        <is>
          <t xml:space="preserve">      ✅ OK: Thời gian log (17:29:55) &gt;= Thời gian ảnh (17:29:55)</t>
        </is>
      </c>
    </row>
    <row r="101">
      <c r="A101" s="2" t="inlineStr">
        <is>
          <t xml:space="preserve">      ✅ OK: Duration Log Main (154ms) &lt; Duration Ảnh (334ms)</t>
        </is>
      </c>
    </row>
    <row r="102">
      <c r="A102" t="inlineStr">
        <is>
          <t xml:space="preserve">  - [Ảnh Log Viewer]: Tìm thấy thời gian kết thúc trong ảnh log là '17:29:55'</t>
        </is>
      </c>
    </row>
    <row r="103">
      <c r="A103" s="2" t="inlineStr">
        <is>
          <t xml:space="preserve">      ✅ OK: Giờ kết thúc trong ảnh Log (17:29:55) KHỚP với log text (17:29:55).</t>
        </is>
      </c>
    </row>
    <row r="104">
      <c r="A104" s="2" t="inlineStr">
        <is>
          <t xml:space="preserve">      ✅ OK: Giờ ảnh Log (17:29:55) &gt;= Giờ bắt đầu (17:29:55).</t>
        </is>
      </c>
    </row>
    <row r="105">
      <c r="A105" s="2" t="inlineStr">
        <is>
          <t xml:space="preserve">      ✅ OK: Jobnet ID 'P1J0274@10274' khớp với dữ liệu trong Log.</t>
        </is>
      </c>
    </row>
    <row r="106">
      <c r="A106" t="inlineStr">
        <is>
          <t xml:space="preserve">  - [Đối chiếu Testcase trong Log]:</t>
        </is>
      </c>
    </row>
    <row r="107">
      <c r="A107" t="inlineStr">
        <is>
          <t xml:space="preserve">  - [Đối chiếu テスト計画書兼結果報告書(共通)]: Tìm thấy 1 dòng (22)</t>
        </is>
      </c>
    </row>
    <row r="108">
      <c r="A108" s="2" t="inlineStr">
        <is>
          <t xml:space="preserve">      + Số lần test (Cột K): ✅ Tất cả 1 dòng đều khớp (Lần 4)</t>
        </is>
      </c>
    </row>
    <row r="109">
      <c r="A109" s="2" t="inlineStr">
        <is>
          <t xml:space="preserve">      + Ngày test (Cột I/G): ✅ Khớp ngày (2026/05/18) cho tất cả các dòng có dữ liệu</t>
        </is>
      </c>
    </row>
    <row r="110">
      <c r="A110" t="inlineStr"/>
    </row>
    <row r="111">
      <c r="A111" s="1" t="inlineStr">
        <is>
          <t>[Nhóm Test]: ■5回目 正常系・0byteファイル</t>
        </is>
      </c>
    </row>
    <row r="112">
      <c r="A112" t="inlineStr">
        <is>
          <t xml:space="preserve">  - Tổng số dòng log: 61</t>
        </is>
      </c>
    </row>
    <row r="113">
      <c r="A113" s="2" t="inlineStr">
        <is>
          <t xml:space="preserve">  - Trạng thái Sort (行): ✅ Đã sắp xếp tăng dần hợp lệ.</t>
        </is>
      </c>
    </row>
    <row r="114">
      <c r="A114" t="inlineStr">
        <is>
          <t xml:space="preserve">  - Ngày chạy log: 2026/05/18</t>
        </is>
      </c>
    </row>
    <row r="115">
      <c r="A115" t="inlineStr">
        <is>
          <t xml:space="preserve">  - [Ảnh Status Panel]: Tìm thấy Jobnet ID: 'P1J0274@10274'</t>
        </is>
      </c>
    </row>
    <row r="116">
      <c r="A116" t="inlineStr">
        <is>
          <t xml:space="preserve">  - [Ảnh Status Panel]: Tìm thấy Interface ID: 'RFSH0274'</t>
        </is>
      </c>
    </row>
    <row r="117">
      <c r="A117" s="2" t="inlineStr">
        <is>
          <t xml:space="preserve">      ✅ OK: Interface ID 'RFSH0274' có tồn tại trong tên file Excel.</t>
        </is>
      </c>
    </row>
    <row r="118">
      <c r="A118" t="inlineStr">
        <is>
          <t xml:space="preserve">  - [Ảnh Status Panel]: Tìm thấy giờ bắt đầu là 17:33:39</t>
        </is>
      </c>
    </row>
    <row r="119">
      <c r="A119" s="2" t="inlineStr">
        <is>
          <t xml:space="preserve">      ✅ OK: Thời gian log (17:33:39) &gt;= Thời gian ảnh (17:33:39)</t>
        </is>
      </c>
    </row>
    <row r="120">
      <c r="A120" s="2" t="inlineStr">
        <is>
          <t xml:space="preserve">      ✅ OK: Duration Log Main (193ms) &lt; Duration Ảnh (385ms)</t>
        </is>
      </c>
    </row>
    <row r="121">
      <c r="A121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22">
      <c r="A122" s="2" t="inlineStr">
        <is>
          <t xml:space="preserve">      ✅ OK: Jobnet ID 'P1J0274@10274' khớp với dữ liệu trong Log.</t>
        </is>
      </c>
    </row>
    <row r="123">
      <c r="A123" t="inlineStr">
        <is>
          <t xml:space="preserve">  - [Kiểm tra File]: Log text báo có tạo ra file 'RFSH0274_output.tsv'.</t>
        </is>
      </c>
    </row>
    <row r="124">
      <c r="A124" s="2" t="inlineStr">
        <is>
          <t xml:space="preserve">      ✅ OK: Tên file trong ảnh File Explorer (RFSH0274_output.tsv) KHỚP với tên file trong Log text.</t>
        </is>
      </c>
    </row>
    <row r="125">
      <c r="A125" t="inlineStr">
        <is>
          <t xml:space="preserve">  - [Ảnh File Explorer]: Tìm thấy file 'RFSH0274_output.tsv' có Date modified là '2026/05/18 17:33'</t>
        </is>
      </c>
    </row>
    <row r="126">
      <c r="A126" s="2" t="inlineStr">
        <is>
          <t xml:space="preserve">      ✅ OK: Thời gian xuất file 'RFSH0274_output.tsv' (2026/05/18 17:33) KHỚP với log (2026/05/18 17:33).</t>
        </is>
      </c>
    </row>
    <row r="127">
      <c r="A127" t="inlineStr">
        <is>
          <t xml:space="preserve">  - [Đối chiếu Testcase trong Log]:</t>
        </is>
      </c>
    </row>
    <row r="128">
      <c r="A128" t="inlineStr">
        <is>
          <t xml:space="preserve">  - [Đối chiếu テスト計画書兼結果報告書(共通)]: Tìm thấy 2 dòng (26, 46)</t>
        </is>
      </c>
    </row>
    <row r="129">
      <c r="A129" s="2" t="inlineStr">
        <is>
          <t xml:space="preserve">      + Số lần test (Cột K): ✅ Tất cả 2 dòng đều khớp (Lần 5)</t>
        </is>
      </c>
    </row>
    <row r="130">
      <c r="A130" s="2" t="inlineStr">
        <is>
          <t xml:space="preserve">      + Ngày test (Cột I/G): ✅ Khớp ngày (2026/05/18) cho tất cả các dòng có dữ liệu</t>
        </is>
      </c>
    </row>
    <row r="131">
      <c r="A131" t="inlineStr"/>
    </row>
    <row r="132">
      <c r="A132" s="1" t="inlineStr">
        <is>
          <t>[Nhóm Test]: ■6回目 正常系・データ行1000行</t>
        </is>
      </c>
    </row>
    <row r="133">
      <c r="A133" t="inlineStr">
        <is>
          <t xml:space="preserve">  - Tổng số dòng log: 65</t>
        </is>
      </c>
    </row>
    <row r="134">
      <c r="A134" s="2" t="inlineStr">
        <is>
          <t xml:space="preserve">  - Trạng thái Sort (行): ✅ Đã sắp xếp tăng dần hợp lệ.</t>
        </is>
      </c>
    </row>
    <row r="135">
      <c r="A135" t="inlineStr">
        <is>
          <t xml:space="preserve">  - Ngày chạy log: 2026/05/18</t>
        </is>
      </c>
    </row>
    <row r="136">
      <c r="A136" t="inlineStr">
        <is>
          <t xml:space="preserve">  - [Ảnh Status Panel]: Tìm thấy Jobnet ID: 'P1J0274@10274'</t>
        </is>
      </c>
    </row>
    <row r="137">
      <c r="A137" t="inlineStr">
        <is>
          <t xml:space="preserve">  - [Ảnh Status Panel]: Tìm thấy Interface ID: 'RFSH0274'</t>
        </is>
      </c>
    </row>
    <row r="138">
      <c r="A138" s="2" t="inlineStr">
        <is>
          <t xml:space="preserve">      ✅ OK: Interface ID 'RFSH0274' có tồn tại trong tên file Excel.</t>
        </is>
      </c>
    </row>
    <row r="139">
      <c r="A139" t="inlineStr">
        <is>
          <t xml:space="preserve">  - [Ảnh Status Panel]: Tìm thấy giờ bắt đầu là 17:37:26</t>
        </is>
      </c>
    </row>
    <row r="140">
      <c r="A140" s="2" t="inlineStr">
        <is>
          <t xml:space="preserve">      ✅ OK: Thời gian log (17:37:26) &gt;= Thời gian ảnh (17:37:26)</t>
        </is>
      </c>
    </row>
    <row r="141">
      <c r="A141" s="2" t="inlineStr">
        <is>
          <t xml:space="preserve">      ✅ OK: Duration Log Main (612ms) &lt; Duration Ảnh (795ms)</t>
        </is>
      </c>
    </row>
    <row r="142">
      <c r="A142" t="inlineStr">
        <is>
          <t xml:space="preserve">  - [Ảnh Log Viewer]: Tìm thấy thời gian kết thúc trong ảnh log là '17:37:26'</t>
        </is>
      </c>
    </row>
    <row r="143">
      <c r="A143" s="2" t="inlineStr">
        <is>
          <t xml:space="preserve">      ✅ OK: Giờ kết thúc trong ảnh Log (17:37:26) KHỚP với log text (17:37:26).</t>
        </is>
      </c>
    </row>
    <row r="144">
      <c r="A144" s="2" t="inlineStr">
        <is>
          <t xml:space="preserve">      ✅ OK: Giờ ảnh Log (17:37:26) &gt;= Giờ bắt đầu (17:37:26).</t>
        </is>
      </c>
    </row>
    <row r="145">
      <c r="A145" s="2" t="inlineStr">
        <is>
          <t xml:space="preserve">      ✅ OK: Jobnet ID 'P1J0274@10274' khớp với dữ liệu trong Log.</t>
        </is>
      </c>
    </row>
    <row r="146">
      <c r="A146" t="inlineStr">
        <is>
          <t xml:space="preserve">  - [Kiểm tra File]: Log text báo có tạo ra file 'RFSH0274_output.tsv'.</t>
        </is>
      </c>
    </row>
    <row r="147">
      <c r="A147" s="2" t="inlineStr">
        <is>
          <t xml:space="preserve">      ✅ OK: Tên file trong ảnh File Explorer (RFSH0274_output.tsv) KHỚP với tên file trong Log text.</t>
        </is>
      </c>
    </row>
    <row r="148">
      <c r="A148" t="inlineStr">
        <is>
          <t xml:space="preserve">  - [Ảnh File Explorer]: Tìm thấy file 'RFSH0274_output.tsv' có Date modified là '2026/05/18 17:37'</t>
        </is>
      </c>
    </row>
    <row r="149">
      <c r="A149" s="2" t="inlineStr">
        <is>
          <t xml:space="preserve">      ✅ OK: Thời gian xuất file 'RFSH0274_output.tsv' (2026/05/18 17:37) KHỚP với log (2026/05/18 17:37).</t>
        </is>
      </c>
    </row>
    <row r="150">
      <c r="A150" t="inlineStr">
        <is>
          <t xml:space="preserve">  - [Đối chiếu Testcase trong Log]:</t>
        </is>
      </c>
    </row>
    <row r="151">
      <c r="A151" t="inlineStr">
        <is>
          <t xml:space="preserve">  - [Đối chiếu テスト計画書兼結果報告書(共通)]: Tìm thấy 1 dòng (29)</t>
        </is>
      </c>
    </row>
    <row r="152">
      <c r="A152" s="2" t="inlineStr">
        <is>
          <t xml:space="preserve">      + Số lần test (Cột K): ✅ Tất cả 1 dòng đều khớp (Lần 6)</t>
        </is>
      </c>
    </row>
    <row r="153">
      <c r="A153" s="2" t="inlineStr">
        <is>
          <t xml:space="preserve">      + Ngày test (Cột I/G): ✅ Khớp ngày (2026/05/18) cho tất cả các dòng có dữ liệu</t>
        </is>
      </c>
    </row>
    <row r="154">
      <c r="A154" t="inlineStr"/>
    </row>
    <row r="155">
      <c r="A155" s="1" t="inlineStr">
        <is>
          <t>[Nhóm Test]: ■7回目 正常系・データ行1000行以上</t>
        </is>
      </c>
    </row>
    <row r="156">
      <c r="A156" t="inlineStr">
        <is>
          <t xml:space="preserve">  - Tổng số dòng log: 77</t>
        </is>
      </c>
    </row>
    <row r="157">
      <c r="A157" s="2" t="inlineStr">
        <is>
          <t xml:space="preserve">  - Trạng thái Sort (行): ✅ Đã sắp xếp tăng dần hợp lệ.</t>
        </is>
      </c>
    </row>
    <row r="158">
      <c r="A158" t="inlineStr">
        <is>
          <t xml:space="preserve">  - Ngày chạy log: 2026/05/18</t>
        </is>
      </c>
    </row>
    <row r="159">
      <c r="A159" t="inlineStr">
        <is>
          <t xml:space="preserve">  - [Ảnh Status Panel]: Tìm thấy Jobnet ID: 'P1J0274@10274'</t>
        </is>
      </c>
    </row>
    <row r="160">
      <c r="A160" t="inlineStr">
        <is>
          <t xml:space="preserve">  - [Ảnh Status Panel]: Tìm thấy Interface ID: 'RFSH0274'</t>
        </is>
      </c>
    </row>
    <row r="161">
      <c r="A161" s="2" t="inlineStr">
        <is>
          <t xml:space="preserve">      ✅ OK: Interface ID 'RFSH0274' có tồn tại trong tên file Excel.</t>
        </is>
      </c>
    </row>
    <row r="162">
      <c r="A162" t="inlineStr">
        <is>
          <t xml:space="preserve">  - [Ảnh Status Panel]: Tìm thấy giờ bắt đầu là 17:42:44</t>
        </is>
      </c>
    </row>
    <row r="163">
      <c r="A163" s="2" t="inlineStr">
        <is>
          <t xml:space="preserve">      ✅ OK: Thời gian log (17:42:44) &gt;= Thời gian ảnh (17:42:44)</t>
        </is>
      </c>
    </row>
    <row r="164">
      <c r="A164" s="2" t="inlineStr">
        <is>
          <t xml:space="preserve">      ✅ OK: Duration Log Main (674ms) &lt; Duration Ảnh (877ms)</t>
        </is>
      </c>
    </row>
    <row r="165">
      <c r="A165" t="inlineStr">
        <is>
          <t xml:space="preserve">  - [Ảnh Log Viewer]: Tìm thấy thời gian kết thúc trong ảnh log là '17:42:45'</t>
        </is>
      </c>
    </row>
    <row r="166">
      <c r="A166" s="2" t="inlineStr">
        <is>
          <t xml:space="preserve">      ✅ OK: Giờ kết thúc trong ảnh Log (17:42:45) KHỚP với log text (17:42:45).</t>
        </is>
      </c>
    </row>
    <row r="167">
      <c r="A167" s="2" t="inlineStr">
        <is>
          <t xml:space="preserve">      ✅ OK: Giờ ảnh Log (17:42:45) &gt;= Giờ bắt đầu (17:42:44).</t>
        </is>
      </c>
    </row>
    <row r="168">
      <c r="A168" s="2" t="inlineStr">
        <is>
          <t xml:space="preserve">      ✅ OK: Jobnet ID 'P1J0274@10274' khớp với dữ liệu trong Log.</t>
        </is>
      </c>
    </row>
    <row r="169">
      <c r="A169" t="inlineStr">
        <is>
          <t xml:space="preserve">  - [Kiểm tra File]: Log text báo có tạo ra file 'RFSH0274_output.tsv'.</t>
        </is>
      </c>
    </row>
    <row r="170">
      <c r="A170" s="2" t="inlineStr">
        <is>
          <t xml:space="preserve">      ✅ OK: Tên file trong ảnh File Explorer (RFSH0274_output.tsv) KHỚP với tên file trong Log text.</t>
        </is>
      </c>
    </row>
    <row r="171">
      <c r="A171" t="inlineStr">
        <is>
          <t xml:space="preserve">  - [Ảnh File Explorer]: Tìm thấy file 'RFSH0274_output.tsv' có Date modified là '2026/05/18 17:42'</t>
        </is>
      </c>
    </row>
    <row r="172">
      <c r="A172" s="2" t="inlineStr">
        <is>
          <t xml:space="preserve">      ✅ OK: Thời gian xuất file 'RFSH0274_output.tsv' (2026/05/18 17:42) KHỚP với log (2026/05/18 17:42).</t>
        </is>
      </c>
    </row>
    <row r="173">
      <c r="A173" t="inlineStr">
        <is>
          <t xml:space="preserve">  - [Đối chiếu Testcase trong Log]:</t>
        </is>
      </c>
    </row>
    <row r="174">
      <c r="A174" t="inlineStr">
        <is>
          <t xml:space="preserve">  - [Đối chiếu テスト計画書兼結果報告書(共通)]: Tìm thấy 2 dòng (30, 35)</t>
        </is>
      </c>
    </row>
    <row r="175">
      <c r="A175" s="2" t="inlineStr">
        <is>
          <t xml:space="preserve">      + Số lần test (Cột K): ✅ Tất cả 2 dòng đều khớp (Lần 7)</t>
        </is>
      </c>
    </row>
    <row r="176">
      <c r="A176" s="2" t="inlineStr">
        <is>
          <t xml:space="preserve">      + Ngày test (Cột I/G): ✅ Khớp ngày (2026/05/18) cho tất cả các dòng có dữ liệu</t>
        </is>
      </c>
    </row>
    <row r="177">
      <c r="A177" t="inlineStr"/>
    </row>
    <row r="178">
      <c r="A178" s="1">
        <f>=============== ĐANG PHÂN TÍCH KẾT QUẢ SHEET: エビデンス(個別) ================</f>
        <v/>
      </c>
    </row>
    <row r="179">
      <c r="A179" t="inlineStr"/>
    </row>
    <row r="180">
      <c r="A180" s="1" t="inlineStr">
        <is>
          <t>[Nhóm Test]: ■1回目 正常系・0byteファイル</t>
        </is>
      </c>
    </row>
    <row r="181">
      <c r="A181" t="inlineStr">
        <is>
          <t xml:space="preserve">  - Tổng số dòng log: 49</t>
        </is>
      </c>
    </row>
    <row r="182">
      <c r="A182" s="2" t="inlineStr">
        <is>
          <t xml:space="preserve">  - Trạng thái Sort (行): ✅ Đã sắp xếp tăng dần hợp lệ.</t>
        </is>
      </c>
    </row>
    <row r="183">
      <c r="A183" t="inlineStr">
        <is>
          <t xml:space="preserve">  - Ngày chạy log: 2026/05/18</t>
        </is>
      </c>
    </row>
    <row r="184">
      <c r="A184" t="inlineStr">
        <is>
          <t xml:space="preserve">  - [Ảnh Status Panel]: Tìm thấy Jobnet ID: 'P1J0274@10274'</t>
        </is>
      </c>
    </row>
    <row r="185">
      <c r="A185" t="inlineStr">
        <is>
          <t xml:space="preserve">  - [Ảnh Status Panel]: Tìm thấy Interface ID: 'RFSH0274'</t>
        </is>
      </c>
    </row>
    <row r="186">
      <c r="A186" s="2" t="inlineStr">
        <is>
          <t xml:space="preserve">      ✅ OK: Interface ID 'RFSH0274' có tồn tại trong tên file Excel.</t>
        </is>
      </c>
    </row>
    <row r="187">
      <c r="A187" t="inlineStr">
        <is>
          <t xml:space="preserve">  - [Ảnh Status Panel]: Tìm thấy giờ bắt đầu là 17:47:27</t>
        </is>
      </c>
    </row>
    <row r="188">
      <c r="A188" s="2" t="inlineStr">
        <is>
          <t xml:space="preserve">      ✅ OK: Thời gian log (17:47:27) &gt;= Thời gian ảnh (17:47:27)</t>
        </is>
      </c>
    </row>
    <row r="189">
      <c r="A189" s="2" t="inlineStr">
        <is>
          <t xml:space="preserve">      ✅ OK: Duration Log Main (215ms) &lt; Duration Ảnh (409ms)</t>
        </is>
      </c>
    </row>
    <row r="190">
      <c r="A190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91">
      <c r="A191" s="2" t="inlineStr">
        <is>
          <t xml:space="preserve">      ✅ OK: Jobnet ID 'P1J0274@10274' khớp với dữ liệu trong Log.</t>
        </is>
      </c>
    </row>
    <row r="192">
      <c r="A192" t="inlineStr">
        <is>
          <t xml:space="preserve">  - [Kiểm tra File]: Log text báo có tạo ra file 'RFSH0274_output.tsv'.</t>
        </is>
      </c>
    </row>
    <row r="193">
      <c r="A193" s="2" t="inlineStr">
        <is>
          <t xml:space="preserve">      ✅ OK: Tên file trong ảnh File Explorer (RFSH0274_output.tsv) KHỚP với tên file trong Log text.</t>
        </is>
      </c>
    </row>
    <row r="194">
      <c r="A194" t="inlineStr">
        <is>
          <t xml:space="preserve">  - [Ảnh File Explorer]: Tìm thấy file 'RFSH0274_output.tsv' có Date modified là '2026/05/18 17:47'</t>
        </is>
      </c>
    </row>
    <row r="195">
      <c r="A195" s="2" t="inlineStr">
        <is>
          <t xml:space="preserve">      ✅ OK: Thời gian xuất file 'RFSH0274_output.tsv' (2026/05/18 17:47) KHỚP với log (2026/05/18 17:47).</t>
        </is>
      </c>
    </row>
    <row r="196">
      <c r="A196" t="inlineStr">
        <is>
          <t xml:space="preserve">  - [Đối chiếu Testcase trong Log]:</t>
        </is>
      </c>
    </row>
    <row r="197">
      <c r="A197" t="inlineStr">
        <is>
          <t xml:space="preserve">  - [Đối chiếu テスト計画書兼結果報告書(個別)]: Tìm thấy 1 dòng (6)</t>
        </is>
      </c>
    </row>
    <row r="198">
      <c r="A198" s="2" t="inlineStr">
        <is>
          <t xml:space="preserve">      + Số lần test (Cột K): ✅ Tất cả 1 dòng đều khớp (Lần 1)</t>
        </is>
      </c>
    </row>
    <row r="199">
      <c r="A199" s="2" t="inlineStr">
        <is>
          <t xml:space="preserve">      + Ngày test (Cột I/G): ✅ Khớp ngày (2026/05/18) cho tất cả các dòng có dữ liệu</t>
        </is>
      </c>
    </row>
    <row r="200">
      <c r="A200" t="inlineStr"/>
    </row>
    <row r="201">
      <c r="A201" s="1" t="inlineStr">
        <is>
          <t>[Nhóm Test]: ■2回目 正常系・全項目空データファイル</t>
        </is>
      </c>
    </row>
    <row r="202">
      <c r="A202" t="inlineStr">
        <is>
          <t xml:space="preserve">  - Tổng số dòng log: 53</t>
        </is>
      </c>
    </row>
    <row r="203">
      <c r="A203" s="2" t="inlineStr">
        <is>
          <t xml:space="preserve">  - Trạng thái Sort (行): ✅ Đã sắp xếp tăng dần hợp lệ.</t>
        </is>
      </c>
    </row>
    <row r="204">
      <c r="A204" t="inlineStr">
        <is>
          <t xml:space="preserve">  - Ngày chạy log: 2026/05/18</t>
        </is>
      </c>
    </row>
    <row r="205">
      <c r="A205" t="inlineStr">
        <is>
          <t xml:space="preserve">  - [Ảnh Status Panel]: Tìm thấy Jobnet ID: 'P1J0274@10274'</t>
        </is>
      </c>
    </row>
    <row r="206">
      <c r="A206" t="inlineStr">
        <is>
          <t xml:space="preserve">  - [Ảnh Status Panel]: Tìm thấy Interface ID: 'RFSH0274'</t>
        </is>
      </c>
    </row>
    <row r="207">
      <c r="A207" s="2" t="inlineStr">
        <is>
          <t xml:space="preserve">      ✅ OK: Interface ID 'RFSH0274' có tồn tại trong tên file Excel.</t>
        </is>
      </c>
    </row>
    <row r="208">
      <c r="A208" t="inlineStr">
        <is>
          <t xml:space="preserve">  - [Ảnh Status Panel]: Tìm thấy giờ bắt đầu là 17:49:24</t>
        </is>
      </c>
    </row>
    <row r="209">
      <c r="A209" s="2" t="inlineStr">
        <is>
          <t xml:space="preserve">      ✅ OK: Thời gian log (17:49:24) &gt;= Thời gian ảnh (17:49:24)</t>
        </is>
      </c>
    </row>
    <row r="210">
      <c r="A210" s="2" t="inlineStr">
        <is>
          <t xml:space="preserve">      ✅ OK: Duration Log Main (553ms) &lt; Duration Ảnh (743ms)</t>
        </is>
      </c>
    </row>
    <row r="211">
      <c r="A211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12">
      <c r="A212" s="2" t="inlineStr">
        <is>
          <t xml:space="preserve">      ✅ OK: Jobnet ID 'P1J0274@10274' khớp với dữ liệu trong Log.</t>
        </is>
      </c>
    </row>
    <row r="213">
      <c r="A213" t="inlineStr">
        <is>
          <t xml:space="preserve">  - [Kiểm tra File]: Log text báo có tạo ra file 'RFSH0274_output.tsv'.</t>
        </is>
      </c>
    </row>
    <row r="214">
      <c r="A214" s="2" t="inlineStr">
        <is>
          <t xml:space="preserve">      ✅ OK: Tên file trong ảnh File Explorer (RFSH0274_output.tsv) KHỚP với tên file trong Log text.</t>
        </is>
      </c>
    </row>
    <row r="215">
      <c r="A215" t="inlineStr">
        <is>
          <t xml:space="preserve">  - [Ảnh File Explorer]: Tìm thấy file 'RFSH0274_output.tsv' có Date modified là '2026/05/18 17:49'</t>
        </is>
      </c>
    </row>
    <row r="216">
      <c r="A216" s="2" t="inlineStr">
        <is>
          <t xml:space="preserve">      ✅ OK: Thời gian xuất file 'RFSH0274_output.tsv' (2026/05/18 17:49) KHỚP với log (2026/05/18 17:49).</t>
        </is>
      </c>
    </row>
    <row r="217">
      <c r="A217" t="inlineStr">
        <is>
          <t xml:space="preserve">  - [Đối chiếu Testcase trong Log]:</t>
        </is>
      </c>
    </row>
    <row r="218">
      <c r="A218" t="inlineStr">
        <is>
          <t xml:space="preserve">  - [Đối chiếu テスト計画書兼結果報告書(個別)]: Tìm thấy 1 dòng (8)</t>
        </is>
      </c>
    </row>
    <row r="219">
      <c r="A219" s="2" t="inlineStr">
        <is>
          <t xml:space="preserve">      + Số lần test (Cột K): ✅ Tất cả 1 dòng đều khớp (Lần 2)</t>
        </is>
      </c>
    </row>
    <row r="220">
      <c r="A220" s="2" t="inlineStr">
        <is>
          <t xml:space="preserve">      + Ngày test (Cột I/G): ✅ Khớp ngày (2026/05/18) cho tất cả các dòng có dữ liệu</t>
        </is>
      </c>
    </row>
    <row r="221">
      <c r="A221" t="inlineStr"/>
    </row>
    <row r="222">
      <c r="A222" s="1" t="inlineStr">
        <is>
          <t>[Nhóm Test]: ■3回目 正常系・ファイル定義確認</t>
        </is>
      </c>
    </row>
    <row r="223">
      <c r="A223" t="inlineStr">
        <is>
          <t xml:space="preserve">  - Tổng số dòng log: 53</t>
        </is>
      </c>
    </row>
    <row r="224">
      <c r="A224" s="2" t="inlineStr">
        <is>
          <t xml:space="preserve">  - Trạng thái Sort (行): ✅ Đã sắp xếp tăng dần hợp lệ.</t>
        </is>
      </c>
    </row>
    <row r="225">
      <c r="A225" t="inlineStr">
        <is>
          <t xml:space="preserve">  - Ngày chạy log: 2026/05/18</t>
        </is>
      </c>
    </row>
    <row r="226">
      <c r="A226" t="inlineStr">
        <is>
          <t xml:space="preserve">  - [Ảnh Status Panel]: Tìm thấy Jobnet ID: 'P1J0274@10274'</t>
        </is>
      </c>
    </row>
    <row r="227">
      <c r="A227" t="inlineStr">
        <is>
          <t xml:space="preserve">  - [Ảnh Status Panel]: Tìm thấy Interface ID: 'RFSH0274'</t>
        </is>
      </c>
    </row>
    <row r="228">
      <c r="A228" s="2" t="inlineStr">
        <is>
          <t xml:space="preserve">      ✅ OK: Interface ID 'RFSH0274' có tồn tại trong tên file Excel.</t>
        </is>
      </c>
    </row>
    <row r="229">
      <c r="A229" t="inlineStr">
        <is>
          <t xml:space="preserve">  - [Ảnh Status Panel]: Tìm thấy giờ bắt đầu là 17:51:32</t>
        </is>
      </c>
    </row>
    <row r="230">
      <c r="A230" s="2" t="inlineStr">
        <is>
          <t xml:space="preserve">      ✅ OK: Thời gian log (17:51:32) &gt;= Thời gian ảnh (17:51:32)</t>
        </is>
      </c>
    </row>
    <row r="231">
      <c r="A231" s="2" t="inlineStr">
        <is>
          <t xml:space="preserve">      ✅ OK: Duration Log Main (443ms) &lt; Duration Ảnh (624ms)</t>
        </is>
      </c>
    </row>
    <row r="232">
      <c r="A232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33">
      <c r="A233" s="2" t="inlineStr">
        <is>
          <t xml:space="preserve">      ✅ OK: Jobnet ID 'P1J0274@10274' khớp với dữ liệu trong Log.</t>
        </is>
      </c>
    </row>
    <row r="234">
      <c r="A234" t="inlineStr">
        <is>
          <t xml:space="preserve">  - [Kiểm tra File]: Log text báo có tạo ra file 'RFSH0274_output.tsv'.</t>
        </is>
      </c>
    </row>
    <row r="235">
      <c r="A235" s="2" t="inlineStr">
        <is>
          <t xml:space="preserve">      ✅ OK: Tên file trong ảnh File Explorer (RFSH0274_output.tsv) KHỚP với tên file trong Log text.</t>
        </is>
      </c>
    </row>
    <row r="236">
      <c r="A236" t="inlineStr">
        <is>
          <t xml:space="preserve">  - [Ảnh File Explorer]: Tìm thấy file 'RFSH0274_output.tsv' có Date modified là '2026/05/18 17:51'</t>
        </is>
      </c>
    </row>
    <row r="237">
      <c r="A237" s="2" t="inlineStr">
        <is>
          <t xml:space="preserve">      ✅ OK: Thời gian xuất file 'RFSH0274_output.tsv' (2026/05/18 17:51) KHỚP với log (2026/05/18 17:51).</t>
        </is>
      </c>
    </row>
    <row r="238">
      <c r="A238" t="inlineStr">
        <is>
          <t xml:space="preserve">  - [Đối chiếu Testcase trong Log]:</t>
        </is>
      </c>
    </row>
    <row r="239">
      <c r="A239" t="inlineStr">
        <is>
          <t xml:space="preserve">  - [Đối chiếu テスト計画書兼結果報告書(個別)]: Tìm thấy 12 dòng (18, 19, 20, 21, 22, 23, 25, 26, 27, 28, 29, 30)</t>
        </is>
      </c>
    </row>
    <row r="240">
      <c r="A240" s="2" t="inlineStr">
        <is>
          <t xml:space="preserve">      + Số lần test (Cột K): ✅ Tất cả 12 dòng đều khớp (Lần 3)</t>
        </is>
      </c>
    </row>
    <row r="241">
      <c r="A241" s="2" t="inlineStr">
        <is>
          <t xml:space="preserve">      + Ngày test (Cột I/G): ✅ Khớp ngày (2026/05/18) cho tất cả các dòng có dữ liệu</t>
        </is>
      </c>
    </row>
    <row r="242">
      <c r="A242" t="inlineStr"/>
    </row>
    <row r="243">
      <c r="A243" s="1" t="inlineStr">
        <is>
          <t>[Nhóm Test]: ■4回目正常系・列分割→行変換確認（明細0件）</t>
        </is>
      </c>
    </row>
    <row r="244">
      <c r="A244" t="inlineStr">
        <is>
          <t xml:space="preserve">  - Tổng số dòng log: 53</t>
        </is>
      </c>
    </row>
    <row r="245">
      <c r="A245" s="2" t="inlineStr">
        <is>
          <t xml:space="preserve">  - Trạng thái Sort (行): ✅ Đã sắp xếp tăng dần hợp lệ.</t>
        </is>
      </c>
    </row>
    <row r="246">
      <c r="A246" t="inlineStr">
        <is>
          <t xml:space="preserve">  - Ngày chạy log: 2026/05/18</t>
        </is>
      </c>
    </row>
    <row r="247">
      <c r="A247" t="inlineStr">
        <is>
          <t xml:space="preserve">  - [Ảnh Status Panel]: Tìm thấy Jobnet ID: 'P1J0274@10274'</t>
        </is>
      </c>
    </row>
    <row r="248">
      <c r="A248" t="inlineStr">
        <is>
          <t xml:space="preserve">  - [Ảnh Status Panel]: Tìm thấy Interface ID: 'RFSH0274'</t>
        </is>
      </c>
    </row>
    <row r="249">
      <c r="A249" s="2" t="inlineStr">
        <is>
          <t xml:space="preserve">      ✅ OK: Interface ID 'RFSH0274' có tồn tại trong tên file Excel.</t>
        </is>
      </c>
    </row>
    <row r="250">
      <c r="A250" t="inlineStr">
        <is>
          <t xml:space="preserve">  - [Ảnh Status Panel]: Tìm thấy giờ bắt đầu là 17:53:35</t>
        </is>
      </c>
    </row>
    <row r="251">
      <c r="A251" s="2" t="inlineStr">
        <is>
          <t xml:space="preserve">      ✅ OK: Thời gian log (17:53:35) &gt;= Thời gian ảnh (17:53:35)</t>
        </is>
      </c>
    </row>
    <row r="252">
      <c r="A252" s="2" t="inlineStr">
        <is>
          <t xml:space="preserve">      ✅ OK: Duration Log Main (456ms) &lt; Duration Ảnh (825ms)</t>
        </is>
      </c>
    </row>
    <row r="253">
      <c r="A253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54">
      <c r="A254" s="2" t="inlineStr">
        <is>
          <t xml:space="preserve">      ✅ OK: Jobnet ID 'P1J0274@10274' khớp với dữ liệu trong Log.</t>
        </is>
      </c>
    </row>
    <row r="255">
      <c r="A255" t="inlineStr">
        <is>
          <t xml:space="preserve">  - [Kiểm tra File]: Log text báo có tạo ra file 'RFSH0274_output.tsv'.</t>
        </is>
      </c>
    </row>
    <row r="256">
      <c r="A256" s="2" t="inlineStr">
        <is>
          <t xml:space="preserve">      ✅ OK: Tên file trong ảnh File Explorer (RFSH0274_output.tsv) KHỚP với tên file trong Log text.</t>
        </is>
      </c>
    </row>
    <row r="257">
      <c r="A257" t="inlineStr">
        <is>
          <t xml:space="preserve">  - [Ảnh File Explorer]: Tìm thấy file 'RFSH0274_output.tsv' có Date modified là '2026/05/18 17:53'</t>
        </is>
      </c>
    </row>
    <row r="258">
      <c r="A258" s="2" t="inlineStr">
        <is>
          <t xml:space="preserve">      ✅ OK: Thời gian xuất file 'RFSH0274_output.tsv' (2026/05/18 17:53) KHỚP với log (2026/05/18 17:53).</t>
        </is>
      </c>
    </row>
    <row r="259">
      <c r="A259" t="inlineStr">
        <is>
          <t xml:space="preserve">  - [Đối chiếu Testcase trong Log]:</t>
        </is>
      </c>
    </row>
    <row r="260">
      <c r="A260" t="inlineStr">
        <is>
          <t xml:space="preserve">  - [Đối chiếu テスト計画書兼結果報告書(個別)]: Tìm thấy 1 dòng (11)</t>
        </is>
      </c>
    </row>
    <row r="261">
      <c r="A261" s="2" t="inlineStr">
        <is>
          <t xml:space="preserve">      + Số lần test (Cột K): ✅ Tất cả 1 dòng đều khớp (Lần 4)</t>
        </is>
      </c>
    </row>
    <row r="262">
      <c r="A262" s="2" t="inlineStr">
        <is>
          <t xml:space="preserve">      + Ngày test (Cột I/G): ✅ Khớp ngày (2026/05/18) cho tất cả các dòng có dữ liệu</t>
        </is>
      </c>
    </row>
    <row r="263">
      <c r="A263" t="inlineStr"/>
    </row>
    <row r="264">
      <c r="A264" s="1" t="inlineStr">
        <is>
          <t>[Nhóm Test]: ■5回目正常系・列分割→行変換確認（明細1件）</t>
        </is>
      </c>
    </row>
    <row r="265">
      <c r="A265" t="inlineStr">
        <is>
          <t xml:space="preserve">  - Tổng số dòng log: 53</t>
        </is>
      </c>
    </row>
    <row r="266">
      <c r="A266" s="2" t="inlineStr">
        <is>
          <t xml:space="preserve">  - Trạng thái Sort (行): ✅ Đã sắp xếp tăng dần hợp lệ.</t>
        </is>
      </c>
    </row>
    <row r="267">
      <c r="A267" t="inlineStr">
        <is>
          <t xml:space="preserve">  - Ngày chạy log: 2026/05/18</t>
        </is>
      </c>
    </row>
    <row r="268">
      <c r="A268" t="inlineStr">
        <is>
          <t xml:space="preserve">  - [Ảnh Status Panel]: Tìm thấy Jobnet ID: 'P1J0274@10274'</t>
        </is>
      </c>
    </row>
    <row r="269">
      <c r="A269" t="inlineStr">
        <is>
          <t xml:space="preserve">  - [Ảnh Status Panel]: Tìm thấy Interface ID: 'RFSH0274'</t>
        </is>
      </c>
    </row>
    <row r="270">
      <c r="A270" s="2" t="inlineStr">
        <is>
          <t xml:space="preserve">      ✅ OK: Interface ID 'RFSH0274' có tồn tại trong tên file Excel.</t>
        </is>
      </c>
    </row>
    <row r="271">
      <c r="A271" t="inlineStr">
        <is>
          <t xml:space="preserve">  - [Ảnh Status Panel]: Tìm thấy giờ bắt đầu là 17:55:58</t>
        </is>
      </c>
    </row>
    <row r="272">
      <c r="A272" s="2" t="inlineStr">
        <is>
          <t xml:space="preserve">      ✅ OK: Thời gian log (17:55:58) &gt;= Thời gian ảnh (17:55:58)</t>
        </is>
      </c>
    </row>
    <row r="273">
      <c r="A273" s="2" t="inlineStr">
        <is>
          <t xml:space="preserve">      ✅ OK: Duration Log Main (310ms) &lt; Duration Ảnh (500ms)</t>
        </is>
      </c>
    </row>
    <row r="274">
      <c r="A274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75">
      <c r="A275" s="2" t="inlineStr">
        <is>
          <t xml:space="preserve">      ✅ OK: Jobnet ID 'P1J0274@10274' khớp với dữ liệu trong Log.</t>
        </is>
      </c>
    </row>
    <row r="276">
      <c r="A276" t="inlineStr">
        <is>
          <t xml:space="preserve">  - [Kiểm tra File]: Log text báo có tạo ra file 'RFSH0274_output.tsv'.</t>
        </is>
      </c>
    </row>
    <row r="277">
      <c r="A277" s="2" t="inlineStr">
        <is>
          <t xml:space="preserve">      ✅ OK: Tên file trong ảnh File Explorer (RFSH0274_output.tsv) KHỚP với tên file trong Log text.</t>
        </is>
      </c>
    </row>
    <row r="278">
      <c r="A278" t="inlineStr">
        <is>
          <t xml:space="preserve">  - [Ảnh File Explorer]: Tìm thấy file 'RFSH0274_output.tsv' có Date modified là '2026/05/18 17:55'</t>
        </is>
      </c>
    </row>
    <row r="279">
      <c r="A279" s="2" t="inlineStr">
        <is>
          <t xml:space="preserve">      ✅ OK: Thời gian xuất file 'RFSH0274_output.tsv' (2026/05/18 17:55) KHỚP với log (2026/05/18 17:55).</t>
        </is>
      </c>
    </row>
    <row r="280">
      <c r="A280" t="inlineStr">
        <is>
          <t xml:space="preserve">  - [Đối chiếu Testcase trong Log]:</t>
        </is>
      </c>
    </row>
    <row r="281">
      <c r="A281" t="inlineStr">
        <is>
          <t xml:space="preserve">  - [Đối chiếu テスト計画書兼結果報告書(個別)]: Tìm thấy 1 dòng (12)</t>
        </is>
      </c>
    </row>
    <row r="282">
      <c r="A282" s="2" t="inlineStr">
        <is>
          <t xml:space="preserve">      + Số lần test (Cột K): ✅ Tất cả 1 dòng đều khớp (Lần 5)</t>
        </is>
      </c>
    </row>
    <row r="283">
      <c r="A283" s="2" t="inlineStr">
        <is>
          <t xml:space="preserve">      + Ngày test (Cột I/G): ✅ Khớp ngày (2026/05/18) cho tất cả các dòng có dữ liệu</t>
        </is>
      </c>
    </row>
    <row r="284">
      <c r="A284" t="inlineStr"/>
    </row>
    <row r="285">
      <c r="A285" s="1" t="inlineStr">
        <is>
          <t>[Nhóm Test]: ■6回目正常系・列分割→行変換確認（明細4件）</t>
        </is>
      </c>
    </row>
    <row r="286">
      <c r="A286" t="inlineStr">
        <is>
          <t xml:space="preserve">  - Tổng số dòng log: 53</t>
        </is>
      </c>
    </row>
    <row r="287">
      <c r="A287" s="2" t="inlineStr">
        <is>
          <t xml:space="preserve">  - Trạng thái Sort (行): ✅ Đã sắp xếp tăng dần hợp lệ.</t>
        </is>
      </c>
    </row>
    <row r="288">
      <c r="A288" t="inlineStr">
        <is>
          <t xml:space="preserve">  - Ngày chạy log: 2026/05/18</t>
        </is>
      </c>
    </row>
    <row r="289">
      <c r="A289" t="inlineStr">
        <is>
          <t xml:space="preserve">  - [Ảnh Status Panel]: Tìm thấy Jobnet ID: 'P1J0274@10274'</t>
        </is>
      </c>
    </row>
    <row r="290">
      <c r="A290" t="inlineStr">
        <is>
          <t xml:space="preserve">  - [Ảnh Status Panel]: Tìm thấy Interface ID: 'RFSH0274'</t>
        </is>
      </c>
    </row>
    <row r="291">
      <c r="A291" s="2" t="inlineStr">
        <is>
          <t xml:space="preserve">      ✅ OK: Interface ID 'RFSH0274' có tồn tại trong tên file Excel.</t>
        </is>
      </c>
    </row>
    <row r="292">
      <c r="A292" t="inlineStr">
        <is>
          <t xml:space="preserve">  - [Ảnh Status Panel]: Tìm thấy giờ bắt đầu là 17:58:10</t>
        </is>
      </c>
    </row>
    <row r="293">
      <c r="A293" s="2" t="inlineStr">
        <is>
          <t xml:space="preserve">      ✅ OK: Thời gian log (17:58:10) &gt;= Thời gian ảnh (17:58:10)</t>
        </is>
      </c>
    </row>
    <row r="294">
      <c r="A294" s="2" t="inlineStr">
        <is>
          <t xml:space="preserve">      ✅ OK: Duration Log Main (575ms) &lt; Duration Ảnh (765ms)</t>
        </is>
      </c>
    </row>
    <row r="295">
      <c r="A295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96">
      <c r="A296" s="2" t="inlineStr">
        <is>
          <t xml:space="preserve">      ✅ OK: Jobnet ID 'P1J0274@10274' khớp với dữ liệu trong Log.</t>
        </is>
      </c>
    </row>
    <row r="297">
      <c r="A297" t="inlineStr">
        <is>
          <t xml:space="preserve">  - [Kiểm tra File]: Log text báo có tạo ra file 'RFSH0274_output.tsv'.</t>
        </is>
      </c>
    </row>
    <row r="298">
      <c r="A298" s="2" t="inlineStr">
        <is>
          <t xml:space="preserve">      ✅ OK: Tên file trong ảnh File Explorer (RFSH0274_output.tsv) KHỚP với tên file trong Log text.</t>
        </is>
      </c>
    </row>
    <row r="299">
      <c r="A299" t="inlineStr">
        <is>
          <t xml:space="preserve">  - [Ảnh File Explorer]: Tìm thấy file 'RFSH0274_output.tsv' có Date modified là '2026/05/18 17:58'</t>
        </is>
      </c>
    </row>
    <row r="300">
      <c r="A300" s="2" t="inlineStr">
        <is>
          <t xml:space="preserve">      ✅ OK: Thời gian xuất file 'RFSH0274_output.tsv' (2026/05/18 17:58) KHỚP với log (2026/05/18 17:58).</t>
        </is>
      </c>
    </row>
    <row r="301">
      <c r="A301" t="inlineStr">
        <is>
          <t xml:space="preserve">  - [Đối chiếu Testcase trong Log]:</t>
        </is>
      </c>
    </row>
    <row r="302">
      <c r="A302" t="inlineStr">
        <is>
          <t xml:space="preserve">  - [Đối chiếu テスト計画書兼結果報告書(個別)]: Tìm thấy 1 dòng (14)</t>
        </is>
      </c>
    </row>
    <row r="303">
      <c r="A303" s="2" t="inlineStr">
        <is>
          <t xml:space="preserve">      + Số lần test (Cột K): ✅ Tất cả 1 dòng đều khớp (Lần 6)</t>
        </is>
      </c>
    </row>
    <row r="304">
      <c r="A304" s="2" t="inlineStr">
        <is>
          <t xml:space="preserve">      + Ngày test (Cột I/G): ✅ Khớp ngày (2026/05/18) cho tất cả các dòng có dữ liệu</t>
        </is>
      </c>
    </row>
    <row r="305">
      <c r="A305" t="inlineStr"/>
    </row>
    <row r="306">
      <c r="A306" s="1" t="inlineStr">
        <is>
          <t>[Nhóm Test]: ■7回目正常系・列分割→行変換確認（明細8件）</t>
        </is>
      </c>
    </row>
    <row r="307">
      <c r="A307" t="inlineStr">
        <is>
          <t xml:space="preserve">  - Tổng số dòng log: 53</t>
        </is>
      </c>
    </row>
    <row r="308">
      <c r="A308" s="2" t="inlineStr">
        <is>
          <t xml:space="preserve">  - Trạng thái Sort (行): ✅ Đã sắp xếp tăng dần hợp lệ.</t>
        </is>
      </c>
    </row>
    <row r="309">
      <c r="A309" t="inlineStr">
        <is>
          <t xml:space="preserve">  - Ngày chạy log: 2026/05/18</t>
        </is>
      </c>
    </row>
    <row r="310">
      <c r="A310" t="inlineStr">
        <is>
          <t xml:space="preserve">  - [Ảnh Status Panel]: Tìm thấy Jobnet ID: 'P1J0274@10274'</t>
        </is>
      </c>
    </row>
    <row r="311">
      <c r="A311" t="inlineStr">
        <is>
          <t xml:space="preserve">  - [Ảnh Status Panel]: Tìm thấy Interface ID: 'RFSH0274'</t>
        </is>
      </c>
    </row>
    <row r="312">
      <c r="A312" s="2" t="inlineStr">
        <is>
          <t xml:space="preserve">      ✅ OK: Interface ID 'RFSH0274' có tồn tại trong tên file Excel.</t>
        </is>
      </c>
    </row>
    <row r="313">
      <c r="A313" t="inlineStr">
        <is>
          <t xml:space="preserve">  - [Ảnh Status Panel]: Tìm thấy giờ bắt đầu là 18:00:36</t>
        </is>
      </c>
    </row>
    <row r="314">
      <c r="A314" s="2" t="inlineStr">
        <is>
          <t xml:space="preserve">      ✅ OK: Thời gian log (18:00:36) &gt;= Thời gian ảnh (18:00:36)</t>
        </is>
      </c>
    </row>
    <row r="315">
      <c r="A315" s="2" t="inlineStr">
        <is>
          <t xml:space="preserve">      ✅ OK: Duration Log Main (320ms) &lt; Duration Ảnh (499ms)</t>
        </is>
      </c>
    </row>
    <row r="316">
      <c r="A316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317">
      <c r="A317" s="2" t="inlineStr">
        <is>
          <t xml:space="preserve">      ✅ OK: Jobnet ID 'P1J0274@10274' khớp với dữ liệu trong Log.</t>
        </is>
      </c>
    </row>
    <row r="318">
      <c r="A318" t="inlineStr">
        <is>
          <t xml:space="preserve">  - [Kiểm tra File]: Log text báo có tạo ra file 'RFSH0274_output.tsv'.</t>
        </is>
      </c>
    </row>
    <row r="319">
      <c r="A319" s="2" t="inlineStr">
        <is>
          <t xml:space="preserve">      ✅ OK: Tên file trong ảnh File Explorer (RFSH0274_output.tsv) KHỚP với tên file trong Log text.</t>
        </is>
      </c>
    </row>
    <row r="320">
      <c r="A320" t="inlineStr">
        <is>
          <t xml:space="preserve">  - [Ảnh File Explorer]: Tìm thấy file 'RFSH0274_output.tsv' có Date modified là '2026/05/18 18:00'</t>
        </is>
      </c>
    </row>
    <row r="321">
      <c r="A321" s="2" t="inlineStr">
        <is>
          <t xml:space="preserve">      ✅ OK: Thời gian xuất file 'RFSH0274_output.tsv' (2026/05/18 18:00) KHỚP với log (2026/05/18 18:00).</t>
        </is>
      </c>
    </row>
    <row r="322">
      <c r="A322" t="inlineStr">
        <is>
          <t xml:space="preserve">  - [Đối chiếu Testcase trong Log]:</t>
        </is>
      </c>
    </row>
    <row r="323">
      <c r="A323" t="inlineStr">
        <is>
          <t xml:space="preserve">  - [Đối chiếu テスト計画書兼結果報告書(個別)]: Tìm thấy 1 dòng (13)</t>
        </is>
      </c>
    </row>
    <row r="324">
      <c r="A324" s="2" t="inlineStr">
        <is>
          <t xml:space="preserve">      + Số lần test (Cột K): ✅ Tất cả 1 dòng đều khớp (Lần 7)</t>
        </is>
      </c>
    </row>
    <row r="325">
      <c r="A325" s="2" t="inlineStr">
        <is>
          <t xml:space="preserve">      + Ngày test (Cột I/G): ✅ Khớp ngày (2026/05/18) cho tất cả các dòng có dữ liệu</t>
        </is>
      </c>
    </row>
    <row r="326">
      <c r="A326" t="inlineStr"/>
    </row>
    <row r="327">
      <c r="A327" s="1" t="inlineStr">
        <is>
          <t>[Nhóm Test]: ■8回目正常系・列分割→行変換確認（レコードが複数件あり）</t>
        </is>
      </c>
    </row>
    <row r="328">
      <c r="A328" t="inlineStr">
        <is>
          <t xml:space="preserve">  - Tổng số dòng log: 53</t>
        </is>
      </c>
    </row>
    <row r="329">
      <c r="A329" s="2" t="inlineStr">
        <is>
          <t xml:space="preserve">  - Trạng thái Sort (行): ✅ Đã sắp xếp tăng dần hợp lệ.</t>
        </is>
      </c>
    </row>
    <row r="330">
      <c r="A330" t="inlineStr">
        <is>
          <t xml:space="preserve">  - Ngày chạy log: 2026/05/18</t>
        </is>
      </c>
    </row>
    <row r="331">
      <c r="A331" t="inlineStr">
        <is>
          <t xml:space="preserve">  - [Ảnh Status Panel]: Tìm thấy Jobnet ID: 'P1J0274@10274'</t>
        </is>
      </c>
    </row>
    <row r="332">
      <c r="A332" t="inlineStr">
        <is>
          <t xml:space="preserve">  - [Ảnh Status Panel]: Tìm thấy Interface ID: 'RFSH0274'</t>
        </is>
      </c>
    </row>
    <row r="333">
      <c r="A333" s="2" t="inlineStr">
        <is>
          <t xml:space="preserve">      ✅ OK: Interface ID 'RFSH0274' có tồn tại trong tên file Excel.</t>
        </is>
      </c>
    </row>
    <row r="334">
      <c r="A334" t="inlineStr">
        <is>
          <t xml:space="preserve">  - [Ảnh Status Panel]: Tìm thấy giờ bắt đầu là 18:03:32</t>
        </is>
      </c>
    </row>
    <row r="335">
      <c r="A335" s="2" t="inlineStr">
        <is>
          <t xml:space="preserve">      ✅ OK: Thời gian log (18:03:32) &gt;= Thời gian ảnh (18:03:32)</t>
        </is>
      </c>
    </row>
    <row r="336">
      <c r="A336" s="2" t="inlineStr">
        <is>
          <t xml:space="preserve">      ✅ OK: Duration Log Main (169ms) &lt; Duration Ảnh (352ms)</t>
        </is>
      </c>
    </row>
    <row r="337">
      <c r="A337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338">
      <c r="A338" s="2" t="inlineStr">
        <is>
          <t xml:space="preserve">      ✅ OK: Jobnet ID 'P1J0274@10274' khớp với dữ liệu trong Log.</t>
        </is>
      </c>
    </row>
    <row r="339">
      <c r="A339" t="inlineStr">
        <is>
          <t xml:space="preserve">  - [Kiểm tra File]: Log text báo có tạo ra file 'RFSH0274_output.tsv'.</t>
        </is>
      </c>
    </row>
    <row r="340">
      <c r="A340" s="2" t="inlineStr">
        <is>
          <t xml:space="preserve">      ✅ OK: Tên file trong ảnh File Explorer (RFSH0274_output.tsv) KHỚP với tên file trong Log text.</t>
        </is>
      </c>
    </row>
    <row r="341">
      <c r="A341" t="inlineStr">
        <is>
          <t xml:space="preserve">  - [Ảnh File Explorer]: Tìm thấy file 'RFSH0274_output.tsv' có Date modified là '2026/05/18 18:03'</t>
        </is>
      </c>
    </row>
    <row r="342">
      <c r="A342" s="2" t="inlineStr">
        <is>
          <t xml:space="preserve">      ✅ OK: Thời gian xuất file 'RFSH0274_output.tsv' (2026/05/18 18:03) KHỚP với log (2026/05/18 18:03).</t>
        </is>
      </c>
    </row>
    <row r="343">
      <c r="A343" t="inlineStr">
        <is>
          <t xml:space="preserve">  - [Đối chiếu Testcase trong Log]:</t>
        </is>
      </c>
    </row>
    <row r="344">
      <c r="A344" t="inlineStr">
        <is>
          <t xml:space="preserve">  - [Đối chiếu テスト計画書兼結果報告書(個別)]: Tìm thấy 1 dòng (15)</t>
        </is>
      </c>
    </row>
    <row r="345">
      <c r="A345" s="2" t="inlineStr">
        <is>
          <t xml:space="preserve">      + Số lần test (Cột K): ✅ Tất cả 1 dòng đều khớp (Lần 8)</t>
        </is>
      </c>
    </row>
    <row r="346">
      <c r="A346" s="2" t="inlineStr">
        <is>
          <t xml:space="preserve">      + Ngày test (Cột I/G): ✅ Khớp ngày (2026/05/18) cho tất cả các dòng có dữ liệu</t>
        </is>
      </c>
    </row>
    <row r="347">
      <c r="A347" t="inlineStr"/>
    </row>
    <row r="348">
      <c r="A348" s="1">
        <f>=============== TỔNG KẾT COVERAGE CHO SHEET エビデンス(共通) ================</f>
        <v/>
      </c>
    </row>
    <row r="349">
      <c r="A349" s="2" t="inlineStr">
        <is>
          <t xml:space="preserve">  - ✅ Nhóm 1 (gồm TC: 1-1-1, 1-2-1, 2-1-1, 2-2-1, 3-1-1, 3-2-1, 4-1-1, 4-2-1, 5-1-1, 5-3-1, 5-4-1, 6-1-1, 7-1-1): Đã có Log Evidence.</t>
        </is>
      </c>
    </row>
    <row r="350">
      <c r="A350" s="2" t="inlineStr">
        <is>
          <t xml:space="preserve">  - ✅ Nhóm 2 (gồm TC: 1-2-2, 2-2-2): Đã có Log Evidence.</t>
        </is>
      </c>
    </row>
    <row r="351">
      <c r="A351" s="2" t="inlineStr">
        <is>
          <t xml:space="preserve">  - ✅ Nhóm 3 (gồm TC: 3-2-2): Đã có Log Evidence.</t>
        </is>
      </c>
    </row>
    <row r="352">
      <c r="A352" s="2" t="inlineStr">
        <is>
          <t xml:space="preserve">  - ✅ Nhóm 4 (gồm TC: 3-2-3): Đã có Log Evidence.</t>
        </is>
      </c>
    </row>
    <row r="353">
      <c r="A353" s="2" t="inlineStr">
        <is>
          <t xml:space="preserve">  - ✅ Nhóm 5 (gồm TC: 4-1-2, 7-1-2): Đã có Log Evidence.</t>
        </is>
      </c>
    </row>
    <row r="354">
      <c r="A354" s="2" t="inlineStr">
        <is>
          <t xml:space="preserve">  - ✅ Nhóm 6 (gồm TC: 4-2-2): Đã có Log Evidence.</t>
        </is>
      </c>
    </row>
    <row r="355">
      <c r="A355" s="2" t="inlineStr">
        <is>
          <t xml:space="preserve">  - ✅ Nhóm 7 (gồm TC: 4-2-3, 5-2-1): Đã có Log Evidence.</t>
        </is>
      </c>
    </row>
    <row r="356">
      <c r="A356" t="inlineStr">
        <is>
          <t xml:space="preserve">  =&gt; TOÀN BỘ CÁC NHÓM TEST TRONG KẾ HOẠCH ĐỀU ĐÃ CÓ EVIDENCE!</t>
        </is>
      </c>
    </row>
    <row r="357">
      <c r="A357" t="inlineStr"/>
    </row>
    <row r="358">
      <c r="A358" t="inlineStr"/>
    </row>
    <row r="359">
      <c r="A359" s="1">
        <f>=============== TỔNG KẾT COVERAGE CHO SHEET エビデンス(個別) ================</f>
        <v/>
      </c>
    </row>
    <row r="360">
      <c r="A360" s="2" t="inlineStr">
        <is>
          <t xml:space="preserve">  - ✅ Nhóm 1 (gồm TC: 1-1-1): Đã có Log Evidence.</t>
        </is>
      </c>
    </row>
    <row r="361">
      <c r="A361" s="2" t="inlineStr">
        <is>
          <t xml:space="preserve">  - ✅ Nhóm 2 (gồm TC: 1-2-1): Đã có Log Evidence.</t>
        </is>
      </c>
    </row>
    <row r="362">
      <c r="A362" s="2" t="inlineStr">
        <is>
          <t xml:space="preserve">  - ✅ Nhóm 3 (gồm TC: 3-1-1, 3-1-2, 3-1-3, 3-1-4, 3-1-5, 3-1-6, 3-2-1, 3-2-2, 3-2-3, 3-2-4, 3-2-5, 3-2-6): Đã có Log Evidence.</t>
        </is>
      </c>
    </row>
    <row r="363">
      <c r="A363" s="2" t="inlineStr">
        <is>
          <t xml:space="preserve">  - ✅ Nhóm 4 (gồm TC: 2-1-1): Đã có Log Evidence.</t>
        </is>
      </c>
    </row>
    <row r="364">
      <c r="A364" s="2" t="inlineStr">
        <is>
          <t xml:space="preserve">  - ✅ Nhóm 5 (gồm TC: 2-1-2): Đã có Log Evidence.</t>
        </is>
      </c>
    </row>
    <row r="365">
      <c r="A365" s="2" t="inlineStr">
        <is>
          <t xml:space="preserve">  - ✅ Nhóm 6 (gồm TC: 2-1-4): Đã có Log Evidence.</t>
        </is>
      </c>
    </row>
    <row r="366">
      <c r="A366" s="2" t="inlineStr">
        <is>
          <t xml:space="preserve">  - ✅ Nhóm 7 (gồm TC: 2-1-3): Đã có Log Evidence.</t>
        </is>
      </c>
    </row>
    <row r="367">
      <c r="A367" s="2" t="inlineStr">
        <is>
          <t xml:space="preserve">  - ✅ Nhóm 8 (gồm TC: 2-1-5): Đã có Log Evidence.</t>
        </is>
      </c>
    </row>
    <row r="368">
      <c r="A368" t="inlineStr">
        <is>
          <t xml:space="preserve">  =&gt; TOÀN BỘ CÁC NHÓM TEST TRONG KẾ HOẠCH ĐỀU ĐÃ CÓ EVIDENCE!</t>
        </is>
      </c>
    </row>
    <row r="369">
      <c r="A369" t="inlineStr"/>
    </row>
    <row r="370">
      <c r="A37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7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" t="inlineStr">
        <is>
          <t>✅ Đã check xong file '単体テスト仕様書兼成績書_E304_RFSH0274.xlsx'. Nhấn Enter để tiếp tục sang file tiếp theo...</t>
        </is>
      </c>
    </row>
    <row r="2">
      <c r="A2" s="1">
        <f>======================== [10/16] ĐANG XỬ LÝ FILE: 単体テスト仕様書兼成績書_E304_RFSH0609.xlsx =========================</f>
        <v/>
      </c>
    </row>
    <row r="3">
      <c r="A3" t="inlineStr">
        <is>
          <t>Đang đọc dữ liệu từ file: 単体テスト仕様書兼成績書_E304_RFSH0609.xlsx ...</t>
        </is>
      </c>
    </row>
    <row r="4">
      <c r="A4" t="inlineStr"/>
    </row>
    <row r="5">
      <c r="A5" s="1">
        <f>=============== TRẠNG THÁI OCR ================</f>
        <v/>
      </c>
    </row>
    <row r="6">
      <c r="A6" s="2" t="inlineStr">
        <is>
          <t>✅ Đã bật (Sẵn sàng đọc ảnh)</t>
        </is>
      </c>
    </row>
    <row r="7">
      <c r="A7" t="inlineStr"/>
    </row>
    <row r="8">
      <c r="A8" s="1">
        <f>=============== KIỂM TRA TRẠNG THÁI MỞ FILE ================</f>
        <v/>
      </c>
    </row>
    <row r="9">
      <c r="A9" s="2" t="inlineStr">
        <is>
          <t>✅ File đang mở ở sheet đầu tiên '表紙 '.</t>
        </is>
      </c>
    </row>
    <row r="10">
      <c r="A10" s="2" t="inlineStr">
        <is>
          <t>✅ Con trỏ chuột đang nằm ở ô 'A1'.</t>
        </is>
      </c>
    </row>
    <row r="11">
      <c r="A11" t="inlineStr"/>
    </row>
    <row r="12">
      <c r="A12" s="1">
        <f>=============== SHEET: エビデンス(共通) ================</f>
        <v/>
      </c>
    </row>
    <row r="13">
      <c r="A13" t="inlineStr">
        <is>
          <t xml:space="preserve">  -&gt; Tìm thấy 44 ảnh trong sheet này.</t>
        </is>
      </c>
    </row>
    <row r="14">
      <c r="A14" s="1">
        <f>=============== SHEET: エビデンス(個別) ================</f>
        <v/>
      </c>
    </row>
    <row r="15">
      <c r="A15" t="inlineStr">
        <is>
          <t xml:space="preserve">  -&gt; Tìm thấy 40 ảnh trong sheet này.</t>
        </is>
      </c>
    </row>
    <row r="16">
      <c r="A16" t="inlineStr"/>
    </row>
    <row r="17">
      <c r="A17" s="1" t="inlineStr">
        <is>
          <t>[GEMINI MANUAL MODE] ♻️ Đã tìm thấy file JSON kết quả cũ tại:</t>
        </is>
      </c>
    </row>
    <row r="18">
      <c r="A18" t="inlineStr">
        <is>
          <t>D:\project\tool\New folder\Gemini_Upload_単体テスト仕様書兼成績書_E304_RFSH0609\gemini_result.json</t>
        </is>
      </c>
    </row>
    <row r="19">
      <c r="A19">
        <f>&gt; Sử dụng luôn kết quả này, bỏ qua bước xuất ảnh PDF và hỏi lại Gemini.</f>
        <v/>
      </c>
    </row>
    <row r="20">
      <c r="A20" t="inlineStr"/>
    </row>
    <row r="21">
      <c r="A21" s="1">
        <f>=============== ĐANG PHÂN TÍCH KẾT QUẢ SHEET: エビデンス(共通) ================</f>
        <v/>
      </c>
    </row>
    <row r="22">
      <c r="A22" t="inlineStr"/>
    </row>
    <row r="23">
      <c r="A23" s="1" t="inlineStr">
        <is>
          <t>[Kiểm tra Cấu hình Flow - Trước khi Test]:</t>
        </is>
      </c>
    </row>
    <row r="24">
      <c r="A24" s="2" t="inlineStr">
        <is>
          <t xml:space="preserve">  - [Ảnh Flow]: ✅ Tìm thấy P_JobnetID: 'P1J0609@10609'</t>
        </is>
      </c>
    </row>
    <row r="25">
      <c r="A25" s="2" t="inlineStr">
        <is>
          <t xml:space="preserve">      ✅ OK: P_JobnetID 'P1J0609@10609' có chứa mã '0609' của file.</t>
        </is>
      </c>
    </row>
    <row r="26">
      <c r="A26" s="2" t="inlineStr">
        <is>
          <t xml:space="preserve">  - [Ảnh Flow]: ✅ Tìm thấy P_InterfaceID: 'RFSH0609'</t>
        </is>
      </c>
    </row>
    <row r="27">
      <c r="A27" s="2" t="inlineStr">
        <is>
          <t xml:space="preserve">      ✅ OK: P_InterfaceID 'RFSH0609' có chứa mã '0609' của file.</t>
        </is>
      </c>
    </row>
    <row r="28">
      <c r="A28" t="inlineStr"/>
    </row>
    <row r="29">
      <c r="A29" s="1" t="inlineStr">
        <is>
          <t>[Nhóm Test]: ■1回目 正常系・1000件未満・ファイル送信前結合有無=false</t>
        </is>
      </c>
    </row>
    <row r="30">
      <c r="A30" t="inlineStr">
        <is>
          <t xml:space="preserve">  - Tổng số dòng log: 53</t>
        </is>
      </c>
    </row>
    <row r="31">
      <c r="A31" s="2" t="inlineStr">
        <is>
          <t xml:space="preserve">  - Trạng thái Sort (行): ✅ Đã sắp xếp tăng dần hợp lệ.</t>
        </is>
      </c>
    </row>
    <row r="32">
      <c r="A32" t="inlineStr">
        <is>
          <t xml:space="preserve">  - Ngày chạy log: 2026/05/18</t>
        </is>
      </c>
    </row>
    <row r="33">
      <c r="A33" t="inlineStr">
        <is>
          <t xml:space="preserve">  - [Ảnh Status Panel]: Tìm thấy Jobnet ID: 'P1J0609@10609'</t>
        </is>
      </c>
    </row>
    <row r="34">
      <c r="A34" t="inlineStr">
        <is>
          <t xml:space="preserve">  - [Ảnh Status Panel]: Tìm thấy Interface ID: 'RFSH0609'</t>
        </is>
      </c>
    </row>
    <row r="35">
      <c r="A35" s="2" t="inlineStr">
        <is>
          <t xml:space="preserve">      ✅ OK: Interface ID 'RFSH0609' có tồn tại trong tên file Excel.</t>
        </is>
      </c>
    </row>
    <row r="36">
      <c r="A36" t="inlineStr">
        <is>
          <t xml:space="preserve">  - [Ảnh Status Panel]: Tìm thấy giờ bắt đầu là 16:24:55</t>
        </is>
      </c>
    </row>
    <row r="37">
      <c r="A37" s="2" t="inlineStr">
        <is>
          <t xml:space="preserve">      ✅ OK: Thời gian log (16:24:55) &gt;= Thời gian ảnh (16:24:55)</t>
        </is>
      </c>
    </row>
    <row r="38">
      <c r="A38" s="2" t="inlineStr">
        <is>
          <t xml:space="preserve">      ✅ OK: Duration Log Main (264ms) &lt; Duration Ảnh (455ms)</t>
        </is>
      </c>
    </row>
    <row r="39">
      <c r="A39" t="inlineStr">
        <is>
          <t xml:space="preserve">  - [Ảnh Log Viewer]: Tìm thấy thời gian kết thúc trong ảnh log là '16:24:55'</t>
        </is>
      </c>
    </row>
    <row r="40">
      <c r="A40" s="2" t="inlineStr">
        <is>
          <t xml:space="preserve">      ✅ OK: Giờ kết thúc trong ảnh Log (16:24:55) KHỚP với log text (16:24:55).</t>
        </is>
      </c>
    </row>
    <row r="41">
      <c r="A41" s="2" t="inlineStr">
        <is>
          <t xml:space="preserve">      ✅ OK: Giờ ảnh Log (16:24:55) &gt;= Giờ bắt đầu (16:24:55).</t>
        </is>
      </c>
    </row>
    <row r="42">
      <c r="A42" s="2" t="inlineStr">
        <is>
          <t xml:space="preserve">      ✅ OK: Jobnet ID 'P1J0609@10609' khớp với dữ liệu trong Log.</t>
        </is>
      </c>
    </row>
    <row r="43">
      <c r="A43" t="inlineStr">
        <is>
          <t xml:space="preserve">  - [Kiểm tra File]: Log text báo có tạo ra file 'RFSH0609_output.tsv'.</t>
        </is>
      </c>
    </row>
    <row r="44">
      <c r="A44" s="2" t="inlineStr">
        <is>
          <t xml:space="preserve">      ✅ OK: Tên file trong ảnh File Explorer (RFSH0609_output.tsv) KHỚP với tên file trong Log text.</t>
        </is>
      </c>
    </row>
    <row r="45">
      <c r="A45" t="inlineStr">
        <is>
          <t xml:space="preserve">  - [Ảnh File Explorer]: Tìm thấy file 'RFSH0609_output.tsv' có Date modified là '2026/05/18 16:24'</t>
        </is>
      </c>
    </row>
    <row r="46">
      <c r="A46" s="2" t="inlineStr">
        <is>
          <t xml:space="preserve">      ✅ OK: Thời gian xuất file 'RFSH0609_output.tsv' (2026/05/18 16:24) KHỚP với log (2026/05/18 16:24).</t>
        </is>
      </c>
    </row>
    <row r="47">
      <c r="A47" t="inlineStr">
        <is>
          <t xml:space="preserve">  - [Đối chiếu Testcase trong Log]:</t>
        </is>
      </c>
    </row>
    <row r="48">
      <c r="A48" t="inlineStr">
        <is>
          <t xml:space="preserve">  - [Đối chiếu テスト計画書兼結果報告書(共通)]: Tìm thấy 13 dòng (6, 8, 12, 14, 18, 20, 25, 28, 33, 37, 39, 42, 45)</t>
        </is>
      </c>
    </row>
    <row r="49">
      <c r="A49" s="2" t="inlineStr">
        <is>
          <t xml:space="preserve">      + Số lần test (Cột K): ✅ Tất cả 13 dòng đều khớp (Lần 1)</t>
        </is>
      </c>
    </row>
    <row r="50">
      <c r="A50" s="2" t="inlineStr">
        <is>
          <t xml:space="preserve">      + Ngày test (Cột I/G): ✅ Khớp ngày (2026/05/18) cho tất cả các dòng có dữ liệu</t>
        </is>
      </c>
    </row>
    <row r="51">
      <c r="A51" t="inlineStr"/>
    </row>
    <row r="52">
      <c r="A52" s="1" t="inlineStr">
        <is>
          <t>[Nhóm Test]: ■2回目 異常系・起動パラメータ不正</t>
        </is>
      </c>
    </row>
    <row r="53">
      <c r="A53" t="inlineStr">
        <is>
          <t xml:space="preserve">  - Tổng số dòng log: 23</t>
        </is>
      </c>
    </row>
    <row r="54">
      <c r="A54" s="2" t="inlineStr">
        <is>
          <t xml:space="preserve">  - Trạng thái Sort (行): ✅ Đã sắp xếp tăng dần hợp lệ.</t>
        </is>
      </c>
    </row>
    <row r="55">
      <c r="A55" t="inlineStr">
        <is>
          <t xml:space="preserve">  - Ngày chạy log: 2026/05/18</t>
        </is>
      </c>
    </row>
    <row r="56">
      <c r="A56" t="inlineStr">
        <is>
          <t xml:space="preserve">  - [Ảnh Status Panel]: Tìm thấy Jobnet ID: ''</t>
        </is>
      </c>
    </row>
    <row r="57">
      <c r="A57" t="inlineStr">
        <is>
          <t xml:space="preserve">  - [Ảnh Status Panel]: Tìm thấy Interface ID: ''</t>
        </is>
      </c>
    </row>
    <row r="58">
      <c r="A58" s="3" t="inlineStr">
        <is>
          <t xml:space="preserve">      ⚠️ Interface ID là chuỗi rỗng nên bỏ qua kiểm tra với tên file.</t>
        </is>
      </c>
    </row>
    <row r="59">
      <c r="A59" t="inlineStr">
        <is>
          <t xml:space="preserve">  - [Ảnh Status Panel]: Tìm thấy giờ bắt đầu là 16:28:39</t>
        </is>
      </c>
    </row>
    <row r="60">
      <c r="A60" s="2" t="inlineStr">
        <is>
          <t xml:space="preserve">      ✅ OK: Thời gian log (16:28:39) &gt;= Thời gian ảnh (16:28:39)</t>
        </is>
      </c>
    </row>
    <row r="61">
      <c r="A61" s="2" t="inlineStr">
        <is>
          <t xml:space="preserve">      ✅ OK: Duration Log Main (31ms) &lt; Duration Ảnh (216ms)</t>
        </is>
      </c>
    </row>
    <row r="62">
      <c r="A62" t="inlineStr">
        <is>
          <t xml:space="preserve">  - [Ảnh Log Viewer]: Tìm thấy thời gian kết thúc trong ảnh log là '16:28:39'</t>
        </is>
      </c>
    </row>
    <row r="63">
      <c r="A63" s="2" t="inlineStr">
        <is>
          <t xml:space="preserve">      ✅ OK: Giờ kết thúc trong ảnh Log (16:28:39) KHỚP với log text (16:28:39).</t>
        </is>
      </c>
    </row>
    <row r="64">
      <c r="A64" s="2" t="inlineStr">
        <is>
          <t xml:space="preserve">      ✅ OK: Giờ ảnh Log (16:28:39) &gt;= Giờ bắt đầu (16:28:39).</t>
        </is>
      </c>
    </row>
    <row r="65">
      <c r="A65" s="2" t="inlineStr">
        <is>
          <t xml:space="preserve">      ✅ OK: Jobnet ID '' khớp với dữ liệu trong Log.</t>
        </is>
      </c>
    </row>
    <row r="66">
      <c r="A66" t="inlineStr">
        <is>
          <t xml:space="preserve">  - [Đối chiếu Testcase trong Log]:</t>
        </is>
      </c>
    </row>
    <row r="67">
      <c r="A67" t="inlineStr">
        <is>
          <t xml:space="preserve">  - [Đối chiếu テスト計画書兼結果報告書(共通)]: Tìm thấy 2 dòng (9, 15)</t>
        </is>
      </c>
    </row>
    <row r="68">
      <c r="A68" s="2" t="inlineStr">
        <is>
          <t xml:space="preserve">      + Số lần test (Cột K): ✅ Tất cả 2 dòng đều khớp (Lần 2)</t>
        </is>
      </c>
    </row>
    <row r="69">
      <c r="A69" s="2" t="inlineStr">
        <is>
          <t xml:space="preserve">      + Ngày test (Cột I/G): ✅ Khớp ngày (2026/05/18) cho tất cả các dòng có dữ liệu</t>
        </is>
      </c>
    </row>
    <row r="70">
      <c r="A70" t="inlineStr"/>
    </row>
    <row r="71">
      <c r="A71" s="1" t="inlineStr">
        <is>
          <t>[Nhóm Test]: ■3回目 正常系・ファイル送信前結合有無=true</t>
        </is>
      </c>
    </row>
    <row r="72">
      <c r="A72" t="inlineStr">
        <is>
          <t xml:space="preserve">  - Tổng số dòng log: 65</t>
        </is>
      </c>
    </row>
    <row r="73">
      <c r="A73" s="2" t="inlineStr">
        <is>
          <t xml:space="preserve">  - Trạng thái Sort (行): ✅ Đã sắp xếp tăng dần hợp lệ.</t>
        </is>
      </c>
    </row>
    <row r="74">
      <c r="A74" t="inlineStr">
        <is>
          <t xml:space="preserve">  - Ngày chạy log: 2026/05/18</t>
        </is>
      </c>
    </row>
    <row r="75">
      <c r="A75" t="inlineStr">
        <is>
          <t xml:space="preserve">  - [Ảnh Status Panel]: Tìm thấy Jobnet ID: 'P1J0609@10609'</t>
        </is>
      </c>
    </row>
    <row r="76">
      <c r="A76" t="inlineStr">
        <is>
          <t xml:space="preserve">  - [Ảnh Status Panel]: Tìm thấy Interface ID: 'RFSH0609'</t>
        </is>
      </c>
    </row>
    <row r="77">
      <c r="A77" s="2" t="inlineStr">
        <is>
          <t xml:space="preserve">      ✅ OK: Interface ID 'RFSH0609' có tồn tại trong tên file Excel.</t>
        </is>
      </c>
    </row>
    <row r="78">
      <c r="A78" t="inlineStr">
        <is>
          <t xml:space="preserve">  - [Ảnh Status Panel]: Tìm thấy giờ bắt đầu là 16:32:04</t>
        </is>
      </c>
    </row>
    <row r="79">
      <c r="A79" s="2" t="inlineStr">
        <is>
          <t xml:space="preserve">      ✅ OK: Thời gian log (16:32:04) &gt;= Thời gian ảnh (16:32:04)</t>
        </is>
      </c>
    </row>
    <row r="80">
      <c r="A80" s="2" t="inlineStr">
        <is>
          <t xml:space="preserve">      ✅ OK: Duration Log Main (403ms) &lt; Duration Ảnh (613ms)</t>
        </is>
      </c>
    </row>
    <row r="81">
      <c r="A81" t="inlineStr">
        <is>
          <t xml:space="preserve">  - [Ảnh Log Viewer]: Tìm thấy thời gian kết thúc trong ảnh log là '16:32:04'</t>
        </is>
      </c>
    </row>
    <row r="82">
      <c r="A82" s="2" t="inlineStr">
        <is>
          <t xml:space="preserve">      ✅ OK: Giờ kết thúc trong ảnh Log (16:32:04) KHỚP với log text (16:32:04).</t>
        </is>
      </c>
    </row>
    <row r="83">
      <c r="A83" s="2" t="inlineStr">
        <is>
          <t xml:space="preserve">      ✅ OK: Giờ ảnh Log (16:32:04) &gt;= Giờ bắt đầu (16:32:04).</t>
        </is>
      </c>
    </row>
    <row r="84">
      <c r="A84" s="2" t="inlineStr">
        <is>
          <t xml:space="preserve">      ✅ OK: Jobnet ID 'P1J0609@10609' khớp với dữ liệu trong Log.</t>
        </is>
      </c>
    </row>
    <row r="85">
      <c r="A85" t="inlineStr">
        <is>
          <t xml:space="preserve">  - [Kiểm tra File]: Log text báo có tạo ra file 'RFSH0609_output.tsv'.</t>
        </is>
      </c>
    </row>
    <row r="86">
      <c r="A86" s="2" t="inlineStr">
        <is>
          <t xml:space="preserve">      ✅ OK: Tên file trong ảnh File Explorer (RFSH0609_output.tsv) KHỚP với tên file trong Log text.</t>
        </is>
      </c>
    </row>
    <row r="87">
      <c r="A87" t="inlineStr">
        <is>
          <t xml:space="preserve">  - [Ảnh File Explorer]: Tìm thấy file 'RFSH0609_output.tsv' có Date modified là '2026/05/18 16:32'</t>
        </is>
      </c>
    </row>
    <row r="88">
      <c r="A88" s="2" t="inlineStr">
        <is>
          <t xml:space="preserve">      ✅ OK: Thời gian xuất file 'RFSH0609_output.tsv' (2026/05/18 16:32) KHỚP với log (2026/05/18 16:32).</t>
        </is>
      </c>
    </row>
    <row r="89">
      <c r="A89" t="inlineStr">
        <is>
          <t xml:space="preserve">  - [Đối chiếu Testcase trong Log]:</t>
        </is>
      </c>
    </row>
    <row r="90">
      <c r="A90" t="inlineStr">
        <is>
          <t xml:space="preserve">  - [Đối chiếu テスト計画書兼結果報告書(共通)]: Tìm thấy 1 dòng (21)</t>
        </is>
      </c>
    </row>
    <row r="91">
      <c r="A91" s="2" t="inlineStr">
        <is>
          <t xml:space="preserve">      + Số lần test (Cột K): ✅ Tất cả 1 dòng đều khớp (Lần 3)</t>
        </is>
      </c>
    </row>
    <row r="92">
      <c r="A92" s="2" t="inlineStr">
        <is>
          <t xml:space="preserve">      + Ngày test (Cột I/G): ✅ Khớp ngày (2026/05/18) cho tất cả các dòng có dữ liệu</t>
        </is>
      </c>
    </row>
    <row r="93">
      <c r="A93" t="inlineStr"/>
    </row>
    <row r="94">
      <c r="A94" s="1" t="inlineStr">
        <is>
          <t>[Nhóm Test]: ■4回目 異常系・すでにファイルが存在する場合</t>
        </is>
      </c>
    </row>
    <row r="95">
      <c r="A95" t="inlineStr">
        <is>
          <t xml:space="preserve">  - Tổng số dòng log: 55</t>
        </is>
      </c>
    </row>
    <row r="96">
      <c r="A96" s="2" t="inlineStr">
        <is>
          <t xml:space="preserve">  - Trạng thái Sort (行): ✅ Đã sắp xếp tăng dần hợp lệ.</t>
        </is>
      </c>
    </row>
    <row r="97">
      <c r="A97" t="inlineStr">
        <is>
          <t xml:space="preserve">  - Ngày chạy log: 2026/05/18</t>
        </is>
      </c>
    </row>
    <row r="98">
      <c r="A98" t="inlineStr">
        <is>
          <t xml:space="preserve">  - [Ảnh Status Panel]: Tìm thấy Jobnet ID: 'P1J0609@10609'</t>
        </is>
      </c>
    </row>
    <row r="99">
      <c r="A99" t="inlineStr">
        <is>
          <t xml:space="preserve">  - [Ảnh Status Panel]: Tìm thấy Interface ID: 'RFSH0609'</t>
        </is>
      </c>
    </row>
    <row r="100">
      <c r="A100" s="2" t="inlineStr">
        <is>
          <t xml:space="preserve">      ✅ OK: Interface ID 'RFSH0609' có tồn tại trong tên file Excel.</t>
        </is>
      </c>
    </row>
    <row r="101">
      <c r="A101" t="inlineStr">
        <is>
          <t xml:space="preserve">  - [Ảnh Status Panel]: Tìm thấy giờ bắt đầu là 16:34:40</t>
        </is>
      </c>
    </row>
    <row r="102">
      <c r="A102" s="2" t="inlineStr">
        <is>
          <t xml:space="preserve">      ✅ OK: Thời gian log (16:34:40) &gt;= Thời gian ảnh (16:34:40)</t>
        </is>
      </c>
    </row>
    <row r="103">
      <c r="A103" s="2" t="inlineStr">
        <is>
          <t xml:space="preserve">      ✅ OK: Duration Log Main (374ms) &lt; Duration Ảnh (757ms)</t>
        </is>
      </c>
    </row>
    <row r="104">
      <c r="A104" t="inlineStr">
        <is>
          <t xml:space="preserve">  - [Ảnh Log Viewer]: Tìm thấy thời gian kết thúc trong ảnh log là '16:34:41'</t>
        </is>
      </c>
    </row>
    <row r="105">
      <c r="A105" s="2" t="inlineStr">
        <is>
          <t xml:space="preserve">      ✅ OK: Giờ kết thúc trong ảnh Log (16:34:41) KHỚP với log text (16:34:41).</t>
        </is>
      </c>
    </row>
    <row r="106">
      <c r="A106" s="2" t="inlineStr">
        <is>
          <t xml:space="preserve">      ✅ OK: Giờ ảnh Log (16:34:41) &gt;= Giờ bắt đầu (16:34:40).</t>
        </is>
      </c>
    </row>
    <row r="107">
      <c r="A107" s="2" t="inlineStr">
        <is>
          <t xml:space="preserve">      ✅ OK: Jobnet ID 'P1J0609@10609' khớp với dữ liệu trong Log.</t>
        </is>
      </c>
    </row>
    <row r="108">
      <c r="A108" t="inlineStr">
        <is>
          <t xml:space="preserve">  - [Đối chiếu Testcase trong Log]:</t>
        </is>
      </c>
    </row>
    <row r="109">
      <c r="A109" t="inlineStr">
        <is>
          <t xml:space="preserve">  - [Đối chiếu テスト計画書兼結果報告書(共通)]: Tìm thấy 1 dòng (22)</t>
        </is>
      </c>
    </row>
    <row r="110">
      <c r="A110" s="2" t="inlineStr">
        <is>
          <t xml:space="preserve">      + Số lần test (Cột K): ✅ Tất cả 1 dòng đều khớp (Lần 4)</t>
        </is>
      </c>
    </row>
    <row r="111">
      <c r="A111" s="2" t="inlineStr">
        <is>
          <t xml:space="preserve">      + Ngày test (Cột I/G): ✅ Khớp ngày (2026/05/18) cho tất cả các dòng có dữ liệu</t>
        </is>
      </c>
    </row>
    <row r="112">
      <c r="A112" t="inlineStr"/>
    </row>
    <row r="113">
      <c r="A113" s="1" t="inlineStr">
        <is>
          <t>[Nhóm Test]: ■5回目 正常系・0byteファイル</t>
        </is>
      </c>
    </row>
    <row r="114">
      <c r="A114" t="inlineStr">
        <is>
          <t xml:space="preserve">  - Tổng số dòng log: 61</t>
        </is>
      </c>
    </row>
    <row r="115">
      <c r="A115" s="2" t="inlineStr">
        <is>
          <t xml:space="preserve">  - Trạng thái Sort (行): ✅ Đã sắp xếp tăng dần hợp lệ.</t>
        </is>
      </c>
    </row>
    <row r="116">
      <c r="A116" t="inlineStr">
        <is>
          <t xml:space="preserve">  - Ngày chạy log: 2026/05/18</t>
        </is>
      </c>
    </row>
    <row r="117">
      <c r="A117" t="inlineStr">
        <is>
          <t xml:space="preserve">  - [Ảnh Status Panel]: Tìm thấy Jobnet ID: 'P1J0609@10609'</t>
        </is>
      </c>
    </row>
    <row r="118">
      <c r="A118" t="inlineStr">
        <is>
          <t xml:space="preserve">  - [Ảnh Status Panel]: Tìm thấy Interface ID: 'RFSH0609'</t>
        </is>
      </c>
    </row>
    <row r="119">
      <c r="A119" s="2" t="inlineStr">
        <is>
          <t xml:space="preserve">      ✅ OK: Interface ID 'RFSH0609' có tồn tại trong tên file Excel.</t>
        </is>
      </c>
    </row>
    <row r="120">
      <c r="A120" t="inlineStr">
        <is>
          <t xml:space="preserve">  - [Ảnh Status Panel]: Tìm thấy giờ bắt đầu là 16:38:56</t>
        </is>
      </c>
    </row>
    <row r="121">
      <c r="A121" s="2" t="inlineStr">
        <is>
          <t xml:space="preserve">      ✅ OK: Thời gian log (16:38:56) &gt;= Thời gian ảnh (16:38:56)</t>
        </is>
      </c>
    </row>
    <row r="122">
      <c r="A122" s="2" t="inlineStr">
        <is>
          <t xml:space="preserve">      ✅ OK: Duration Log Main (190ms) &lt; Duration Ảnh (375ms)</t>
        </is>
      </c>
    </row>
    <row r="123">
      <c r="A123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24">
      <c r="A124" s="2" t="inlineStr">
        <is>
          <t xml:space="preserve">      ✅ OK: Jobnet ID 'P1J0609@10609' khớp với dữ liệu trong Log.</t>
        </is>
      </c>
    </row>
    <row r="125">
      <c r="A125" t="inlineStr">
        <is>
          <t xml:space="preserve">  - [Kiểm tra File]: Log text báo có tạo ra file 'RFSH0609_output.tsv'.</t>
        </is>
      </c>
    </row>
    <row r="126">
      <c r="A126" s="2" t="inlineStr">
        <is>
          <t xml:space="preserve">      ✅ OK: Tên file trong ảnh File Explorer (RFSH0609_output.tsv) KHỚP với tên file trong Log text.</t>
        </is>
      </c>
    </row>
    <row r="127">
      <c r="A127" t="inlineStr">
        <is>
          <t xml:space="preserve">  - [Ảnh File Explorer]: Tìm thấy file 'RFSH0609_output.tsv' có Date modified là '2026/05/18 16:38'</t>
        </is>
      </c>
    </row>
    <row r="128">
      <c r="A128" s="2" t="inlineStr">
        <is>
          <t xml:space="preserve">      ✅ OK: Thời gian xuất file 'RFSH0609_output.tsv' (2026/05/18 16:38) KHỚP với log (2026/05/18 16:38).</t>
        </is>
      </c>
    </row>
    <row r="129">
      <c r="A129" t="inlineStr">
        <is>
          <t xml:space="preserve">  - [Đối chiếu Testcase trong Log]:</t>
        </is>
      </c>
    </row>
    <row r="130">
      <c r="A130" t="inlineStr">
        <is>
          <t xml:space="preserve">  - [Đối chiếu テスト計画書兼結果報告書(共通)]: Tìm thấy 2 dòng (26, 46)</t>
        </is>
      </c>
    </row>
    <row r="131">
      <c r="A131" s="2" t="inlineStr">
        <is>
          <t xml:space="preserve">      + Số lần test (Cột K): ✅ Tất cả 2 dòng đều khớp (Lần 5)</t>
        </is>
      </c>
    </row>
    <row r="132">
      <c r="A132" s="2" t="inlineStr">
        <is>
          <t xml:space="preserve">      + Ngày test (Cột I/G): ✅ Khớp ngày (2026/05/18) cho tất cả các dòng có dữ liệu</t>
        </is>
      </c>
    </row>
    <row r="133">
      <c r="A133" t="inlineStr"/>
    </row>
    <row r="134">
      <c r="A134" s="1" t="inlineStr">
        <is>
          <t>[Nhóm Test]: ■6回目 正常系・データ行1000行</t>
        </is>
      </c>
    </row>
    <row r="135">
      <c r="A135" t="inlineStr">
        <is>
          <t xml:space="preserve">  - Tổng số dòng log: 65</t>
        </is>
      </c>
    </row>
    <row r="136">
      <c r="A136" s="2" t="inlineStr">
        <is>
          <t xml:space="preserve">  - Trạng thái Sort (行): ✅ Đã sắp xếp tăng dần hợp lệ.</t>
        </is>
      </c>
    </row>
    <row r="137">
      <c r="A137" t="inlineStr">
        <is>
          <t xml:space="preserve">  - Ngày chạy log: 2026/05/18</t>
        </is>
      </c>
    </row>
    <row r="138">
      <c r="A138" t="inlineStr">
        <is>
          <t xml:space="preserve">  - [Ảnh Status Panel]: Tìm thấy Jobnet ID: 'P1J0609@10609'</t>
        </is>
      </c>
    </row>
    <row r="139">
      <c r="A139" t="inlineStr">
        <is>
          <t xml:space="preserve">  - [Ảnh Status Panel]: Tìm thấy Interface ID: 'RFSH0609'</t>
        </is>
      </c>
    </row>
    <row r="140">
      <c r="A140" s="2" t="inlineStr">
        <is>
          <t xml:space="preserve">      ✅ OK: Interface ID 'RFSH0609' có tồn tại trong tên file Excel.</t>
        </is>
      </c>
    </row>
    <row r="141">
      <c r="A141" t="inlineStr">
        <is>
          <t xml:space="preserve">  - [Ảnh Status Panel]: Tìm thấy giờ bắt đầu là 16:42:23</t>
        </is>
      </c>
    </row>
    <row r="142">
      <c r="A142" s="2" t="inlineStr">
        <is>
          <t xml:space="preserve">      ✅ OK: Thời gian log (16:42:23) &gt;= Thời gian ảnh (16:42:23)</t>
        </is>
      </c>
    </row>
    <row r="143">
      <c r="A143" s="2" t="inlineStr">
        <is>
          <t xml:space="preserve">      ✅ OK: Duration Log Main (956ms) &lt; Duration Ảnh (1137ms)</t>
        </is>
      </c>
    </row>
    <row r="144">
      <c r="A144" t="inlineStr">
        <is>
          <t xml:space="preserve">  - [Ảnh Log Viewer]: Tìm thấy thời gian kết thúc trong ảnh log là '16:42:24'</t>
        </is>
      </c>
    </row>
    <row r="145">
      <c r="A145" s="2" t="inlineStr">
        <is>
          <t xml:space="preserve">      ✅ OK: Giờ kết thúc trong ảnh Log (16:42:24) KHỚP với log text (16:42:24).</t>
        </is>
      </c>
    </row>
    <row r="146">
      <c r="A146" s="2" t="inlineStr">
        <is>
          <t xml:space="preserve">      ✅ OK: Giờ ảnh Log (16:42:24) &gt;= Giờ bắt đầu (16:42:23).</t>
        </is>
      </c>
    </row>
    <row r="147">
      <c r="A147" s="2" t="inlineStr">
        <is>
          <t xml:space="preserve">      ✅ OK: Jobnet ID 'P1J0609@10609' khớp với dữ liệu trong Log.</t>
        </is>
      </c>
    </row>
    <row r="148">
      <c r="A148" t="inlineStr">
        <is>
          <t xml:space="preserve">  - [Kiểm tra File]: Log text báo có tạo ra file 'RFSH0609_output.tsv'.</t>
        </is>
      </c>
    </row>
    <row r="149">
      <c r="A149" s="2" t="inlineStr">
        <is>
          <t xml:space="preserve">      ✅ OK: Tên file trong ảnh File Explorer (RFSH0609_output.tsv) KHỚP với tên file trong Log text.</t>
        </is>
      </c>
    </row>
    <row r="150">
      <c r="A150" t="inlineStr">
        <is>
          <t xml:space="preserve">  - [Ảnh File Explorer]: Tìm thấy file 'RFSH0609_output.tsv' có Date modified là '2026/05/18 16:42'</t>
        </is>
      </c>
    </row>
    <row r="151">
      <c r="A151" s="2" t="inlineStr">
        <is>
          <t xml:space="preserve">      ✅ OK: Thời gian xuất file 'RFSH0609_output.tsv' (2026/05/18 16:42) KHỚP với log (2026/05/18 16:42).</t>
        </is>
      </c>
    </row>
    <row r="152">
      <c r="A152" t="inlineStr">
        <is>
          <t xml:space="preserve">  - [Đối chiếu Testcase trong Log]:</t>
        </is>
      </c>
    </row>
    <row r="153">
      <c r="A153" t="inlineStr">
        <is>
          <t xml:space="preserve">  - [Đối chiếu テスト計画書兼結果報告書(共通)]: Tìm thấy 1 dòng (29)</t>
        </is>
      </c>
    </row>
    <row r="154">
      <c r="A154" s="2" t="inlineStr">
        <is>
          <t xml:space="preserve">      + Số lần test (Cột K): ✅ Tất cả 1 dòng đều khớp (Lần 6)</t>
        </is>
      </c>
    </row>
    <row r="155">
      <c r="A155" s="2" t="inlineStr">
        <is>
          <t xml:space="preserve">      + Ngày test (Cột I/G): ✅ Khớp ngày (2026/05/18) cho tất cả các dòng có dữ liệu</t>
        </is>
      </c>
    </row>
    <row r="156">
      <c r="A156" t="inlineStr"/>
    </row>
    <row r="157">
      <c r="A157" s="1" t="inlineStr">
        <is>
          <t>[Nhóm Test]: ■7回目 正常系・データ行1000行以上</t>
        </is>
      </c>
    </row>
    <row r="158">
      <c r="A158" t="inlineStr">
        <is>
          <t xml:space="preserve">  - Tổng số dòng log: 77</t>
        </is>
      </c>
    </row>
    <row r="159">
      <c r="A159" s="2" t="inlineStr">
        <is>
          <t xml:space="preserve">  - Trạng thái Sort (行): ✅ Đã sắp xếp tăng dần hợp lệ.</t>
        </is>
      </c>
    </row>
    <row r="160">
      <c r="A160" t="inlineStr">
        <is>
          <t xml:space="preserve">  - Ngày chạy log: 2026/05/18</t>
        </is>
      </c>
    </row>
    <row r="161">
      <c r="A161" t="inlineStr">
        <is>
          <t xml:space="preserve">  - [Ảnh Status Panel]: Tìm thấy Jobnet ID: 'P1J0609@10609'</t>
        </is>
      </c>
    </row>
    <row r="162">
      <c r="A162" t="inlineStr">
        <is>
          <t xml:space="preserve">  - [Ảnh Status Panel]: Tìm thấy Interface ID: 'RFSH0609'</t>
        </is>
      </c>
    </row>
    <row r="163">
      <c r="A163" s="2" t="inlineStr">
        <is>
          <t xml:space="preserve">      ✅ OK: Interface ID 'RFSH0609' có tồn tại trong tên file Excel.</t>
        </is>
      </c>
    </row>
    <row r="164">
      <c r="A164" t="inlineStr">
        <is>
          <t xml:space="preserve">  - [Ảnh Status Panel]: Tìm thấy giờ bắt đầu là 16:45:12</t>
        </is>
      </c>
    </row>
    <row r="165">
      <c r="A165" s="2" t="inlineStr">
        <is>
          <t xml:space="preserve">      ✅ OK: Thời gian log (16:45:13) &gt;= Thời gian ảnh (16:45:12)</t>
        </is>
      </c>
    </row>
    <row r="166">
      <c r="A166" s="2" t="inlineStr">
        <is>
          <t xml:space="preserve">      ✅ OK: Duration Log Main (644ms) &lt; Duration Ảnh (832ms)</t>
        </is>
      </c>
    </row>
    <row r="167">
      <c r="A167" t="inlineStr">
        <is>
          <t xml:space="preserve">  - [Ảnh Log Viewer]: Tìm thấy thời gian kết thúc trong ảnh log là '16:45:13'</t>
        </is>
      </c>
    </row>
    <row r="168">
      <c r="A168" s="2" t="inlineStr">
        <is>
          <t xml:space="preserve">      ✅ OK: Giờ kết thúc trong ảnh Log (16:45:13) KHỚP với log text (16:45:13).</t>
        </is>
      </c>
    </row>
    <row r="169">
      <c r="A169" s="2" t="inlineStr">
        <is>
          <t xml:space="preserve">      ✅ OK: Giờ ảnh Log (16:45:13) &gt;= Giờ bắt đầu (16:45:12).</t>
        </is>
      </c>
    </row>
    <row r="170">
      <c r="A170" s="2" t="inlineStr">
        <is>
          <t xml:space="preserve">      ✅ OK: Jobnet ID 'P1J0609@10609' khớp với dữ liệu trong Log.</t>
        </is>
      </c>
    </row>
    <row r="171">
      <c r="A171" t="inlineStr">
        <is>
          <t xml:space="preserve">  - [Kiểm tra File]: Log text báo có tạo ra file 'RFSH0609_output.tsv'.</t>
        </is>
      </c>
    </row>
    <row r="172">
      <c r="A172" s="2" t="inlineStr">
        <is>
          <t xml:space="preserve">      ✅ OK: Tên file trong ảnh File Explorer (RFSH0609_output.tsv) KHỚP với tên file trong Log text.</t>
        </is>
      </c>
    </row>
    <row r="173">
      <c r="A173" t="inlineStr">
        <is>
          <t xml:space="preserve">  - [Ảnh File Explorer]: Tìm thấy file 'RFSH0609_output.tsv' có Date modified là '2026/05/18 16:45'</t>
        </is>
      </c>
    </row>
    <row r="174">
      <c r="A174" s="2" t="inlineStr">
        <is>
          <t xml:space="preserve">      ✅ OK: Thời gian xuất file 'RFSH0609_output.tsv' (2026/05/18 16:45) KHỚP với log (2026/05/18 16:45).</t>
        </is>
      </c>
    </row>
    <row r="175">
      <c r="A175" t="inlineStr">
        <is>
          <t xml:space="preserve">  - [Đối chiếu Testcase trong Log]:</t>
        </is>
      </c>
    </row>
    <row r="176">
      <c r="A176" t="inlineStr">
        <is>
          <t xml:space="preserve">  - [Đối chiếu テスト計画書兼結果報告書(共通)]: Tìm thấy 2 dòng (30, 35)</t>
        </is>
      </c>
    </row>
    <row r="177">
      <c r="A177" s="2" t="inlineStr">
        <is>
          <t xml:space="preserve">      + Số lần test (Cột K): ✅ Tất cả 2 dòng đều khớp (Lần 7)</t>
        </is>
      </c>
    </row>
    <row r="178">
      <c r="A178" s="2" t="inlineStr">
        <is>
          <t xml:space="preserve">      + Ngày test (Cột I/G): ✅ Khớp ngày (2026/05/18) cho tất cả các dòng có dữ liệu</t>
        </is>
      </c>
    </row>
    <row r="179">
      <c r="A179" t="inlineStr"/>
    </row>
    <row r="180">
      <c r="A180" s="1">
        <f>=============== ĐANG PHÂN TÍCH KẾT QUẢ SHEET: エビデンス(個別) ================</f>
        <v/>
      </c>
    </row>
    <row r="181">
      <c r="A181" t="inlineStr"/>
    </row>
    <row r="182">
      <c r="A182" s="1" t="inlineStr">
        <is>
          <t>[Nhóm Test]: ■1回目 正常系・0byteファイル</t>
        </is>
      </c>
    </row>
    <row r="183">
      <c r="A183" t="inlineStr">
        <is>
          <t xml:space="preserve">  - Tổng số dòng log: 49</t>
        </is>
      </c>
    </row>
    <row r="184">
      <c r="A184" s="2" t="inlineStr">
        <is>
          <t xml:space="preserve">  - Trạng thái Sort (行): ✅ Đã sắp xếp tăng dần hợp lệ.</t>
        </is>
      </c>
    </row>
    <row r="185">
      <c r="A185" t="inlineStr">
        <is>
          <t xml:space="preserve">  - Ngày chạy log: 2026/05/18</t>
        </is>
      </c>
    </row>
    <row r="186">
      <c r="A186" t="inlineStr">
        <is>
          <t xml:space="preserve">  - [Ảnh Status Panel]: Tìm thấy Jobnet ID: 'P1J0609@10609'</t>
        </is>
      </c>
    </row>
    <row r="187">
      <c r="A187" t="inlineStr">
        <is>
          <t xml:space="preserve">  - [Ảnh Status Panel]: Tìm thấy Interface ID: 'RFSH0609'</t>
        </is>
      </c>
    </row>
    <row r="188">
      <c r="A188" s="2" t="inlineStr">
        <is>
          <t xml:space="preserve">      ✅ OK: Interface ID 'RFSH0609' có tồn tại trong tên file Excel.</t>
        </is>
      </c>
    </row>
    <row r="189">
      <c r="A189" t="inlineStr">
        <is>
          <t xml:space="preserve">  - [Ảnh Status Panel]: Tìm thấy giờ bắt đầu là 16:52:28</t>
        </is>
      </c>
    </row>
    <row r="190">
      <c r="A190" s="2" t="inlineStr">
        <is>
          <t xml:space="preserve">      ✅ OK: Thời gian log (16:52:28) &gt;= Thời gian ảnh (16:52:28)</t>
        </is>
      </c>
    </row>
    <row r="191">
      <c r="A191" s="2" t="inlineStr">
        <is>
          <t xml:space="preserve">      ✅ OK: Duration Log Main (390ms) &lt; Duration Ảnh (601ms)</t>
        </is>
      </c>
    </row>
    <row r="192">
      <c r="A192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93">
      <c r="A193" s="2" t="inlineStr">
        <is>
          <t xml:space="preserve">      ✅ OK: Jobnet ID 'P1J0609@10609' khớp với dữ liệu trong Log.</t>
        </is>
      </c>
    </row>
    <row r="194">
      <c r="A194" t="inlineStr">
        <is>
          <t xml:space="preserve">  - [Kiểm tra File]: Log text báo có tạo ra file 'RFSH0609_output.tsv'.</t>
        </is>
      </c>
    </row>
    <row r="195">
      <c r="A195" s="2" t="inlineStr">
        <is>
          <t xml:space="preserve">      ✅ OK: Tên file trong ảnh File Explorer (RFSH0609_output.tsv) KHỚP với tên file trong Log text.</t>
        </is>
      </c>
    </row>
    <row r="196">
      <c r="A196" t="inlineStr">
        <is>
          <t xml:space="preserve">  - [Ảnh File Explorer]: Tìm thấy file 'RFSH0609_output.tsv' có Date modified là '2026/05/18 16:52'</t>
        </is>
      </c>
    </row>
    <row r="197">
      <c r="A197" s="2" t="inlineStr">
        <is>
          <t xml:space="preserve">      ✅ OK: Thời gian xuất file 'RFSH0609_output.tsv' (2026/05/18 16:52) KHỚP với log (2026/05/18 16:52).</t>
        </is>
      </c>
    </row>
    <row r="198">
      <c r="A198" t="inlineStr">
        <is>
          <t xml:space="preserve">  - [Đối chiếu Testcase trong Log]:</t>
        </is>
      </c>
    </row>
    <row r="199">
      <c r="A199" t="inlineStr">
        <is>
          <t xml:space="preserve">  - [Đối chiếu テスト計画書兼結果報告書(個別)]: Tìm thấy 1 dòng (6)</t>
        </is>
      </c>
    </row>
    <row r="200">
      <c r="A200" s="2" t="inlineStr">
        <is>
          <t xml:space="preserve">      + Số lần test (Cột K): ✅ Tất cả 1 dòng đều khớp (Lần 1)</t>
        </is>
      </c>
    </row>
    <row r="201">
      <c r="A201" s="2" t="inlineStr">
        <is>
          <t xml:space="preserve">      + Ngày test (Cột I/G): ✅ Khớp ngày (2026/05/18) cho tất cả các dòng có dữ liệu</t>
        </is>
      </c>
    </row>
    <row r="202">
      <c r="A202" t="inlineStr"/>
    </row>
    <row r="203">
      <c r="A203" s="1" t="inlineStr">
        <is>
          <t>[Nhóm Test]: ■2回目 正常系・全項目空データファイル</t>
        </is>
      </c>
    </row>
    <row r="204">
      <c r="A204" t="inlineStr">
        <is>
          <t xml:space="preserve">  - Tổng số dòng log: 53</t>
        </is>
      </c>
    </row>
    <row r="205">
      <c r="A205" s="2" t="inlineStr">
        <is>
          <t xml:space="preserve">  - Trạng thái Sort (行): ✅ Đã sắp xếp tăng dần hợp lệ.</t>
        </is>
      </c>
    </row>
    <row r="206">
      <c r="A206" t="inlineStr">
        <is>
          <t xml:space="preserve">  - Ngày chạy log: 2026/05/18</t>
        </is>
      </c>
    </row>
    <row r="207">
      <c r="A207" t="inlineStr">
        <is>
          <t xml:space="preserve">  - [Ảnh Status Panel]: Tìm thấy Jobnet ID: 'P1J0609@10609'</t>
        </is>
      </c>
    </row>
    <row r="208">
      <c r="A208" t="inlineStr">
        <is>
          <t xml:space="preserve">  - [Ảnh Status Panel]: Tìm thấy Interface ID: 'RFSH0609'</t>
        </is>
      </c>
    </row>
    <row r="209">
      <c r="A209" s="2" t="inlineStr">
        <is>
          <t xml:space="preserve">      ✅ OK: Interface ID 'RFSH0609' có tồn tại trong tên file Excel.</t>
        </is>
      </c>
    </row>
    <row r="210">
      <c r="A210" t="inlineStr">
        <is>
          <t xml:space="preserve">  - [Ảnh Status Panel]: Tìm thấy giờ bắt đầu là 16:54:29</t>
        </is>
      </c>
    </row>
    <row r="211">
      <c r="A211" s="2" t="inlineStr">
        <is>
          <t xml:space="preserve">      ✅ OK: Thời gian log (16:54:29) &gt;= Thời gian ảnh (16:54:29)</t>
        </is>
      </c>
    </row>
    <row r="212">
      <c r="A212" s="2" t="inlineStr">
        <is>
          <t xml:space="preserve">      ✅ OK: Duration Log Main (727ms) &lt; Duration Ảnh (909ms)</t>
        </is>
      </c>
    </row>
    <row r="213">
      <c r="A213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14">
      <c r="A214" s="2" t="inlineStr">
        <is>
          <t xml:space="preserve">      ✅ OK: Jobnet ID 'P1J0609@10609' khớp với dữ liệu trong Log.</t>
        </is>
      </c>
    </row>
    <row r="215">
      <c r="A215" t="inlineStr">
        <is>
          <t xml:space="preserve">  - [Kiểm tra File]: Log text báo có tạo ra file 'RFSH0609_output.tsv'.</t>
        </is>
      </c>
    </row>
    <row r="216">
      <c r="A216" s="2" t="inlineStr">
        <is>
          <t xml:space="preserve">      ✅ OK: Tên file trong ảnh File Explorer (RFSH0609_output.tsv) KHỚP với tên file trong Log text.</t>
        </is>
      </c>
    </row>
    <row r="217">
      <c r="A217" t="inlineStr">
        <is>
          <t xml:space="preserve">  - [Ảnh File Explorer]: Tìm thấy file 'RFSH0609_output.tsv' có Date modified là '2026/05/18 16:54'</t>
        </is>
      </c>
    </row>
    <row r="218">
      <c r="A218" s="2" t="inlineStr">
        <is>
          <t xml:space="preserve">      ✅ OK: Thời gian xuất file 'RFSH0609_output.tsv' (2026/05/18 16:54) KHỚP với log (2026/05/18 16:54).</t>
        </is>
      </c>
    </row>
    <row r="219">
      <c r="A219" t="inlineStr">
        <is>
          <t xml:space="preserve">  - [Đối chiếu Testcase trong Log]:</t>
        </is>
      </c>
    </row>
    <row r="220">
      <c r="A220" t="inlineStr">
        <is>
          <t xml:space="preserve">  - [Đối chiếu テスト計画書兼結果報告書(個別)]: Tìm thấy 1 dòng (8)</t>
        </is>
      </c>
    </row>
    <row r="221">
      <c r="A221" s="2" t="inlineStr">
        <is>
          <t xml:space="preserve">      + Số lần test (Cột K): ✅ Tất cả 1 dòng đều khớp (Lần 2)</t>
        </is>
      </c>
    </row>
    <row r="222">
      <c r="A222" s="2" t="inlineStr">
        <is>
          <t xml:space="preserve">      + Ngày test (Cột I/G): ✅ Khớp ngày (2026/05/18) cho tất cả các dòng có dữ liệu</t>
        </is>
      </c>
    </row>
    <row r="223">
      <c r="A223" t="inlineStr"/>
    </row>
    <row r="224">
      <c r="A224" s="1" t="inlineStr">
        <is>
          <t>[Nhóm Test]: ■3回目 正常系・ファイル定義確認</t>
        </is>
      </c>
    </row>
    <row r="225">
      <c r="A225" t="inlineStr">
        <is>
          <t xml:space="preserve">  - Tổng số dòng log: 53</t>
        </is>
      </c>
    </row>
    <row r="226">
      <c r="A226" s="2" t="inlineStr">
        <is>
          <t xml:space="preserve">  - Trạng thái Sort (行): ✅ Đã sắp xếp tăng dần hợp lệ.</t>
        </is>
      </c>
    </row>
    <row r="227">
      <c r="A227" t="inlineStr">
        <is>
          <t xml:space="preserve">  - Ngày chạy log: 2026/05/18</t>
        </is>
      </c>
    </row>
    <row r="228">
      <c r="A228" t="inlineStr">
        <is>
          <t xml:space="preserve">  - [Ảnh Status Panel]: Tìm thấy Jobnet ID: 'P1J0609@10609'</t>
        </is>
      </c>
    </row>
    <row r="229">
      <c r="A229" t="inlineStr">
        <is>
          <t xml:space="preserve">  - [Ảnh Status Panel]: Tìm thấy Interface ID: 'RFSH0609'</t>
        </is>
      </c>
    </row>
    <row r="230">
      <c r="A230" s="2" t="inlineStr">
        <is>
          <t xml:space="preserve">      ✅ OK: Interface ID 'RFSH0609' có tồn tại trong tên file Excel.</t>
        </is>
      </c>
    </row>
    <row r="231">
      <c r="A231" t="inlineStr">
        <is>
          <t xml:space="preserve">  - [Ảnh Status Panel]: Tìm thấy giờ bắt đầu là 16:56:42</t>
        </is>
      </c>
    </row>
    <row r="232">
      <c r="A232" s="2" t="inlineStr">
        <is>
          <t xml:space="preserve">      ✅ OK: Thời gian log (16:56:43) &gt;= Thời gian ảnh (16:56:42)</t>
        </is>
      </c>
    </row>
    <row r="233">
      <c r="A233" s="2" t="inlineStr">
        <is>
          <t xml:space="preserve">      ✅ OK: Duration Log Main (578ms) &lt; Duration Ảnh (785ms)</t>
        </is>
      </c>
    </row>
    <row r="234">
      <c r="A234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35">
      <c r="A235" s="2" t="inlineStr">
        <is>
          <t xml:space="preserve">      ✅ OK: Jobnet ID 'P1J0609@10609' khớp với dữ liệu trong Log.</t>
        </is>
      </c>
    </row>
    <row r="236">
      <c r="A236" t="inlineStr">
        <is>
          <t xml:space="preserve">  - [Kiểm tra File]: Log text báo có tạo ra file 'RFSH0609_output.tsv'.</t>
        </is>
      </c>
    </row>
    <row r="237">
      <c r="A237" s="2" t="inlineStr">
        <is>
          <t xml:space="preserve">      ✅ OK: Tên file trong ảnh File Explorer (RFSH0609_output.tsv) KHỚP với tên file trong Log text.</t>
        </is>
      </c>
    </row>
    <row r="238">
      <c r="A238" t="inlineStr">
        <is>
          <t xml:space="preserve">  - [Ảnh File Explorer]: Tìm thấy file 'RFSH0609_output.tsv' có Date modified là '2026/05/18 16:56'</t>
        </is>
      </c>
    </row>
    <row r="239">
      <c r="A239" s="2" t="inlineStr">
        <is>
          <t xml:space="preserve">      ✅ OK: Thời gian xuất file 'RFSH0609_output.tsv' (2026/05/18 16:56) KHỚP với log (2026/05/18 16:56).</t>
        </is>
      </c>
    </row>
    <row r="240">
      <c r="A240" t="inlineStr">
        <is>
          <t xml:space="preserve">  - [Đối chiếu Testcase trong Log]:</t>
        </is>
      </c>
    </row>
    <row r="241">
      <c r="A241" t="inlineStr">
        <is>
          <t xml:space="preserve">  - [Đối chiếu テスト計画書兼結果報告書(個別)]: Tìm thấy 12 dòng (18, 19, 20, 21, 22, 23, 25, 26, 27, 28, 29, 30)</t>
        </is>
      </c>
    </row>
    <row r="242">
      <c r="A242" s="2" t="inlineStr">
        <is>
          <t xml:space="preserve">      + Số lần test (Cột K): ✅ Tất cả 12 dòng đều khớp (Lần 3)</t>
        </is>
      </c>
    </row>
    <row r="243">
      <c r="A243" s="2" t="inlineStr">
        <is>
          <t xml:space="preserve">      + Ngày test (Cột I/G): ✅ Khớp ngày (2026/05/18) cho tất cả các dòng có dữ liệu</t>
        </is>
      </c>
    </row>
    <row r="244">
      <c r="A244" t="inlineStr"/>
    </row>
    <row r="245">
      <c r="A245" s="1" t="inlineStr">
        <is>
          <t>[Nhóm Test]: ■4回目正常系・列分割→行変換確認（明細0件）</t>
        </is>
      </c>
    </row>
    <row r="246">
      <c r="A246" t="inlineStr">
        <is>
          <t xml:space="preserve">  - Tổng số dòng log: 53</t>
        </is>
      </c>
    </row>
    <row r="247">
      <c r="A247" s="2" t="inlineStr">
        <is>
          <t xml:space="preserve">  - Trạng thái Sort (行): ✅ Đã sắp xếp tăng dần hợp lệ.</t>
        </is>
      </c>
    </row>
    <row r="248">
      <c r="A248" t="inlineStr">
        <is>
          <t xml:space="preserve">  - Ngày chạy log: 2026/05/18</t>
        </is>
      </c>
    </row>
    <row r="249">
      <c r="A249" t="inlineStr">
        <is>
          <t xml:space="preserve">  - [Ảnh Status Panel]: Tìm thấy Jobnet ID: 'P1J0609@10609'</t>
        </is>
      </c>
    </row>
    <row r="250">
      <c r="A250" t="inlineStr">
        <is>
          <t xml:space="preserve">  - [Ảnh Status Panel]: Tìm thấy Interface ID: 'RFSH0609'</t>
        </is>
      </c>
    </row>
    <row r="251">
      <c r="A251" s="2" t="inlineStr">
        <is>
          <t xml:space="preserve">      ✅ OK: Interface ID 'RFSH0609' có tồn tại trong tên file Excel.</t>
        </is>
      </c>
    </row>
    <row r="252">
      <c r="A252" t="inlineStr">
        <is>
          <t xml:space="preserve">  - [Ảnh Status Panel]: Tìm thấy giờ bắt đầu là 16:58:24</t>
        </is>
      </c>
    </row>
    <row r="253">
      <c r="A253" s="2" t="inlineStr">
        <is>
          <t xml:space="preserve">      ✅ OK: Thời gian log (16:58:24) &gt;= Thời gian ảnh (16:58:24)</t>
        </is>
      </c>
    </row>
    <row r="254">
      <c r="A254" s="2" t="inlineStr">
        <is>
          <t xml:space="preserve">      ✅ OK: Duration Log Main (519ms) &lt; Duration Ảnh (711ms)</t>
        </is>
      </c>
    </row>
    <row r="255">
      <c r="A255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56">
      <c r="A256" s="2" t="inlineStr">
        <is>
          <t xml:space="preserve">      ✅ OK: Jobnet ID 'P1J0609@10609' khớp với dữ liệu trong Log.</t>
        </is>
      </c>
    </row>
    <row r="257">
      <c r="A257" t="inlineStr">
        <is>
          <t xml:space="preserve">  - [Kiểm tra File]: Log text báo có tạo ra file 'RFSH0609_output.tsv'.</t>
        </is>
      </c>
    </row>
    <row r="258">
      <c r="A258" s="2" t="inlineStr">
        <is>
          <t xml:space="preserve">      ✅ OK: Tên file trong ảnh File Explorer (RFSH0609_output.tsv) KHỚP với tên file trong Log text.</t>
        </is>
      </c>
    </row>
    <row r="259">
      <c r="A259" t="inlineStr">
        <is>
          <t xml:space="preserve">  - [Ảnh File Explorer]: Tìm thấy file 'RFSH0609_output.tsv' có Date modified là '2026/05/18 16:58'</t>
        </is>
      </c>
    </row>
    <row r="260">
      <c r="A260" s="2" t="inlineStr">
        <is>
          <t xml:space="preserve">      ✅ OK: Thời gian xuất file 'RFSH0609_output.tsv' (2026/05/18 16:58) KHỚP với log (2026/05/18 16:58).</t>
        </is>
      </c>
    </row>
    <row r="261">
      <c r="A261" t="inlineStr">
        <is>
          <t xml:space="preserve">  - [Đối chiếu Testcase trong Log]:</t>
        </is>
      </c>
    </row>
    <row r="262">
      <c r="A262" t="inlineStr">
        <is>
          <t xml:space="preserve">  - [Đối chiếu テスト計画書兼結果報告書(個別)]: Tìm thấy 1 dòng (11)</t>
        </is>
      </c>
    </row>
    <row r="263">
      <c r="A263" s="2" t="inlineStr">
        <is>
          <t xml:space="preserve">      + Số lần test (Cột K): ✅ Tất cả 1 dòng đều khớp (Lần 4)</t>
        </is>
      </c>
    </row>
    <row r="264">
      <c r="A264" s="2" t="inlineStr">
        <is>
          <t xml:space="preserve">      + Ngày test (Cột I/G): ✅ Khớp ngày (2026/05/18) cho tất cả các dòng có dữ liệu</t>
        </is>
      </c>
    </row>
    <row r="265">
      <c r="A265" t="inlineStr"/>
    </row>
    <row r="266">
      <c r="A266" s="1" t="inlineStr">
        <is>
          <t>[Nhóm Test]: ■5回目正常系・列分割→行変換確認（明細1件）</t>
        </is>
      </c>
    </row>
    <row r="267">
      <c r="A267" t="inlineStr">
        <is>
          <t xml:space="preserve">  - Tổng số dòng log: 53</t>
        </is>
      </c>
    </row>
    <row r="268">
      <c r="A268" s="2" t="inlineStr">
        <is>
          <t xml:space="preserve">  - Trạng thái Sort (行): ✅ Đã sắp xếp tăng dần hợp lệ.</t>
        </is>
      </c>
    </row>
    <row r="269">
      <c r="A269" t="inlineStr">
        <is>
          <t xml:space="preserve">  - Ngày chạy log: 2026/05/18</t>
        </is>
      </c>
    </row>
    <row r="270">
      <c r="A270" t="inlineStr">
        <is>
          <t xml:space="preserve">  - [Ảnh Status Panel]: Tìm thấy Jobnet ID: 'P1J0609@10609'</t>
        </is>
      </c>
    </row>
    <row r="271">
      <c r="A271" t="inlineStr">
        <is>
          <t xml:space="preserve">  - [Ảnh Status Panel]: Tìm thấy Interface ID: 'RFSH0609'</t>
        </is>
      </c>
    </row>
    <row r="272">
      <c r="A272" s="2" t="inlineStr">
        <is>
          <t xml:space="preserve">      ✅ OK: Interface ID 'RFSH0609' có tồn tại trong tên file Excel.</t>
        </is>
      </c>
    </row>
    <row r="273">
      <c r="A273" t="inlineStr">
        <is>
          <t xml:space="preserve">  - [Ảnh Status Panel]: Tìm thấy giờ bắt đầu là 17:00:48</t>
        </is>
      </c>
    </row>
    <row r="274">
      <c r="A274" s="2" t="inlineStr">
        <is>
          <t xml:space="preserve">      ✅ OK: Thời gian log (17:00:48) &gt;= Thời gian ảnh (17:00:48)</t>
        </is>
      </c>
    </row>
    <row r="275">
      <c r="A275" s="2" t="inlineStr">
        <is>
          <t xml:space="preserve">      ✅ OK: Duration Log Main (558ms) &lt; Duration Ảnh (794ms)</t>
        </is>
      </c>
    </row>
    <row r="276">
      <c r="A276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77">
      <c r="A277" s="2" t="inlineStr">
        <is>
          <t xml:space="preserve">      ✅ OK: Jobnet ID 'P1J0609@10609' khớp với dữ liệu trong Log.</t>
        </is>
      </c>
    </row>
    <row r="278">
      <c r="A278" t="inlineStr">
        <is>
          <t xml:space="preserve">  - [Kiểm tra File]: Log text báo có tạo ra file 'RFSH0609_output.tsv'.</t>
        </is>
      </c>
    </row>
    <row r="279">
      <c r="A279" s="2" t="inlineStr">
        <is>
          <t xml:space="preserve">      ✅ OK: Tên file trong ảnh File Explorer (RFSH0609_output.tsv) KHỚP với tên file trong Log text.</t>
        </is>
      </c>
    </row>
    <row r="280">
      <c r="A280" t="inlineStr">
        <is>
          <t xml:space="preserve">  - [Ảnh File Explorer]: Tìm thấy file 'RFSH0609_output.tsv' có Date modified là '2026/05/18 17:00'</t>
        </is>
      </c>
    </row>
    <row r="281">
      <c r="A281" s="2" t="inlineStr">
        <is>
          <t xml:space="preserve">      ✅ OK: Thời gian xuất file 'RFSH0609_output.tsv' (2026/05/18 17:00) KHỚP với log (2026/05/18 17:00).</t>
        </is>
      </c>
    </row>
    <row r="282">
      <c r="A282" t="inlineStr">
        <is>
          <t xml:space="preserve">  - [Đối chiếu Testcase trong Log]:</t>
        </is>
      </c>
    </row>
    <row r="283">
      <c r="A283" t="inlineStr">
        <is>
          <t xml:space="preserve">  - [Đối chiếu テスト計画書兼結果報告書(個別)]: Tìm thấy 1 dòng (12)</t>
        </is>
      </c>
    </row>
    <row r="284">
      <c r="A284" s="2" t="inlineStr">
        <is>
          <t xml:space="preserve">      + Số lần test (Cột K): ✅ Tất cả 1 dòng đều khớp (Lần 5)</t>
        </is>
      </c>
    </row>
    <row r="285">
      <c r="A285" s="2" t="inlineStr">
        <is>
          <t xml:space="preserve">      + Ngày test (Cột I/G): ✅ Khớp ngày (2026/05/18) cho tất cả các dòng có dữ liệu</t>
        </is>
      </c>
    </row>
    <row r="286">
      <c r="A286" t="inlineStr"/>
    </row>
    <row r="287">
      <c r="A287" s="1" t="inlineStr">
        <is>
          <t>[Nhóm Test]: ■6回目正常系・列分割→行変換確認（明細4件）</t>
        </is>
      </c>
    </row>
    <row r="288">
      <c r="A288" t="inlineStr">
        <is>
          <t xml:space="preserve">  - Tổng số dòng log: 53</t>
        </is>
      </c>
    </row>
    <row r="289">
      <c r="A289" s="2" t="inlineStr">
        <is>
          <t xml:space="preserve">  - Trạng thái Sort (行): ✅ Đã sắp xếp tăng dần hợp lệ.</t>
        </is>
      </c>
    </row>
    <row r="290">
      <c r="A290" t="inlineStr">
        <is>
          <t xml:space="preserve">  - Ngày chạy log: 2026/05/18</t>
        </is>
      </c>
    </row>
    <row r="291">
      <c r="A291" t="inlineStr">
        <is>
          <t xml:space="preserve">  - [Ảnh Status Panel]: Tìm thấy Jobnet ID: 'P1J0609@10609'</t>
        </is>
      </c>
    </row>
    <row r="292">
      <c r="A292" t="inlineStr">
        <is>
          <t xml:space="preserve">  - [Ảnh Status Panel]: Tìm thấy Interface ID: 'RFSH0609'</t>
        </is>
      </c>
    </row>
    <row r="293">
      <c r="A293" s="2" t="inlineStr">
        <is>
          <t xml:space="preserve">      ✅ OK: Interface ID 'RFSH0609' có tồn tại trong tên file Excel.</t>
        </is>
      </c>
    </row>
    <row r="294">
      <c r="A294" t="inlineStr">
        <is>
          <t xml:space="preserve">  - [Ảnh Status Panel]: Tìm thấy giờ bắt đầu là 17:02:36</t>
        </is>
      </c>
    </row>
    <row r="295">
      <c r="A295" s="2" t="inlineStr">
        <is>
          <t xml:space="preserve">      ✅ OK: Thời gian log (17:02:36) &gt;= Thời gian ảnh (17:02:36)</t>
        </is>
      </c>
    </row>
    <row r="296">
      <c r="A296" s="2" t="inlineStr">
        <is>
          <t xml:space="preserve">      ✅ OK: Duration Log Main (327ms) &lt; Duration Ảnh (511ms)</t>
        </is>
      </c>
    </row>
    <row r="297">
      <c r="A297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98">
      <c r="A298" s="2" t="inlineStr">
        <is>
          <t xml:space="preserve">      ✅ OK: Jobnet ID 'P1J0609@10609' khớp với dữ liệu trong Log.</t>
        </is>
      </c>
    </row>
    <row r="299">
      <c r="A299" t="inlineStr">
        <is>
          <t xml:space="preserve">  - [Kiểm tra File]: Log text báo có tạo ra file 'RFSH0609_output.tsv'.</t>
        </is>
      </c>
    </row>
    <row r="300">
      <c r="A300" s="2" t="inlineStr">
        <is>
          <t xml:space="preserve">      ✅ OK: Tên file trong ảnh File Explorer (RFSH0609_output.tsv) KHỚP với tên file trong Log text.</t>
        </is>
      </c>
    </row>
    <row r="301">
      <c r="A301" t="inlineStr">
        <is>
          <t xml:space="preserve">  - [Ảnh File Explorer]: Tìm thấy file 'RFSH0609_output.tsv' có Date modified là '2026/05/18 17:02'</t>
        </is>
      </c>
    </row>
    <row r="302">
      <c r="A302" s="2" t="inlineStr">
        <is>
          <t xml:space="preserve">      ✅ OK: Thời gian xuất file 'RFSH0609_output.tsv' (2026/05/18 17:02) KHỚP với log (2026/05/18 17:02).</t>
        </is>
      </c>
    </row>
    <row r="303">
      <c r="A303" t="inlineStr">
        <is>
          <t xml:space="preserve">  - [Đối chiếu Testcase trong Log]:</t>
        </is>
      </c>
    </row>
    <row r="304">
      <c r="A304" s="3" t="inlineStr">
        <is>
          <t xml:space="preserve">      ⚠️ CẢNH BÁO: Phát hiện testcase không có trong kế hoạch cho nhóm này: 8823-4588-9280</t>
        </is>
      </c>
    </row>
    <row r="305">
      <c r="A305" t="inlineStr">
        <is>
          <t xml:space="preserve">  - [Đối chiếu テスト計画書兼結果報告書(個別)]: Tìm thấy 1 dòng (14)</t>
        </is>
      </c>
    </row>
    <row r="306">
      <c r="A306" s="2" t="inlineStr">
        <is>
          <t xml:space="preserve">      + Số lần test (Cột K): ✅ Tất cả 1 dòng đều khớp (Lần 6)</t>
        </is>
      </c>
    </row>
    <row r="307">
      <c r="A307" s="2" t="inlineStr">
        <is>
          <t xml:space="preserve">      + Ngày test (Cột I/G): ✅ Khớp ngày (2026/05/18) cho tất cả các dòng có dữ liệu</t>
        </is>
      </c>
    </row>
    <row r="308">
      <c r="A308" t="inlineStr"/>
    </row>
    <row r="309">
      <c r="A309" s="1" t="inlineStr">
        <is>
          <t>[Nhóm Test]: ■7回目正常系・列分割→行変換確認（明細8件）</t>
        </is>
      </c>
    </row>
    <row r="310">
      <c r="A310" t="inlineStr">
        <is>
          <t xml:space="preserve">  - Tổng số dòng log: 53</t>
        </is>
      </c>
    </row>
    <row r="311">
      <c r="A311" s="2" t="inlineStr">
        <is>
          <t xml:space="preserve">  - Trạng thái Sort (行): ✅ Đã sắp xếp tăng dần hợp lệ.</t>
        </is>
      </c>
    </row>
    <row r="312">
      <c r="A312" t="inlineStr">
        <is>
          <t xml:space="preserve">  - Ngày chạy log: 2026/05/18</t>
        </is>
      </c>
    </row>
    <row r="313">
      <c r="A313" t="inlineStr">
        <is>
          <t xml:space="preserve">  - [Ảnh Status Panel]: Tìm thấy Jobnet ID: 'P1J0609@10609'</t>
        </is>
      </c>
    </row>
    <row r="314">
      <c r="A314" t="inlineStr">
        <is>
          <t xml:space="preserve">  - [Ảnh Status Panel]: Tìm thấy Interface ID: 'RFSH0609'</t>
        </is>
      </c>
    </row>
    <row r="315">
      <c r="A315" s="2" t="inlineStr">
        <is>
          <t xml:space="preserve">      ✅ OK: Interface ID 'RFSH0609' có tồn tại trong tên file Excel.</t>
        </is>
      </c>
    </row>
    <row r="316">
      <c r="A316" t="inlineStr">
        <is>
          <t xml:space="preserve">  - [Ảnh Status Panel]: Tìm thấy giờ bắt đầu là 17:04:46</t>
        </is>
      </c>
    </row>
    <row r="317">
      <c r="A317" s="2" t="inlineStr">
        <is>
          <t xml:space="preserve">      ✅ OK: Thời gian log (17:04:46) &gt;= Thời gian ảnh (17:04:46)</t>
        </is>
      </c>
    </row>
    <row r="318">
      <c r="A318" s="2" t="inlineStr">
        <is>
          <t xml:space="preserve">      ✅ OK: Duration Log Main (524ms) &lt; Duration Ảnh (723ms)</t>
        </is>
      </c>
    </row>
    <row r="319">
      <c r="A319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320">
      <c r="A320" s="2" t="inlineStr">
        <is>
          <t xml:space="preserve">      ✅ OK: Jobnet ID 'P1J0609@10609' khớp với dữ liệu trong Log.</t>
        </is>
      </c>
    </row>
    <row r="321">
      <c r="A321" t="inlineStr">
        <is>
          <t xml:space="preserve">  - [Kiểm tra File]: Log text báo có tạo ra file 'RFSH0609_output.tsv'.</t>
        </is>
      </c>
    </row>
    <row r="322">
      <c r="A322" s="2" t="inlineStr">
        <is>
          <t xml:space="preserve">      ✅ OK: Tên file trong ảnh File Explorer (RFSH0609_output.tsv) KHỚP với tên file trong Log text.</t>
        </is>
      </c>
    </row>
    <row r="323">
      <c r="A323" t="inlineStr">
        <is>
          <t xml:space="preserve">  - [Ảnh File Explorer]: Tìm thấy file 'RFSH0609_output.tsv' có Date modified là '2026/05/18 17:04'</t>
        </is>
      </c>
    </row>
    <row r="324">
      <c r="A324" s="2" t="inlineStr">
        <is>
          <t xml:space="preserve">      ✅ OK: Thời gian xuất file 'RFSH0609_output.tsv' (2026/05/18 17:04) KHỚP với log (2026/05/18 17:04).</t>
        </is>
      </c>
    </row>
    <row r="325">
      <c r="A325" t="inlineStr">
        <is>
          <t xml:space="preserve">  - [Đối chiếu Testcase trong Log]:</t>
        </is>
      </c>
    </row>
    <row r="326">
      <c r="A326" t="inlineStr">
        <is>
          <t xml:space="preserve">  - [Đối chiếu テスト計画書兼結果報告書(個別)]: Tìm thấy 1 dòng (13)</t>
        </is>
      </c>
    </row>
    <row r="327">
      <c r="A327" s="2" t="inlineStr">
        <is>
          <t xml:space="preserve">      + Số lần test (Cột K): ✅ Tất cả 1 dòng đều khớp (Lần 7)</t>
        </is>
      </c>
    </row>
    <row r="328">
      <c r="A328" s="2" t="inlineStr">
        <is>
          <t xml:space="preserve">      + Ngày test (Cột I/G): ✅ Khớp ngày (2026/05/18) cho tất cả các dòng có dữ liệu</t>
        </is>
      </c>
    </row>
    <row r="329">
      <c r="A329" t="inlineStr"/>
    </row>
    <row r="330">
      <c r="A330" s="1" t="inlineStr">
        <is>
          <t>[Nhóm Test]: ■8回目正常系・列分割→行変換確認（レコードが複数件あり）</t>
        </is>
      </c>
    </row>
    <row r="331">
      <c r="A331" t="inlineStr">
        <is>
          <t xml:space="preserve">  - Tổng số dòng log: 53</t>
        </is>
      </c>
    </row>
    <row r="332">
      <c r="A332" s="2" t="inlineStr">
        <is>
          <t xml:space="preserve">  - Trạng thái Sort (行): ✅ Đã sắp xếp tăng dần hợp lệ.</t>
        </is>
      </c>
    </row>
    <row r="333">
      <c r="A333" t="inlineStr">
        <is>
          <t xml:space="preserve">  - Ngày chạy log: 2026/05/18</t>
        </is>
      </c>
    </row>
    <row r="334">
      <c r="A334" t="inlineStr">
        <is>
          <t xml:space="preserve">  - [Ảnh Status Panel]: Tìm thấy Jobnet ID: 'P1J0609@10609'</t>
        </is>
      </c>
    </row>
    <row r="335">
      <c r="A335" t="inlineStr">
        <is>
          <t xml:space="preserve">  - [Ảnh Status Panel]: Tìm thấy Interface ID: 'RFSH0609'</t>
        </is>
      </c>
    </row>
    <row r="336">
      <c r="A336" s="2" t="inlineStr">
        <is>
          <t xml:space="preserve">      ✅ OK: Interface ID 'RFSH0609' có tồn tại trong tên file Excel.</t>
        </is>
      </c>
    </row>
    <row r="337">
      <c r="A337" t="inlineStr">
        <is>
          <t xml:space="preserve">  - [Ảnh Status Panel]: Tìm thấy giờ bắt đầu là 17:06:47</t>
        </is>
      </c>
    </row>
    <row r="338">
      <c r="A338" s="2" t="inlineStr">
        <is>
          <t xml:space="preserve">      ✅ OK: Thời gian log (17:06:47) &gt;= Thời gian ảnh (17:06:47)</t>
        </is>
      </c>
    </row>
    <row r="339">
      <c r="A339" s="2" t="inlineStr">
        <is>
          <t xml:space="preserve">      ✅ OK: Duration Log Main (498ms) &lt; Duration Ảnh (702ms)</t>
        </is>
      </c>
    </row>
    <row r="340">
      <c r="A340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341">
      <c r="A341" s="2" t="inlineStr">
        <is>
          <t xml:space="preserve">      ✅ OK: Jobnet ID 'P1J0609@10609' khớp với dữ liệu trong Log.</t>
        </is>
      </c>
    </row>
    <row r="342">
      <c r="A342" t="inlineStr">
        <is>
          <t xml:space="preserve">  - [Kiểm tra File]: Log text báo có tạo ra file 'RFSH0609_output.tsv'.</t>
        </is>
      </c>
    </row>
    <row r="343">
      <c r="A343" s="2" t="inlineStr">
        <is>
          <t xml:space="preserve">      ✅ OK: Tên file trong ảnh File Explorer (RFSH0609_output.tsv) KHỚP với tên file trong Log text.</t>
        </is>
      </c>
    </row>
    <row r="344">
      <c r="A344" t="inlineStr">
        <is>
          <t xml:space="preserve">  - [Ảnh File Explorer]: Tìm thấy file 'RFSH0609_output.tsv' có Date modified là '2026/05/18 17:06'</t>
        </is>
      </c>
    </row>
    <row r="345">
      <c r="A345" s="2" t="inlineStr">
        <is>
          <t xml:space="preserve">      ✅ OK: Thời gian xuất file 'RFSH0609_output.tsv' (2026/05/18 17:06) KHỚP với log (2026/05/18 17:06).</t>
        </is>
      </c>
    </row>
    <row r="346">
      <c r="A346" t="inlineStr">
        <is>
          <t xml:space="preserve">  - [Đối chiếu Testcase trong Log]:</t>
        </is>
      </c>
    </row>
    <row r="347">
      <c r="A347" t="inlineStr">
        <is>
          <t xml:space="preserve">  - [Đối chiếu テスト計画書兼結果報告書(個別)]: Tìm thấy 1 dòng (15)</t>
        </is>
      </c>
    </row>
    <row r="348">
      <c r="A348" s="2" t="inlineStr">
        <is>
          <t xml:space="preserve">      + Số lần test (Cột K): ✅ Tất cả 1 dòng đều khớp (Lần 8)</t>
        </is>
      </c>
    </row>
    <row r="349">
      <c r="A349" s="2" t="inlineStr">
        <is>
          <t xml:space="preserve">      + Ngày test (Cột I/G): ✅ Khớp ngày (2026/05/18) cho tất cả các dòng có dữ liệu</t>
        </is>
      </c>
    </row>
    <row r="350">
      <c r="A350" t="inlineStr"/>
    </row>
    <row r="351">
      <c r="A351" s="1">
        <f>=============== TỔNG KẾT COVERAGE CHO SHEET エビデンス(共通) ================</f>
        <v/>
      </c>
    </row>
    <row r="352">
      <c r="A352" s="2" t="inlineStr">
        <is>
          <t xml:space="preserve">  - ✅ Nhóm 1 (gồm TC: 1-1-1, 1-2-1, 2-1-1, 2-2-1, 3-1-1, 3-2-1, 4-1-1, 4-2-1, 5-1-1, 5-3-1, 5-4-1, 6-1-1, 7-1-1): Đã có Log Evidence.</t>
        </is>
      </c>
    </row>
    <row r="353">
      <c r="A353" s="2" t="inlineStr">
        <is>
          <t xml:space="preserve">  - ✅ Nhóm 2 (gồm TC: 1-2-2, 2-2-2): Đã có Log Evidence.</t>
        </is>
      </c>
    </row>
    <row r="354">
      <c r="A354" s="2" t="inlineStr">
        <is>
          <t xml:space="preserve">  - ✅ Nhóm 3 (gồm TC: 3-2-2): Đã có Log Evidence.</t>
        </is>
      </c>
    </row>
    <row r="355">
      <c r="A355" s="2" t="inlineStr">
        <is>
          <t xml:space="preserve">  - ✅ Nhóm 4 (gồm TC: 3-2-3): Đã có Log Evidence.</t>
        </is>
      </c>
    </row>
    <row r="356">
      <c r="A356" s="2" t="inlineStr">
        <is>
          <t xml:space="preserve">  - ✅ Nhóm 5 (gồm TC: 4-1-2, 7-1-2): Đã có Log Evidence.</t>
        </is>
      </c>
    </row>
    <row r="357">
      <c r="A357" s="2" t="inlineStr">
        <is>
          <t xml:space="preserve">  - ✅ Nhóm 6 (gồm TC: 4-2-2): Đã có Log Evidence.</t>
        </is>
      </c>
    </row>
    <row r="358">
      <c r="A358" s="2" t="inlineStr">
        <is>
          <t xml:space="preserve">  - ✅ Nhóm 7 (gồm TC: 4-2-3, 5-2-1): Đã có Log Evidence.</t>
        </is>
      </c>
    </row>
    <row r="359">
      <c r="A359" t="inlineStr">
        <is>
          <t xml:space="preserve">  =&gt; TOÀN BỘ CÁC NHÓM TEST TRONG KẾ HOẠCH ĐỀU ĐÃ CÓ EVIDENCE!</t>
        </is>
      </c>
    </row>
    <row r="360">
      <c r="A360" t="inlineStr"/>
    </row>
    <row r="361">
      <c r="A361" t="inlineStr"/>
    </row>
    <row r="362">
      <c r="A362" s="1">
        <f>=============== TỔNG KẾT COVERAGE CHO SHEET エビデンス(個別) ================</f>
        <v/>
      </c>
    </row>
    <row r="363">
      <c r="A363" s="2" t="inlineStr">
        <is>
          <t xml:space="preserve">  - ✅ Nhóm 1 (gồm TC: 1-1-1): Đã có Log Evidence.</t>
        </is>
      </c>
    </row>
    <row r="364">
      <c r="A364" s="2" t="inlineStr">
        <is>
          <t xml:space="preserve">  - ✅ Nhóm 2 (gồm TC: 1-2-1): Đã có Log Evidence.</t>
        </is>
      </c>
    </row>
    <row r="365">
      <c r="A365" s="2" t="inlineStr">
        <is>
          <t xml:space="preserve">  - ✅ Nhóm 3 (gồm TC: 3-1-1, 3-1-2, 3-1-3, 3-1-4, 3-1-5, 3-1-6, 3-2-1, 3-2-2, 3-2-3, 3-2-4, 3-2-5, 3-2-6): Đã có Log Evidence.</t>
        </is>
      </c>
    </row>
    <row r="366">
      <c r="A366" s="2" t="inlineStr">
        <is>
          <t xml:space="preserve">  - ✅ Nhóm 4 (gồm TC: 2-1-1): Đã có Log Evidence.</t>
        </is>
      </c>
    </row>
    <row r="367">
      <c r="A367" s="2" t="inlineStr">
        <is>
          <t xml:space="preserve">  - ✅ Nhóm 5 (gồm TC: 2-1-2): Đã có Log Evidence.</t>
        </is>
      </c>
    </row>
    <row r="368">
      <c r="A368" s="2" t="inlineStr">
        <is>
          <t xml:space="preserve">  - ✅ Nhóm 6 (gồm TC: 2-1-4): Đã có Log Evidence.</t>
        </is>
      </c>
    </row>
    <row r="369">
      <c r="A369" s="2" t="inlineStr">
        <is>
          <t xml:space="preserve">  - ✅ Nhóm 7 (gồm TC: 2-1-3): Đã có Log Evidence.</t>
        </is>
      </c>
    </row>
    <row r="370">
      <c r="A370" s="2" t="inlineStr">
        <is>
          <t xml:space="preserve">  - ✅ Nhóm 8 (gồm TC: 2-1-5): Đã có Log Evidence.</t>
        </is>
      </c>
    </row>
    <row r="371">
      <c r="A371" t="inlineStr">
        <is>
          <t xml:space="preserve">  =&gt; TOÀN BỘ CÁC NHÓM TEST TRONG KẾ HOẠCH ĐỀU ĐÃ CÓ EVIDENCE!</t>
        </is>
      </c>
    </row>
    <row r="372">
      <c r="A372" t="inlineStr"/>
    </row>
    <row r="373">
      <c r="A37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7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" t="inlineStr">
        <is>
          <t>✅ Đã check xong file '単体テスト仕様書兼成績書_E304_RFSH0609.xlsx'. Nhấn Enter để tiếp tục sang file tiếp theo...</t>
        </is>
      </c>
    </row>
    <row r="2">
      <c r="A2" s="1">
        <f>======================== [11/16] ĐANG XỬ LÝ FILE: 単体テスト仕様書兼成績書_E304_RFSH0616.xlsx =========================</f>
        <v/>
      </c>
    </row>
    <row r="3">
      <c r="A3" t="inlineStr">
        <is>
          <t>Đang đọc dữ liệu từ file: 単体テスト仕様書兼成績書_E304_RFSH0616.xlsx ...</t>
        </is>
      </c>
    </row>
    <row r="4">
      <c r="A4" t="inlineStr"/>
    </row>
    <row r="5">
      <c r="A5" s="1">
        <f>=============== TRẠNG THÁI OCR ================</f>
        <v/>
      </c>
    </row>
    <row r="6">
      <c r="A6" s="2" t="inlineStr">
        <is>
          <t>✅ Đã bật (Sẵn sàng đọc ảnh)</t>
        </is>
      </c>
    </row>
    <row r="7">
      <c r="A7" t="inlineStr"/>
    </row>
    <row r="8">
      <c r="A8" s="1">
        <f>=============== KIỂM TRA TRẠNG THÁI MỞ FILE ================</f>
        <v/>
      </c>
    </row>
    <row r="9">
      <c r="A9" s="2" t="inlineStr">
        <is>
          <t>✅ File đang mở ở sheet đầu tiên '表紙 '.</t>
        </is>
      </c>
    </row>
    <row r="10">
      <c r="A10" s="2" t="inlineStr">
        <is>
          <t>✅ Con trỏ chuột đang nằm ở ô 'A1'.</t>
        </is>
      </c>
    </row>
    <row r="11">
      <c r="A11" t="inlineStr"/>
    </row>
    <row r="12">
      <c r="A12" s="1">
        <f>=============== SHEET: エビデンス(共通) ================</f>
        <v/>
      </c>
    </row>
    <row r="13">
      <c r="A13" t="inlineStr">
        <is>
          <t xml:space="preserve">  -&gt; Tìm thấy 44 ảnh trong sheet này.</t>
        </is>
      </c>
    </row>
    <row r="14">
      <c r="A14" s="1">
        <f>=============== SHEET: エビデンス(個別) ================</f>
        <v/>
      </c>
    </row>
    <row r="15">
      <c r="A15" t="inlineStr">
        <is>
          <t xml:space="preserve">  -&gt; Tìm thấy 40 ảnh trong sheet này.</t>
        </is>
      </c>
    </row>
    <row r="16">
      <c r="A16" t="inlineStr"/>
    </row>
    <row r="17">
      <c r="A17" s="1" t="inlineStr">
        <is>
          <t>[GEMINI MANUAL MODE] ♻️ Đã tìm thấy file JSON kết quả cũ tại:</t>
        </is>
      </c>
    </row>
    <row r="18">
      <c r="A18" t="inlineStr">
        <is>
          <t>D:\project\tool\New folder\Gemini_Upload_単体テスト仕様書兼成績書_E304_RFSH0616\gemini_result.json</t>
        </is>
      </c>
    </row>
    <row r="19">
      <c r="A19">
        <f>&gt; Sử dụng luôn kết quả này, bỏ qua bước xuất ảnh PDF và hỏi lại Gemini.</f>
        <v/>
      </c>
    </row>
    <row r="20">
      <c r="A20" t="inlineStr"/>
    </row>
    <row r="21">
      <c r="A21" s="1">
        <f>=============== ĐANG PHÂN TÍCH KẾT QUẢ SHEET: エビデンス(共通) ================</f>
        <v/>
      </c>
    </row>
    <row r="22">
      <c r="A22" t="inlineStr"/>
    </row>
    <row r="23">
      <c r="A23" s="1" t="inlineStr">
        <is>
          <t>[Kiểm tra Cấu hình Flow - Trước khi Test]:</t>
        </is>
      </c>
    </row>
    <row r="24">
      <c r="A24" s="2" t="inlineStr">
        <is>
          <t xml:space="preserve">  - [Ảnh Flow]: ✅ Tìm thấy P_JobnetID: 'P1J0616@10616'</t>
        </is>
      </c>
    </row>
    <row r="25">
      <c r="A25" s="2" t="inlineStr">
        <is>
          <t xml:space="preserve">      ✅ OK: P_JobnetID 'P1J0616@10616' có chứa mã '0616' của file.</t>
        </is>
      </c>
    </row>
    <row r="26">
      <c r="A26" s="2" t="inlineStr">
        <is>
          <t xml:space="preserve">  - [Ảnh Flow]: ✅ Tìm thấy P_InterfaceID: 'RFSH0616'</t>
        </is>
      </c>
    </row>
    <row r="27">
      <c r="A27" s="2" t="inlineStr">
        <is>
          <t xml:space="preserve">      ✅ OK: P_InterfaceID 'RFSH0616' có chứa mã '0616' của file.</t>
        </is>
      </c>
    </row>
    <row r="28">
      <c r="A28" t="inlineStr"/>
    </row>
    <row r="29">
      <c r="A29" s="1" t="inlineStr">
        <is>
          <t>[Nhóm Test]: ■1回目 正常系・1000件未満・ファイル送信前結合有無=false</t>
        </is>
      </c>
    </row>
    <row r="30">
      <c r="A30" t="inlineStr">
        <is>
          <t xml:space="preserve">  - Tổng số dòng log: 53</t>
        </is>
      </c>
    </row>
    <row r="31">
      <c r="A31" s="2" t="inlineStr">
        <is>
          <t xml:space="preserve">  - Trạng thái Sort (行): ✅ Đã sắp xếp tăng dần hợp lệ.</t>
        </is>
      </c>
    </row>
    <row r="32">
      <c r="A32" t="inlineStr">
        <is>
          <t xml:space="preserve">  - Ngày chạy log: 2026/05/18</t>
        </is>
      </c>
    </row>
    <row r="33">
      <c r="A33" t="inlineStr">
        <is>
          <t xml:space="preserve">  - [Ảnh Status Panel]: Tìm thấy Jobnet ID: 'P1J0616@10616'</t>
        </is>
      </c>
    </row>
    <row r="34">
      <c r="A34" t="inlineStr">
        <is>
          <t xml:space="preserve">  - [Ảnh Status Panel]: Tìm thấy Interface ID: 'RFSH0616'</t>
        </is>
      </c>
    </row>
    <row r="35">
      <c r="A35" s="2" t="inlineStr">
        <is>
          <t xml:space="preserve">      ✅ OK: Interface ID 'RFSH0616' có tồn tại trong tên file Excel.</t>
        </is>
      </c>
    </row>
    <row r="36">
      <c r="A36" t="inlineStr">
        <is>
          <t xml:space="preserve">  - [Ảnh Status Panel]: Tìm thấy giờ bắt đầu là 15:25:41</t>
        </is>
      </c>
    </row>
    <row r="37">
      <c r="A37" s="2" t="inlineStr">
        <is>
          <t xml:space="preserve">      ✅ OK: Thời gian log (15:25:41) &gt;= Thời gian ảnh (15:25:41)</t>
        </is>
      </c>
    </row>
    <row r="38">
      <c r="A38" s="2" t="inlineStr">
        <is>
          <t xml:space="preserve">      ✅ OK: Duration Log Main (147ms) &lt; Duration Ảnh (343ms)</t>
        </is>
      </c>
    </row>
    <row r="39">
      <c r="A39" t="inlineStr">
        <is>
          <t xml:space="preserve">  - [Ảnh Log Viewer]: Tìm thấy thời gian kết thúc trong ảnh log là '2026/05/18 15:25:41'</t>
        </is>
      </c>
    </row>
    <row r="40">
      <c r="A40" s="2" t="inlineStr">
        <is>
          <t xml:space="preserve">      ✅ OK: Giờ kết thúc trong ảnh Log (15:25:41) KHỚP với log text (15:25:41).</t>
        </is>
      </c>
    </row>
    <row r="41">
      <c r="A41" s="2" t="inlineStr">
        <is>
          <t xml:space="preserve">      ✅ OK: Ngày trong ảnh Log (2026/05/18) KHỚP với ngày log text (2026/05/18).</t>
        </is>
      </c>
    </row>
    <row r="42">
      <c r="A42" s="2" t="inlineStr">
        <is>
          <t xml:space="preserve">      ✅ OK: Giờ ảnh Log (15:25:41) &gt;= Giờ bắt đầu (15:25:41).</t>
        </is>
      </c>
    </row>
    <row r="43">
      <c r="A43" s="2" t="inlineStr">
        <is>
          <t xml:space="preserve">      ✅ OK: Jobnet ID 'P1J0616@10616' khớp với dữ liệu trong Log.</t>
        </is>
      </c>
    </row>
    <row r="44">
      <c r="A44" t="inlineStr">
        <is>
          <t xml:space="preserve">  - [Kiểm tra File]: Log text báo có tạo ra file 'RFSH0616_output.tsv'.</t>
        </is>
      </c>
    </row>
    <row r="45">
      <c r="A45" s="2" t="inlineStr">
        <is>
          <t xml:space="preserve">      ✅ OK: Tên file trong ảnh File Explorer (RFSH0616_output.tsv) KHỚP với tên file trong Log text.</t>
        </is>
      </c>
    </row>
    <row r="46">
      <c r="A46" t="inlineStr">
        <is>
          <t xml:space="preserve">  - [Ảnh File Explorer]: Tìm thấy file 'RFSH0616_output.tsv' có Date modified là '2026/05/18 15:25'</t>
        </is>
      </c>
    </row>
    <row r="47">
      <c r="A47" s="2" t="inlineStr">
        <is>
          <t xml:space="preserve">      ✅ OK: Thời gian xuất file 'RFSH0616_output.tsv' (2026/05/18 15:25) KHỚP với log (2026/05/18 15:25).</t>
        </is>
      </c>
    </row>
    <row r="48">
      <c r="A48" t="inlineStr">
        <is>
          <t xml:space="preserve">  - [Đối chiếu Testcase trong Log]:</t>
        </is>
      </c>
    </row>
    <row r="49">
      <c r="A49" t="inlineStr">
        <is>
          <t xml:space="preserve">  - [Đối chiếu テスト計画書兼結果報告書(共通)]: Tìm thấy 13 dòng (6, 8, 12, 14, 18, 20, 25, 28, 33, 37, 39, 42, 45)</t>
        </is>
      </c>
    </row>
    <row r="50">
      <c r="A50" s="2" t="inlineStr">
        <is>
          <t xml:space="preserve">      + Số lần test (Cột K): ✅ Tất cả 13 dòng đều khớp (Lần 1)</t>
        </is>
      </c>
    </row>
    <row r="51">
      <c r="A51" s="2" t="inlineStr">
        <is>
          <t xml:space="preserve">      + Ngày test (Cột I/G): ✅ Khớp ngày (2026/05/18) cho tất cả các dòng có dữ liệu</t>
        </is>
      </c>
    </row>
    <row r="52">
      <c r="A52" t="inlineStr"/>
    </row>
    <row r="53">
      <c r="A53" s="1" t="inlineStr">
        <is>
          <t>[Nhóm Test]: ■2回目 異常系・起動パラメータ不正</t>
        </is>
      </c>
    </row>
    <row r="54">
      <c r="A54" t="inlineStr">
        <is>
          <t xml:space="preserve">  - Tổng số dòng log: 23</t>
        </is>
      </c>
    </row>
    <row r="55">
      <c r="A55" s="2" t="inlineStr">
        <is>
          <t xml:space="preserve">  - Trạng thái Sort (行): ✅ Đã sắp xếp tăng dần hợp lệ.</t>
        </is>
      </c>
    </row>
    <row r="56">
      <c r="A56" t="inlineStr">
        <is>
          <t xml:space="preserve">  - Ngày chạy log: 2026/05/18</t>
        </is>
      </c>
    </row>
    <row r="57">
      <c r="A57" t="inlineStr">
        <is>
          <t xml:space="preserve">  - [Ảnh Status Panel]: Tìm thấy Jobnet ID: ''</t>
        </is>
      </c>
    </row>
    <row r="58">
      <c r="A58" t="inlineStr">
        <is>
          <t xml:space="preserve">  - [Ảnh Status Panel]: Tìm thấy Interface ID: ''</t>
        </is>
      </c>
    </row>
    <row r="59">
      <c r="A59" s="3" t="inlineStr">
        <is>
          <t xml:space="preserve">      ⚠️ Interface ID là chuỗi rỗng nên bỏ qua kiểm tra với tên file.</t>
        </is>
      </c>
    </row>
    <row r="60">
      <c r="A60" t="inlineStr">
        <is>
          <t xml:space="preserve">  - [Ảnh Status Panel]: Tìm thấy giờ bắt đầu là 15:31:32</t>
        </is>
      </c>
    </row>
    <row r="61">
      <c r="A61" s="2" t="inlineStr">
        <is>
          <t xml:space="preserve">      ✅ OK: Thời gian log (15:31:32) &gt;= Thời gian ảnh (15:31:32)</t>
        </is>
      </c>
    </row>
    <row r="62">
      <c r="A62" s="2" t="inlineStr">
        <is>
          <t xml:space="preserve">      ✅ OK: Duration Log Main (11ms) &lt; Duration Ảnh (209ms)</t>
        </is>
      </c>
    </row>
    <row r="63">
      <c r="A63" t="inlineStr">
        <is>
          <t xml:space="preserve">  - [Ảnh Log Viewer]: Tìm thấy thời gian kết thúc trong ảnh log là '2026/05/18 15:31:32'</t>
        </is>
      </c>
    </row>
    <row r="64">
      <c r="A64" s="2" t="inlineStr">
        <is>
          <t xml:space="preserve">      ✅ OK: Giờ kết thúc trong ảnh Log (15:31:32) KHỚP với log text (15:31:32).</t>
        </is>
      </c>
    </row>
    <row r="65">
      <c r="A65" s="2" t="inlineStr">
        <is>
          <t xml:space="preserve">      ✅ OK: Ngày trong ảnh Log (2026/05/18) KHỚP với ngày log text (2026/05/18).</t>
        </is>
      </c>
    </row>
    <row r="66">
      <c r="A66" s="2" t="inlineStr">
        <is>
          <t xml:space="preserve">      ✅ OK: Giờ ảnh Log (15:31:32) &gt;= Giờ bắt đầu (15:31:32).</t>
        </is>
      </c>
    </row>
    <row r="67">
      <c r="A67" s="2" t="inlineStr">
        <is>
          <t xml:space="preserve">      ✅ OK: Jobnet ID '' khớp với dữ liệu trong Log.</t>
        </is>
      </c>
    </row>
    <row r="68">
      <c r="A68" t="inlineStr">
        <is>
          <t xml:space="preserve">  - [Đối chiếu Testcase trong Log]:</t>
        </is>
      </c>
    </row>
    <row r="69">
      <c r="A69" t="inlineStr">
        <is>
          <t xml:space="preserve">  - [Đối chiếu テスト計画書兼結果報告書(共通)]: Tìm thấy 2 dòng (9, 15)</t>
        </is>
      </c>
    </row>
    <row r="70">
      <c r="A70" s="2" t="inlineStr">
        <is>
          <t xml:space="preserve">      + Số lần test (Cột K): ✅ Tất cả 2 dòng đều khớp (Lần 2)</t>
        </is>
      </c>
    </row>
    <row r="71">
      <c r="A71" s="2" t="inlineStr">
        <is>
          <t xml:space="preserve">      + Ngày test (Cột I/G): ✅ Khớp ngày (2026/05/18) cho tất cả các dòng có dữ liệu</t>
        </is>
      </c>
    </row>
    <row r="72">
      <c r="A72" t="inlineStr"/>
    </row>
    <row r="73">
      <c r="A73" s="1" t="inlineStr">
        <is>
          <t>[Nhóm Test]: ■3回目 正常系・ファイル送信前結合有無=true</t>
        </is>
      </c>
    </row>
    <row r="74">
      <c r="A74" t="inlineStr">
        <is>
          <t xml:space="preserve">  - Tổng số dòng log: 65</t>
        </is>
      </c>
    </row>
    <row r="75">
      <c r="A75" s="2" t="inlineStr">
        <is>
          <t xml:space="preserve">  - Trạng thái Sort (行): ✅ Đã sắp xếp tăng dần hợp lệ.</t>
        </is>
      </c>
    </row>
    <row r="76">
      <c r="A76" t="inlineStr">
        <is>
          <t xml:space="preserve">  - Ngày chạy log: 2026/05/18</t>
        </is>
      </c>
    </row>
    <row r="77">
      <c r="A77" t="inlineStr">
        <is>
          <t xml:space="preserve">  - [Ảnh Status Panel]: Tìm thấy Jobnet ID: 'P1J0616@10616'</t>
        </is>
      </c>
    </row>
    <row r="78">
      <c r="A78" t="inlineStr">
        <is>
          <t xml:space="preserve">  - [Ảnh Status Panel]: Tìm thấy Interface ID: 'RFSH0616'</t>
        </is>
      </c>
    </row>
    <row r="79">
      <c r="A79" s="2" t="inlineStr">
        <is>
          <t xml:space="preserve">      ✅ OK: Interface ID 'RFSH0616' có tồn tại trong tên file Excel.</t>
        </is>
      </c>
    </row>
    <row r="80">
      <c r="A80" t="inlineStr">
        <is>
          <t xml:space="preserve">  - [Ảnh Status Panel]: Tìm thấy giờ bắt đầu là 15:34:53</t>
        </is>
      </c>
    </row>
    <row r="81">
      <c r="A81" s="2" t="inlineStr">
        <is>
          <t xml:space="preserve">      ✅ OK: Thời gian log (15:34:53) &gt;= Thời gian ảnh (15:34:53)</t>
        </is>
      </c>
    </row>
    <row r="82">
      <c r="A82" s="2" t="inlineStr">
        <is>
          <t xml:space="preserve">      ✅ OK: Duration Log Main (226ms) &lt; Duration Ảnh (453ms)</t>
        </is>
      </c>
    </row>
    <row r="83">
      <c r="A83" t="inlineStr">
        <is>
          <t xml:space="preserve">  - [Ảnh Log Viewer]: Tìm thấy thời gian kết thúc trong ảnh log là '2026/05/18 15:34:54'</t>
        </is>
      </c>
    </row>
    <row r="84">
      <c r="A84" s="2" t="inlineStr">
        <is>
          <t xml:space="preserve">      ✅ OK: Giờ kết thúc trong ảnh Log (15:34:54) KHỚP với log text (15:34:54).</t>
        </is>
      </c>
    </row>
    <row r="85">
      <c r="A85" s="2" t="inlineStr">
        <is>
          <t xml:space="preserve">      ✅ OK: Ngày trong ảnh Log (2026/05/18) KHỚP với ngày log text (2026/05/18).</t>
        </is>
      </c>
    </row>
    <row r="86">
      <c r="A86" s="2" t="inlineStr">
        <is>
          <t xml:space="preserve">      ✅ OK: Giờ ảnh Log (15:34:54) &gt;= Giờ bắt đầu (15:34:53).</t>
        </is>
      </c>
    </row>
    <row r="87">
      <c r="A87" s="2" t="inlineStr">
        <is>
          <t xml:space="preserve">      ✅ OK: Jobnet ID 'P1J0616@10616' khớp với dữ liệu trong Log.</t>
        </is>
      </c>
    </row>
    <row r="88">
      <c r="A88" t="inlineStr">
        <is>
          <t xml:space="preserve">  - [Kiểm tra File]: Log text báo có tạo ra file 'RFSH0616_output.tsv'.</t>
        </is>
      </c>
    </row>
    <row r="89">
      <c r="A89" s="2" t="inlineStr">
        <is>
          <t xml:space="preserve">      ✅ OK: Tên file trong ảnh File Explorer (RFSH0616_output.tsv) KHỚP với tên file trong Log text.</t>
        </is>
      </c>
    </row>
    <row r="90">
      <c r="A90" t="inlineStr">
        <is>
          <t xml:space="preserve">  - [Ảnh File Explorer]: Tìm thấy file 'RFSH0616_output.tsv' có Date modified là '2026/05/18 15:34'</t>
        </is>
      </c>
    </row>
    <row r="91">
      <c r="A91" s="2" t="inlineStr">
        <is>
          <t xml:space="preserve">      ✅ OK: Thời gian xuất file 'RFSH0616_output.tsv' (2026/05/18 15:34) KHỚP với log (2026/05/18 15:34).</t>
        </is>
      </c>
    </row>
    <row r="92">
      <c r="A92" t="inlineStr">
        <is>
          <t xml:space="preserve">  - [Đối chiếu Testcase trong Log]:</t>
        </is>
      </c>
    </row>
    <row r="93">
      <c r="A93" t="inlineStr">
        <is>
          <t xml:space="preserve">  - [Đối chiếu テスト計画書兼結果報告書(共通)]: Tìm thấy 1 dòng (21)</t>
        </is>
      </c>
    </row>
    <row r="94">
      <c r="A94" s="2" t="inlineStr">
        <is>
          <t xml:space="preserve">      + Số lần test (Cột K): ✅ Tất cả 1 dòng đều khớp (Lần 3)</t>
        </is>
      </c>
    </row>
    <row r="95">
      <c r="A95" s="2" t="inlineStr">
        <is>
          <t xml:space="preserve">      + Ngày test (Cột I/G): ✅ Khớp ngày (2026/05/18) cho tất cả các dòng có dữ liệu</t>
        </is>
      </c>
    </row>
    <row r="96">
      <c r="A96" t="inlineStr"/>
    </row>
    <row r="97">
      <c r="A97" s="1" t="inlineStr">
        <is>
          <t>[Nhóm Test]: ■4回目 異常系・すでにファイルが存在する場合</t>
        </is>
      </c>
    </row>
    <row r="98">
      <c r="A98" t="inlineStr">
        <is>
          <t xml:space="preserve">  - Tổng số dòng log: 55</t>
        </is>
      </c>
    </row>
    <row r="99">
      <c r="A99" s="2" t="inlineStr">
        <is>
          <t xml:space="preserve">  - Trạng thái Sort (行): ✅ Đã sắp xếp tăng dần hợp lệ.</t>
        </is>
      </c>
    </row>
    <row r="100">
      <c r="A100" t="inlineStr">
        <is>
          <t xml:space="preserve">  - Ngày chạy log: 2026/05/18</t>
        </is>
      </c>
    </row>
    <row r="101">
      <c r="A101" t="inlineStr">
        <is>
          <t xml:space="preserve">  - [Ảnh Status Panel]: Tìm thấy Jobnet ID: 'P1J0616@10616'</t>
        </is>
      </c>
    </row>
    <row r="102">
      <c r="A102" t="inlineStr">
        <is>
          <t xml:space="preserve">  - [Ảnh Status Panel]: Tìm thấy Interface ID: 'RFSH0616'</t>
        </is>
      </c>
    </row>
    <row r="103">
      <c r="A103" s="2" t="inlineStr">
        <is>
          <t xml:space="preserve">      ✅ OK: Interface ID 'RFSH0616' có tồn tại trong tên file Excel.</t>
        </is>
      </c>
    </row>
    <row r="104">
      <c r="A104" t="inlineStr">
        <is>
          <t xml:space="preserve">  - [Ảnh Status Panel]: Tìm thấy giờ bắt đầu là 15:37:48</t>
        </is>
      </c>
    </row>
    <row r="105">
      <c r="A105" s="2" t="inlineStr">
        <is>
          <t xml:space="preserve">      ✅ OK: Thời gian log (15:37:48) &gt;= Thời gian ảnh (15:37:48)</t>
        </is>
      </c>
    </row>
    <row r="106">
      <c r="A106" s="2" t="inlineStr">
        <is>
          <t xml:space="preserve">      ✅ OK: Duration Log Main (176ms) &lt; Duration Ảnh (374ms)</t>
        </is>
      </c>
    </row>
    <row r="107">
      <c r="A107" t="inlineStr">
        <is>
          <t xml:space="preserve">  - [Ảnh Log Viewer]: Tìm thấy thời gian kết thúc trong ảnh log là '2026/05/18 15:37:48'</t>
        </is>
      </c>
    </row>
    <row r="108">
      <c r="A108" s="2" t="inlineStr">
        <is>
          <t xml:space="preserve">      ✅ OK: Giờ kết thúc trong ảnh Log (15:37:48) KHỚP với log text (15:37:48).</t>
        </is>
      </c>
    </row>
    <row r="109">
      <c r="A109" s="2" t="inlineStr">
        <is>
          <t xml:space="preserve">      ✅ OK: Ngày trong ảnh Log (2026/05/18) KHỚP với ngày log text (2026/05/18).</t>
        </is>
      </c>
    </row>
    <row r="110">
      <c r="A110" s="2" t="inlineStr">
        <is>
          <t xml:space="preserve">      ✅ OK: Giờ ảnh Log (15:37:48) &gt;= Giờ bắt đầu (15:37:48).</t>
        </is>
      </c>
    </row>
    <row r="111">
      <c r="A111" s="2" t="inlineStr">
        <is>
          <t xml:space="preserve">      ✅ OK: Jobnet ID 'P1J0616@10616' khớp với dữ liệu trong Log.</t>
        </is>
      </c>
    </row>
    <row r="112">
      <c r="A112" t="inlineStr">
        <is>
          <t xml:space="preserve">  - [Đối chiếu Testcase trong Log]:</t>
        </is>
      </c>
    </row>
    <row r="113">
      <c r="A113" t="inlineStr">
        <is>
          <t xml:space="preserve">  - [Đối chiếu テスト計画書兼結果報告書(共通)]: Tìm thấy 1 dòng (22)</t>
        </is>
      </c>
    </row>
    <row r="114">
      <c r="A114" s="2" t="inlineStr">
        <is>
          <t xml:space="preserve">      + Số lần test (Cột K): ✅ Tất cả 1 dòng đều khớp (Lần 4)</t>
        </is>
      </c>
    </row>
    <row r="115">
      <c r="A115" s="2" t="inlineStr">
        <is>
          <t xml:space="preserve">      + Ngày test (Cột I/G): ✅ Khớp ngày (2026/05/18) cho tất cả các dòng có dữ liệu</t>
        </is>
      </c>
    </row>
    <row r="116">
      <c r="A116" t="inlineStr"/>
    </row>
    <row r="117">
      <c r="A117" s="1" t="inlineStr">
        <is>
          <t>[Nhóm Test]: ■5回目 正常系・0byteファイル</t>
        </is>
      </c>
    </row>
    <row r="118">
      <c r="A118" t="inlineStr">
        <is>
          <t xml:space="preserve">  - Tổng số dòng log: 61</t>
        </is>
      </c>
    </row>
    <row r="119">
      <c r="A119" s="2" t="inlineStr">
        <is>
          <t xml:space="preserve">  - Trạng thái Sort (行): ✅ Đã sắp xếp tăng dần hợp lệ.</t>
        </is>
      </c>
    </row>
    <row r="120">
      <c r="A120" t="inlineStr">
        <is>
          <t xml:space="preserve">  - Ngày chạy log: 2026/05/18</t>
        </is>
      </c>
    </row>
    <row r="121">
      <c r="A121" t="inlineStr">
        <is>
          <t xml:space="preserve">  - [Ảnh Status Panel]: Tìm thấy Jobnet ID: 'P1J0616@10616'</t>
        </is>
      </c>
    </row>
    <row r="122">
      <c r="A122" t="inlineStr">
        <is>
          <t xml:space="preserve">  - [Ảnh Status Panel]: Tìm thấy Interface ID: 'RFSH0616'</t>
        </is>
      </c>
    </row>
    <row r="123">
      <c r="A123" s="2" t="inlineStr">
        <is>
          <t xml:space="preserve">      ✅ OK: Interface ID 'RFSH0616' có tồn tại trong tên file Excel.</t>
        </is>
      </c>
    </row>
    <row r="124">
      <c r="A124" t="inlineStr">
        <is>
          <t xml:space="preserve">  - [Ảnh Status Panel]: Tìm thấy giờ bắt đầu là 15:43:04</t>
        </is>
      </c>
    </row>
    <row r="125">
      <c r="A125" s="2" t="inlineStr">
        <is>
          <t xml:space="preserve">      ✅ OK: Thời gian log (15:43:04) &gt;= Thời gian ảnh (15:43:04)</t>
        </is>
      </c>
    </row>
    <row r="126">
      <c r="A126" s="2" t="inlineStr">
        <is>
          <t xml:space="preserve">      ✅ OK: Duration Log Main (196ms) &lt; Duration Ảnh (436ms)</t>
        </is>
      </c>
    </row>
    <row r="127">
      <c r="A127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28">
      <c r="A128" s="2" t="inlineStr">
        <is>
          <t xml:space="preserve">      ✅ OK: Jobnet ID 'P1J0616@10616' khớp với dữ liệu trong Log.</t>
        </is>
      </c>
    </row>
    <row r="129">
      <c r="A129" t="inlineStr">
        <is>
          <t xml:space="preserve">  - [Kiểm tra File]: Log text báo có tạo ra file 'RFSH0616_output.tsv'.</t>
        </is>
      </c>
    </row>
    <row r="130">
      <c r="A130" s="2" t="inlineStr">
        <is>
          <t xml:space="preserve">      ✅ OK: Tên file trong ảnh File Explorer (RFSH0616_output.tsv) KHỚP với tên file trong Log text.</t>
        </is>
      </c>
    </row>
    <row r="131">
      <c r="A131" t="inlineStr">
        <is>
          <t xml:space="preserve">  - [Ảnh File Explorer]: Tìm thấy file 'RFSH0616_output.tsv' có Date modified là '2026/05/18 15:43'</t>
        </is>
      </c>
    </row>
    <row r="132">
      <c r="A132" s="2" t="inlineStr">
        <is>
          <t xml:space="preserve">      ✅ OK: Thời gian xuất file 'RFSH0616_output.tsv' (2026/05/18 15:43) KHỚP với log (2026/05/18 15:43).</t>
        </is>
      </c>
    </row>
    <row r="133">
      <c r="A133" t="inlineStr">
        <is>
          <t xml:space="preserve">  - [Đối chiếu Testcase trong Log]:</t>
        </is>
      </c>
    </row>
    <row r="134">
      <c r="A134" t="inlineStr">
        <is>
          <t xml:space="preserve">  - [Đối chiếu テスト計画書兼結果報告書(共通)]: Tìm thấy 2 dòng (26, 46)</t>
        </is>
      </c>
    </row>
    <row r="135">
      <c r="A135" s="2" t="inlineStr">
        <is>
          <t xml:space="preserve">      + Số lần test (Cột K): ✅ Tất cả 2 dòng đều khớp (Lần 5)</t>
        </is>
      </c>
    </row>
    <row r="136">
      <c r="A136" s="2" t="inlineStr">
        <is>
          <t xml:space="preserve">      + Ngày test (Cột I/G): ✅ Khớp ngày (2026/05/18) cho tất cả các dòng có dữ liệu</t>
        </is>
      </c>
    </row>
    <row r="137">
      <c r="A137" t="inlineStr"/>
    </row>
    <row r="138">
      <c r="A138" s="1" t="inlineStr">
        <is>
          <t>[Nhóm Test]: ■6回目 正常系・データ行1000行</t>
        </is>
      </c>
    </row>
    <row r="139">
      <c r="A139" t="inlineStr">
        <is>
          <t xml:space="preserve">  - Tổng số dòng log: 65</t>
        </is>
      </c>
    </row>
    <row r="140">
      <c r="A140" s="2" t="inlineStr">
        <is>
          <t xml:space="preserve">  - Trạng thái Sort (行): ✅ Đã sắp xếp tăng dần hợp lệ.</t>
        </is>
      </c>
    </row>
    <row r="141">
      <c r="A141" t="inlineStr">
        <is>
          <t xml:space="preserve">  - Ngày chạy log: 2026/05/18</t>
        </is>
      </c>
    </row>
    <row r="142">
      <c r="A142" t="inlineStr">
        <is>
          <t xml:space="preserve">  - [Ảnh Status Panel]: Tìm thấy Jobnet ID: 'P1J0616@10616'</t>
        </is>
      </c>
    </row>
    <row r="143">
      <c r="A143" t="inlineStr">
        <is>
          <t xml:space="preserve">  - [Ảnh Status Panel]: Tìm thấy Interface ID: 'RFSH0616'</t>
        </is>
      </c>
    </row>
    <row r="144">
      <c r="A144" s="2" t="inlineStr">
        <is>
          <t xml:space="preserve">      ✅ OK: Interface ID 'RFSH0616' có tồn tại trong tên file Excel.</t>
        </is>
      </c>
    </row>
    <row r="145">
      <c r="A145" t="inlineStr">
        <is>
          <t xml:space="preserve">  - [Ảnh Status Panel]: Tìm thấy giờ bắt đầu là 15:46:55</t>
        </is>
      </c>
    </row>
    <row r="146">
      <c r="A146" s="2" t="inlineStr">
        <is>
          <t xml:space="preserve">      ✅ OK: Thời gian log (15:46:55) &gt;= Thời gian ảnh (15:46:55)</t>
        </is>
      </c>
    </row>
    <row r="147">
      <c r="A147" s="2" t="inlineStr">
        <is>
          <t xml:space="preserve">      ✅ OK: Duration Log Main (927ms) &lt; Duration Ảnh (1141ms)</t>
        </is>
      </c>
    </row>
    <row r="148">
      <c r="A148" t="inlineStr">
        <is>
          <t xml:space="preserve">  - [Ảnh Log Viewer]: Tìm thấy thời gian kết thúc trong ảnh log là '2026/05/18 15:46:56'</t>
        </is>
      </c>
    </row>
    <row r="149">
      <c r="A149" s="2" t="inlineStr">
        <is>
          <t xml:space="preserve">      ✅ OK: Giờ kết thúc trong ảnh Log (15:46:56) KHỚP với log text (15:46:56).</t>
        </is>
      </c>
    </row>
    <row r="150">
      <c r="A150" s="2" t="inlineStr">
        <is>
          <t xml:space="preserve">      ✅ OK: Ngày trong ảnh Log (2026/05/18) KHỚP với ngày log text (2026/05/18).</t>
        </is>
      </c>
    </row>
    <row r="151">
      <c r="A151" s="2" t="inlineStr">
        <is>
          <t xml:space="preserve">      ✅ OK: Giờ ảnh Log (15:46:56) &gt;= Giờ bắt đầu (15:46:55).</t>
        </is>
      </c>
    </row>
    <row r="152">
      <c r="A152" s="2" t="inlineStr">
        <is>
          <t xml:space="preserve">      ✅ OK: Jobnet ID 'P1J0616@10616' khớp với dữ liệu trong Log.</t>
        </is>
      </c>
    </row>
    <row r="153">
      <c r="A153" t="inlineStr">
        <is>
          <t xml:space="preserve">  - [Kiểm tra File]: Log text báo có tạo ra file 'RFSH0616_output.tsv'.</t>
        </is>
      </c>
    </row>
    <row r="154">
      <c r="A154" s="2" t="inlineStr">
        <is>
          <t xml:space="preserve">      ✅ OK: Tên file trong ảnh File Explorer (RFSH0616_output.tsv) KHỚP với tên file trong Log text.</t>
        </is>
      </c>
    </row>
    <row r="155">
      <c r="A155" t="inlineStr">
        <is>
          <t xml:space="preserve">  - [Ảnh File Explorer]: Tìm thấy file 'RFSH0616_output.tsv' có Date modified là '2026/05/18 15:46'</t>
        </is>
      </c>
    </row>
    <row r="156">
      <c r="A156" s="2" t="inlineStr">
        <is>
          <t xml:space="preserve">      ✅ OK: Thời gian xuất file 'RFSH0616_output.tsv' (2026/05/18 15:46) KHỚP với log (2026/05/18 15:46).</t>
        </is>
      </c>
    </row>
    <row r="157">
      <c r="A157" t="inlineStr">
        <is>
          <t xml:space="preserve">  - [Đối chiếu Testcase trong Log]:</t>
        </is>
      </c>
    </row>
    <row r="158">
      <c r="A158" t="inlineStr">
        <is>
          <t xml:space="preserve">  - [Đối chiếu テスト計画書兼結果報告書(共通)]: Tìm thấy 1 dòng (29)</t>
        </is>
      </c>
    </row>
    <row r="159">
      <c r="A159" s="2" t="inlineStr">
        <is>
          <t xml:space="preserve">      + Số lần test (Cột K): ✅ Tất cả 1 dòng đều khớp (Lần 6)</t>
        </is>
      </c>
    </row>
    <row r="160">
      <c r="A160" s="2" t="inlineStr">
        <is>
          <t xml:space="preserve">      + Ngày test (Cột I/G): ✅ Khớp ngày (2026/05/18) cho tất cả các dòng có dữ liệu</t>
        </is>
      </c>
    </row>
    <row r="161">
      <c r="A161" t="inlineStr"/>
    </row>
    <row r="162">
      <c r="A162" s="1" t="inlineStr">
        <is>
          <t>[Nhóm Test]: ■7回目 正常系・データ行1000行以上</t>
        </is>
      </c>
    </row>
    <row r="163">
      <c r="A163" t="inlineStr">
        <is>
          <t xml:space="preserve">  - Tổng số dòng log: 77</t>
        </is>
      </c>
    </row>
    <row r="164">
      <c r="A164" s="2" t="inlineStr">
        <is>
          <t xml:space="preserve">  - Trạng thái Sort (行): ✅ Đã sắp xếp tăng dần hợp lệ.</t>
        </is>
      </c>
    </row>
    <row r="165">
      <c r="A165" t="inlineStr">
        <is>
          <t xml:space="preserve">  - Ngày chạy log: 2026/05/18</t>
        </is>
      </c>
    </row>
    <row r="166">
      <c r="A166" t="inlineStr">
        <is>
          <t xml:space="preserve">  - [Ảnh Status Panel]: Tìm thấy Jobnet ID: 'P1J0616@10616'</t>
        </is>
      </c>
    </row>
    <row r="167">
      <c r="A167" t="inlineStr">
        <is>
          <t xml:space="preserve">  - [Ảnh Status Panel]: Tìm thấy Interface ID: 'RFSH0616'</t>
        </is>
      </c>
    </row>
    <row r="168">
      <c r="A168" s="2" t="inlineStr">
        <is>
          <t xml:space="preserve">      ✅ OK: Interface ID 'RFSH0616' có tồn tại trong tên file Excel.</t>
        </is>
      </c>
    </row>
    <row r="169">
      <c r="A169" t="inlineStr">
        <is>
          <t xml:space="preserve">  - [Ảnh Status Panel]: Tìm thấy giờ bắt đầu là 15:52:58</t>
        </is>
      </c>
    </row>
    <row r="170">
      <c r="A170" s="2" t="inlineStr">
        <is>
          <t xml:space="preserve">      ✅ OK: Thời gian log (15:52:58) &gt;= Thời gian ảnh (15:52:58)</t>
        </is>
      </c>
    </row>
    <row r="171">
      <c r="A171" s="2" t="inlineStr">
        <is>
          <t xml:space="preserve">      ✅ OK: Duration Log Main (651ms) &lt; Duration Ảnh (844ms)</t>
        </is>
      </c>
    </row>
    <row r="172">
      <c r="A172" t="inlineStr">
        <is>
          <t xml:space="preserve">  - [Ảnh Log Viewer]: Tìm thấy thời gian kết thúc trong ảnh log là '2026/05/18 15:52:58'</t>
        </is>
      </c>
    </row>
    <row r="173">
      <c r="A173" s="2" t="inlineStr">
        <is>
          <t xml:space="preserve">      ✅ OK: Giờ kết thúc trong ảnh Log (15:52:58) KHỚP với log text (15:52:58).</t>
        </is>
      </c>
    </row>
    <row r="174">
      <c r="A174" s="2" t="inlineStr">
        <is>
          <t xml:space="preserve">      ✅ OK: Ngày trong ảnh Log (2026/05/18) KHỚP với ngày log text (2026/05/18).</t>
        </is>
      </c>
    </row>
    <row r="175">
      <c r="A175" s="2" t="inlineStr">
        <is>
          <t xml:space="preserve">      ✅ OK: Giờ ảnh Log (15:52:58) &gt;= Giờ bắt đầu (15:52:58).</t>
        </is>
      </c>
    </row>
    <row r="176">
      <c r="A176" s="2" t="inlineStr">
        <is>
          <t xml:space="preserve">      ✅ OK: Jobnet ID 'P1J0616@10616' khớp với dữ liệu trong Log.</t>
        </is>
      </c>
    </row>
    <row r="177">
      <c r="A177" t="inlineStr">
        <is>
          <t xml:space="preserve">  - [Kiểm tra File]: Log text báo có tạo ra file 'RFSH0616_output.tsv'.</t>
        </is>
      </c>
    </row>
    <row r="178">
      <c r="A178" s="2" t="inlineStr">
        <is>
          <t xml:space="preserve">      ✅ OK: Tên file trong ảnh File Explorer (RFSH0616_output.tsv) KHỚP với tên file trong Log text.</t>
        </is>
      </c>
    </row>
    <row r="179">
      <c r="A179" t="inlineStr">
        <is>
          <t xml:space="preserve">  - [Ảnh File Explorer]: Tìm thấy file 'RFSH0616_output.tsv' có Date modified là '2026/05/18 15:52'</t>
        </is>
      </c>
    </row>
    <row r="180">
      <c r="A180" s="2" t="inlineStr">
        <is>
          <t xml:space="preserve">      ✅ OK: Thời gian xuất file 'RFSH0616_output.tsv' (2026/05/18 15:52) KHỚP với log (2026/05/18 15:52).</t>
        </is>
      </c>
    </row>
    <row r="181">
      <c r="A181" t="inlineStr">
        <is>
          <t xml:space="preserve">  - [Đối chiếu Testcase trong Log]:</t>
        </is>
      </c>
    </row>
    <row r="182">
      <c r="A182" t="inlineStr">
        <is>
          <t xml:space="preserve">  - [Đối chiếu テスト計画書兼結果報告書(共通)]: Tìm thấy 2 dòng (30, 35)</t>
        </is>
      </c>
    </row>
    <row r="183">
      <c r="A183" s="2" t="inlineStr">
        <is>
          <t xml:space="preserve">      + Số lần test (Cột K): ✅ Tất cả 2 dòng đều khớp (Lần 7)</t>
        </is>
      </c>
    </row>
    <row r="184">
      <c r="A184" s="2" t="inlineStr">
        <is>
          <t xml:space="preserve">      + Ngày test (Cột I/G): ✅ Khớp ngày (2026/05/18) cho tất cả các dòng có dữ liệu</t>
        </is>
      </c>
    </row>
    <row r="185">
      <c r="A185" t="inlineStr"/>
    </row>
    <row r="186">
      <c r="A186" s="1">
        <f>=============== ĐANG PHÂN TÍCH KẾT QUẢ SHEET: エビデンス(個別) ================</f>
        <v/>
      </c>
    </row>
    <row r="187">
      <c r="A187" t="inlineStr"/>
    </row>
    <row r="188">
      <c r="A188" s="1" t="inlineStr">
        <is>
          <t>[Nhóm Test]: ■1回目 正常系・0byteファイル</t>
        </is>
      </c>
    </row>
    <row r="189">
      <c r="A189" t="inlineStr">
        <is>
          <t xml:space="preserve">  - Tổng số dòng log: 49</t>
        </is>
      </c>
    </row>
    <row r="190">
      <c r="A190" s="2" t="inlineStr">
        <is>
          <t xml:space="preserve">  - Trạng thái Sort (行): ✅ Đã sắp xếp tăng dần hợp lệ.</t>
        </is>
      </c>
    </row>
    <row r="191">
      <c r="A191" t="inlineStr">
        <is>
          <t xml:space="preserve">  - Ngày chạy log: 2026/05/18</t>
        </is>
      </c>
    </row>
    <row r="192">
      <c r="A192" t="inlineStr">
        <is>
          <t xml:space="preserve">  - [Ảnh Status Panel]: Tìm thấy Jobnet ID: 'P1J0616@10616'</t>
        </is>
      </c>
    </row>
    <row r="193">
      <c r="A193" t="inlineStr">
        <is>
          <t xml:space="preserve">  - [Ảnh Status Panel]: Tìm thấy Interface ID: 'RFSH0616'</t>
        </is>
      </c>
    </row>
    <row r="194">
      <c r="A194" s="2" t="inlineStr">
        <is>
          <t xml:space="preserve">      ✅ OK: Interface ID 'RFSH0616' có tồn tại trong tên file Excel.</t>
        </is>
      </c>
    </row>
    <row r="195">
      <c r="A195" t="inlineStr">
        <is>
          <t xml:space="preserve">  - [Ảnh Status Panel]: Tìm thấy giờ bắt đầu là 15:58:26</t>
        </is>
      </c>
    </row>
    <row r="196">
      <c r="A196" s="2" t="inlineStr">
        <is>
          <t xml:space="preserve">      ✅ OK: Thời gian log (15:58:26) &gt;= Thời gian ảnh (15:58:26)</t>
        </is>
      </c>
    </row>
    <row r="197">
      <c r="A197" s="2" t="inlineStr">
        <is>
          <t xml:space="preserve">      ✅ OK: Duration Log Main (384ms) &lt; Duration Ảnh (625ms)</t>
        </is>
      </c>
    </row>
    <row r="198">
      <c r="A198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99">
      <c r="A199" s="2" t="inlineStr">
        <is>
          <t xml:space="preserve">      ✅ OK: Jobnet ID 'P1J0616@10616' khớp với dữ liệu trong Log.</t>
        </is>
      </c>
    </row>
    <row r="200">
      <c r="A200" t="inlineStr">
        <is>
          <t xml:space="preserve">  - [Kiểm tra File]: Log text báo có tạo ra file 'RFSH0616_output.tsv'.</t>
        </is>
      </c>
    </row>
    <row r="201">
      <c r="A201" s="2" t="inlineStr">
        <is>
          <t xml:space="preserve">      ✅ OK: Tên file trong ảnh File Explorer (RFSH0616_output.tsv) KHỚP với tên file trong Log text.</t>
        </is>
      </c>
    </row>
    <row r="202">
      <c r="A202" t="inlineStr">
        <is>
          <t xml:space="preserve">  - [Ảnh File Explorer]: Tìm thấy file 'RFSH0616_output.tsv' có Date modified là '2026/05/18 15:58'</t>
        </is>
      </c>
    </row>
    <row r="203">
      <c r="A203" s="2" t="inlineStr">
        <is>
          <t xml:space="preserve">      ✅ OK: Thời gian xuất file 'RFSH0616_output.tsv' (2026/05/18 15:58) KHỚP với log (2026/05/18 15:58).</t>
        </is>
      </c>
    </row>
    <row r="204">
      <c r="A204" t="inlineStr">
        <is>
          <t xml:space="preserve">  - [Đối chiếu Testcase trong Log]:</t>
        </is>
      </c>
    </row>
    <row r="205">
      <c r="A205" t="inlineStr">
        <is>
          <t xml:space="preserve">  - [Đối chiếu テスト計画書兼結果報告書(個別)]: Tìm thấy 1 dòng (6)</t>
        </is>
      </c>
    </row>
    <row r="206">
      <c r="A206" s="2" t="inlineStr">
        <is>
          <t xml:space="preserve">      + Số lần test (Cột K): ✅ Tất cả 1 dòng đều khớp (Lần 1)</t>
        </is>
      </c>
    </row>
    <row r="207">
      <c r="A207" s="2" t="inlineStr">
        <is>
          <t xml:space="preserve">      + Ngày test (Cột I/G): ✅ Khớp ngày (2026/05/18) cho tất cả các dòng có dữ liệu</t>
        </is>
      </c>
    </row>
    <row r="208">
      <c r="A208" t="inlineStr"/>
    </row>
    <row r="209">
      <c r="A209" s="1" t="inlineStr">
        <is>
          <t>[Nhóm Test]: ■2回目 正常系・全項目空データファイル</t>
        </is>
      </c>
    </row>
    <row r="210">
      <c r="A210" t="inlineStr">
        <is>
          <t xml:space="preserve">  - Tổng số dòng log: 53</t>
        </is>
      </c>
    </row>
    <row r="211">
      <c r="A211" s="2" t="inlineStr">
        <is>
          <t xml:space="preserve">  - Trạng thái Sort (行): ✅ Đã sắp xếp tăng dần hợp lệ.</t>
        </is>
      </c>
    </row>
    <row r="212">
      <c r="A212" t="inlineStr">
        <is>
          <t xml:space="preserve">  - Ngày chạy log: 2026/05/18</t>
        </is>
      </c>
    </row>
    <row r="213">
      <c r="A213" t="inlineStr">
        <is>
          <t xml:space="preserve">  - [Ảnh Status Panel]: Tìm thấy Jobnet ID: 'P1J0616@10616'</t>
        </is>
      </c>
    </row>
    <row r="214">
      <c r="A214" t="inlineStr">
        <is>
          <t xml:space="preserve">  - [Ảnh Status Panel]: Tìm thấy Interface ID: 'RFSH0616'</t>
        </is>
      </c>
    </row>
    <row r="215">
      <c r="A215" s="2" t="inlineStr">
        <is>
          <t xml:space="preserve">      ✅ OK: Interface ID 'RFSH0616' có tồn tại trong tên file Excel.</t>
        </is>
      </c>
    </row>
    <row r="216">
      <c r="A216" t="inlineStr">
        <is>
          <t xml:space="preserve">  - [Ảnh Status Panel]: Tìm thấy giờ bắt đầu là 16:01:08</t>
        </is>
      </c>
    </row>
    <row r="217">
      <c r="A217" s="2" t="inlineStr">
        <is>
          <t xml:space="preserve">      ✅ OK: Thời gian log (16:01:08) &gt;= Thời gian ảnh (16:01:08)</t>
        </is>
      </c>
    </row>
    <row r="218">
      <c r="A218" s="2" t="inlineStr">
        <is>
          <t xml:space="preserve">      ✅ OK: Duration Log Main (753ms) &lt; Duration Ảnh (953ms)</t>
        </is>
      </c>
    </row>
    <row r="219">
      <c r="A219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20">
      <c r="A220" s="2" t="inlineStr">
        <is>
          <t xml:space="preserve">      ✅ OK: Jobnet ID 'P1J0616@10616' khớp với dữ liệu trong Log.</t>
        </is>
      </c>
    </row>
    <row r="221">
      <c r="A221" t="inlineStr">
        <is>
          <t xml:space="preserve">  - [Kiểm tra File]: Log text báo có tạo ra file 'RFSH0616_output.tsv'.</t>
        </is>
      </c>
    </row>
    <row r="222">
      <c r="A222" s="2" t="inlineStr">
        <is>
          <t xml:space="preserve">      ✅ OK: Tên file trong ảnh File Explorer (RFSH0616_output.tsv) KHỚP với tên file trong Log text.</t>
        </is>
      </c>
    </row>
    <row r="223">
      <c r="A223" t="inlineStr">
        <is>
          <t xml:space="preserve">  - [Ảnh File Explorer]: Tìm thấy file 'RFSH0616_output.tsv' có Date modified là '2026/05/18 16:01'</t>
        </is>
      </c>
    </row>
    <row r="224">
      <c r="A224" s="2" t="inlineStr">
        <is>
          <t xml:space="preserve">      ✅ OK: Thời gian xuất file 'RFSH0616_output.tsv' (2026/05/18 16:01) KHỚP với log (2026/05/18 16:01).</t>
        </is>
      </c>
    </row>
    <row r="225">
      <c r="A225" t="inlineStr">
        <is>
          <t xml:space="preserve">  - [Đối chiếu Testcase trong Log]:</t>
        </is>
      </c>
    </row>
    <row r="226">
      <c r="A226" t="inlineStr">
        <is>
          <t xml:space="preserve">  - [Đối chiếu テスト計画書兼結果報告書(個別)]: Tìm thấy 1 dòng (8)</t>
        </is>
      </c>
    </row>
    <row r="227">
      <c r="A227" s="2" t="inlineStr">
        <is>
          <t xml:space="preserve">      + Số lần test (Cột K): ✅ Tất cả 1 dòng đều khớp (Lần 2)</t>
        </is>
      </c>
    </row>
    <row r="228">
      <c r="A228" s="2" t="inlineStr">
        <is>
          <t xml:space="preserve">      + Ngày test (Cột I/G): ✅ Khớp ngày (2026/05/18) cho tất cả các dòng có dữ liệu</t>
        </is>
      </c>
    </row>
    <row r="229">
      <c r="A229" t="inlineStr"/>
    </row>
    <row r="230">
      <c r="A230" s="1" t="inlineStr">
        <is>
          <t>[Nhóm Test]: ■3回目 正常系・ファイル定義確認</t>
        </is>
      </c>
    </row>
    <row r="231">
      <c r="A231" t="inlineStr">
        <is>
          <t xml:space="preserve">  - Tổng số dòng log: 53</t>
        </is>
      </c>
    </row>
    <row r="232">
      <c r="A232" s="2" t="inlineStr">
        <is>
          <t xml:space="preserve">  - Trạng thái Sort (行): ✅ Đã sắp xếp tăng dần hợp lệ.</t>
        </is>
      </c>
    </row>
    <row r="233">
      <c r="A233" t="inlineStr">
        <is>
          <t xml:space="preserve">  - Ngày chạy log: 2026/05/18</t>
        </is>
      </c>
    </row>
    <row r="234">
      <c r="A234" t="inlineStr">
        <is>
          <t xml:space="preserve">  - [Ảnh Status Panel]: Tìm thấy Jobnet ID: 'P1J0616@10616'</t>
        </is>
      </c>
    </row>
    <row r="235">
      <c r="A235" t="inlineStr">
        <is>
          <t xml:space="preserve">  - [Ảnh Status Panel]: Tìm thấy Interface ID: 'RFSH0616'</t>
        </is>
      </c>
    </row>
    <row r="236">
      <c r="A236" s="2" t="inlineStr">
        <is>
          <t xml:space="preserve">      ✅ OK: Interface ID 'RFSH0616' có tồn tại trong tên file Excel.</t>
        </is>
      </c>
    </row>
    <row r="237">
      <c r="A237" t="inlineStr">
        <is>
          <t xml:space="preserve">  - [Ảnh Status Panel]: Tìm thấy giờ bắt đầu là 16:03:14</t>
        </is>
      </c>
    </row>
    <row r="238">
      <c r="A238" s="2" t="inlineStr">
        <is>
          <t xml:space="preserve">      ✅ OK: Thời gian log (16:03:14) &gt;= Thời gian ảnh (16:03:14)</t>
        </is>
      </c>
    </row>
    <row r="239">
      <c r="A239" s="2" t="inlineStr">
        <is>
          <t xml:space="preserve">      ✅ OK: Duration Log Main (454ms) &lt; Duration Ảnh (638ms)</t>
        </is>
      </c>
    </row>
    <row r="240">
      <c r="A240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41">
      <c r="A241" s="2" t="inlineStr">
        <is>
          <t xml:space="preserve">      ✅ OK: Jobnet ID 'P1J0616@10616' khớp với dữ liệu trong Log.</t>
        </is>
      </c>
    </row>
    <row r="242">
      <c r="A242" t="inlineStr">
        <is>
          <t xml:space="preserve">  - [Kiểm tra File]: Log text báo có tạo ra file 'RFSH0616_output.tsv'.</t>
        </is>
      </c>
    </row>
    <row r="243">
      <c r="A243" s="2" t="inlineStr">
        <is>
          <t xml:space="preserve">      ✅ OK: Tên file trong ảnh File Explorer (RFSH0616_output.tsv) KHỚP với tên file trong Log text.</t>
        </is>
      </c>
    </row>
    <row r="244">
      <c r="A244" t="inlineStr">
        <is>
          <t xml:space="preserve">  - [Ảnh File Explorer]: Tìm thấy file 'RFSH0616_output.tsv' có Date modified là '2026/05/18 16:03'</t>
        </is>
      </c>
    </row>
    <row r="245">
      <c r="A245" s="2" t="inlineStr">
        <is>
          <t xml:space="preserve">      ✅ OK: Thời gian xuất file 'RFSH0616_output.tsv' (2026/05/18 16:03) KHỚP với log (2026/05/18 16:03).</t>
        </is>
      </c>
    </row>
    <row r="246">
      <c r="A246" t="inlineStr">
        <is>
          <t xml:space="preserve">  - [Đối chiếu Testcase trong Log]:</t>
        </is>
      </c>
    </row>
    <row r="247">
      <c r="A247" t="inlineStr">
        <is>
          <t xml:space="preserve">  - [Đối chiếu テスト計画書兼結果報告書(個別)]: Tìm thấy 12 dòng (18, 19, 20, 21, 22, 23, 25, 26, 27, 28, 29, 30)</t>
        </is>
      </c>
    </row>
    <row r="248">
      <c r="A248" s="2" t="inlineStr">
        <is>
          <t xml:space="preserve">      + Số lần test (Cột K): ✅ Tất cả 12 dòng đều khớp (Lần 3)</t>
        </is>
      </c>
    </row>
    <row r="249">
      <c r="A249" s="2" t="inlineStr">
        <is>
          <t xml:space="preserve">      + Ngày test (Cột I/G): ✅ Khớp ngày (2026/05/18) cho tất cả các dòng có dữ liệu</t>
        </is>
      </c>
    </row>
    <row r="250">
      <c r="A250" t="inlineStr"/>
    </row>
    <row r="251">
      <c r="A251" s="1" t="inlineStr">
        <is>
          <t>[Nhóm Test]: ■4回目正常系・列分割→行変換確認（明細0件）</t>
        </is>
      </c>
    </row>
    <row r="252">
      <c r="A252" t="inlineStr">
        <is>
          <t xml:space="preserve">  - Tổng số dòng log: 53</t>
        </is>
      </c>
    </row>
    <row r="253">
      <c r="A253" s="2" t="inlineStr">
        <is>
          <t xml:space="preserve">  - Trạng thái Sort (行): ✅ Đã sắp xếp tăng dần hợp lệ.</t>
        </is>
      </c>
    </row>
    <row r="254">
      <c r="A254" t="inlineStr">
        <is>
          <t xml:space="preserve">  - Ngày chạy log: 2026/05/18</t>
        </is>
      </c>
    </row>
    <row r="255">
      <c r="A255" t="inlineStr">
        <is>
          <t xml:space="preserve">  - [Ảnh Status Panel]: Tìm thấy Jobnet ID: 'P1J0616@10616'</t>
        </is>
      </c>
    </row>
    <row r="256">
      <c r="A256" t="inlineStr">
        <is>
          <t xml:space="preserve">  - [Ảnh Status Panel]: Tìm thấy Interface ID: 'RFSH0616'</t>
        </is>
      </c>
    </row>
    <row r="257">
      <c r="A257" s="2" t="inlineStr">
        <is>
          <t xml:space="preserve">      ✅ OK: Interface ID 'RFSH0616' có tồn tại trong tên file Excel.</t>
        </is>
      </c>
    </row>
    <row r="258">
      <c r="A258" t="inlineStr">
        <is>
          <t xml:space="preserve">  - [Ảnh Status Panel]: Tìm thấy giờ bắt đầu là 16:05:06</t>
        </is>
      </c>
    </row>
    <row r="259">
      <c r="A259" s="2" t="inlineStr">
        <is>
          <t xml:space="preserve">      ✅ OK: Thời gian log (16:05:06) &gt;= Thời gian ảnh (16:05:06)</t>
        </is>
      </c>
    </row>
    <row r="260">
      <c r="A260" s="2" t="inlineStr">
        <is>
          <t xml:space="preserve">      ✅ OK: Duration Log Main (595ms) &lt; Duration Ảnh (814ms)</t>
        </is>
      </c>
    </row>
    <row r="261">
      <c r="A261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62">
      <c r="A262" s="2" t="inlineStr">
        <is>
          <t xml:space="preserve">      ✅ OK: Jobnet ID 'P1J0616@10616' khớp với dữ liệu trong Log.</t>
        </is>
      </c>
    </row>
    <row r="263">
      <c r="A263" t="inlineStr">
        <is>
          <t xml:space="preserve">  - [Kiểm tra File]: Log text báo có tạo ra file 'RFSH0616_output.tsv'.</t>
        </is>
      </c>
    </row>
    <row r="264">
      <c r="A264" s="2" t="inlineStr">
        <is>
          <t xml:space="preserve">      ✅ OK: Tên file trong ảnh File Explorer (RFSH0616_output.tsv) KHỚP với tên file trong Log text.</t>
        </is>
      </c>
    </row>
    <row r="265">
      <c r="A265" t="inlineStr">
        <is>
          <t xml:space="preserve">  - [Ảnh File Explorer]: Tìm thấy file 'RFSH0616_output.tsv' có Date modified là '2026/05/18 16:05'</t>
        </is>
      </c>
    </row>
    <row r="266">
      <c r="A266" s="2" t="inlineStr">
        <is>
          <t xml:space="preserve">      ✅ OK: Thời gian xuất file 'RFSH0616_output.tsv' (2026/05/18 16:05) KHỚP với log (2026/05/18 16:05).</t>
        </is>
      </c>
    </row>
    <row r="267">
      <c r="A267" t="inlineStr">
        <is>
          <t xml:space="preserve">  - [Đối chiếu Testcase trong Log]:</t>
        </is>
      </c>
    </row>
    <row r="268">
      <c r="A268" t="inlineStr">
        <is>
          <t xml:space="preserve">  - [Đối chiếu テスト計画書兼結果報告書(個別)]: Tìm thấy 1 dòng (11)</t>
        </is>
      </c>
    </row>
    <row r="269">
      <c r="A269" s="2" t="inlineStr">
        <is>
          <t xml:space="preserve">      + Số lần test (Cột K): ✅ Tất cả 1 dòng đều khớp (Lần 4)</t>
        </is>
      </c>
    </row>
    <row r="270">
      <c r="A270" s="2" t="inlineStr">
        <is>
          <t xml:space="preserve">      + Ngày test (Cột I/G): ✅ Khớp ngày (2026/05/18) cho tất cả các dòng có dữ liệu</t>
        </is>
      </c>
    </row>
    <row r="271">
      <c r="A271" t="inlineStr"/>
    </row>
    <row r="272">
      <c r="A272" s="1" t="inlineStr">
        <is>
          <t>[Nhóm Test]: ■5回目正常系・列分割→行変換確認（明細1件）</t>
        </is>
      </c>
    </row>
    <row r="273">
      <c r="A273" t="inlineStr">
        <is>
          <t xml:space="preserve">  - Tổng số dòng log: 53</t>
        </is>
      </c>
    </row>
    <row r="274">
      <c r="A274" s="2" t="inlineStr">
        <is>
          <t xml:space="preserve">  - Trạng thái Sort (行): ✅ Đã sắp xếp tăng dần hợp lệ.</t>
        </is>
      </c>
    </row>
    <row r="275">
      <c r="A275" t="inlineStr">
        <is>
          <t xml:space="preserve">  - Ngày chạy log: 2026/05/18</t>
        </is>
      </c>
    </row>
    <row r="276">
      <c r="A276" t="inlineStr">
        <is>
          <t xml:space="preserve">  - [Ảnh Status Panel]: Tìm thấy Jobnet ID: 'P1J0616@10616'</t>
        </is>
      </c>
    </row>
    <row r="277">
      <c r="A277" t="inlineStr">
        <is>
          <t xml:space="preserve">  - [Ảnh Status Panel]: Tìm thấy Interface ID: 'RFSH0616'</t>
        </is>
      </c>
    </row>
    <row r="278">
      <c r="A278" s="2" t="inlineStr">
        <is>
          <t xml:space="preserve">      ✅ OK: Interface ID 'RFSH0616' có tồn tại trong tên file Excel.</t>
        </is>
      </c>
    </row>
    <row r="279">
      <c r="A279" t="inlineStr">
        <is>
          <t xml:space="preserve">  - [Ảnh Status Panel]: Tìm thấy giờ bắt đầu là 16:07:33</t>
        </is>
      </c>
    </row>
    <row r="280">
      <c r="A280" s="2" t="inlineStr">
        <is>
          <t xml:space="preserve">      ✅ OK: Thời gian log (16:07:33) &gt;= Thời gian ảnh (16:07:33)</t>
        </is>
      </c>
    </row>
    <row r="281">
      <c r="A281" s="2" t="inlineStr">
        <is>
          <t xml:space="preserve">      ✅ OK: Duration Log Main (467ms) &lt; Duration Ảnh (671ms)</t>
        </is>
      </c>
    </row>
    <row r="282">
      <c r="A282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83">
      <c r="A283" s="2" t="inlineStr">
        <is>
          <t xml:space="preserve">      ✅ OK: Jobnet ID 'P1J0616@10616' khớp với dữ liệu trong Log.</t>
        </is>
      </c>
    </row>
    <row r="284">
      <c r="A284" t="inlineStr">
        <is>
          <t xml:space="preserve">  - [Kiểm tra File]: Log text báo có tạo ra file 'RFSH0616_output.tsv'.</t>
        </is>
      </c>
    </row>
    <row r="285">
      <c r="A285" s="2" t="inlineStr">
        <is>
          <t xml:space="preserve">      ✅ OK: Tên file trong ảnh File Explorer (RFSH0616_output.tsv) KHỚP với tên file trong Log text.</t>
        </is>
      </c>
    </row>
    <row r="286">
      <c r="A286" t="inlineStr">
        <is>
          <t xml:space="preserve">  - [Ảnh File Explorer]: Tìm thấy file 'RFSH0616_output.tsv' có Date modified là '2026/05/18 16:07'</t>
        </is>
      </c>
    </row>
    <row r="287">
      <c r="A287" s="2" t="inlineStr">
        <is>
          <t xml:space="preserve">      ✅ OK: Thời gian xuất file 'RFSH0616_output.tsv' (2026/05/18 16:07) KHỚP với log (2026/05/18 16:07).</t>
        </is>
      </c>
    </row>
    <row r="288">
      <c r="A288" t="inlineStr">
        <is>
          <t xml:space="preserve">  - [Đối chiếu Testcase trong Log]:</t>
        </is>
      </c>
    </row>
    <row r="289">
      <c r="A289" t="inlineStr">
        <is>
          <t xml:space="preserve">  - [Đối chiếu テスト計画書兼結果報告書(個別)]: Tìm thấy 1 dòng (12)</t>
        </is>
      </c>
    </row>
    <row r="290">
      <c r="A290" s="2" t="inlineStr">
        <is>
          <t xml:space="preserve">      + Số lần test (Cột K): ✅ Tất cả 1 dòng đều khớp (Lần 5)</t>
        </is>
      </c>
    </row>
    <row r="291">
      <c r="A291" s="2" t="inlineStr">
        <is>
          <t xml:space="preserve">      + Ngày test (Cột I/G): ✅ Khớp ngày (2026/05/18) cho tất cả các dòng có dữ liệu</t>
        </is>
      </c>
    </row>
    <row r="292">
      <c r="A292" t="inlineStr"/>
    </row>
    <row r="293">
      <c r="A293" s="1" t="inlineStr">
        <is>
          <t>[Nhóm Test]: ■6回目正常系・列分割→行変換確認（明細4件）</t>
        </is>
      </c>
    </row>
    <row r="294">
      <c r="A294" t="inlineStr">
        <is>
          <t xml:space="preserve">  - Tổng số dòng log: 53</t>
        </is>
      </c>
    </row>
    <row r="295">
      <c r="A295" s="2" t="inlineStr">
        <is>
          <t xml:space="preserve">  - Trạng thái Sort (行): ✅ Đã sắp xếp tăng dần hợp lệ.</t>
        </is>
      </c>
    </row>
    <row r="296">
      <c r="A296" t="inlineStr">
        <is>
          <t xml:space="preserve">  - Ngày chạy log: 2026/05/18</t>
        </is>
      </c>
    </row>
    <row r="297">
      <c r="A297" t="inlineStr">
        <is>
          <t xml:space="preserve">  - [Ảnh Status Panel]: Tìm thấy Jobnet ID: 'P1J0616@10616'</t>
        </is>
      </c>
    </row>
    <row r="298">
      <c r="A298" t="inlineStr">
        <is>
          <t xml:space="preserve">  - [Ảnh Status Panel]: Tìm thấy Interface ID: 'RFSH0616'</t>
        </is>
      </c>
    </row>
    <row r="299">
      <c r="A299" s="2" t="inlineStr">
        <is>
          <t xml:space="preserve">      ✅ OK: Interface ID 'RFSH0616' có tồn tại trong tên file Excel.</t>
        </is>
      </c>
    </row>
    <row r="300">
      <c r="A300" t="inlineStr">
        <is>
          <t xml:space="preserve">  - [Ảnh Status Panel]: Tìm thấy giờ bắt đầu là 16:09:26</t>
        </is>
      </c>
    </row>
    <row r="301">
      <c r="A301" s="2" t="inlineStr">
        <is>
          <t xml:space="preserve">      ✅ OK: Thời gian log (16:09:26) &gt;= Thời gian ảnh (16:09:26)</t>
        </is>
      </c>
    </row>
    <row r="302">
      <c r="A302" s="2" t="inlineStr">
        <is>
          <t xml:space="preserve">      ✅ OK: Duration Log Main (645ms) &lt; Duration Ảnh (840ms)</t>
        </is>
      </c>
    </row>
    <row r="303">
      <c r="A303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304">
      <c r="A304" s="2" t="inlineStr">
        <is>
          <t xml:space="preserve">      ✅ OK: Jobnet ID 'P1J0616@10616' khớp với dữ liệu trong Log.</t>
        </is>
      </c>
    </row>
    <row r="305">
      <c r="A305" t="inlineStr">
        <is>
          <t xml:space="preserve">  - [Kiểm tra File]: Log text báo có tạo ra file 'RFSH0616_output.tsv'.</t>
        </is>
      </c>
    </row>
    <row r="306">
      <c r="A306" s="2" t="inlineStr">
        <is>
          <t xml:space="preserve">      ✅ OK: Tên file trong ảnh File Explorer (RFSH0616_output.tsv) KHỚP với tên file trong Log text.</t>
        </is>
      </c>
    </row>
    <row r="307">
      <c r="A307" t="inlineStr">
        <is>
          <t xml:space="preserve">  - [Ảnh File Explorer]: Tìm thấy file 'RFSH0616_output.tsv' có Date modified là '2026/05/18 16:09'</t>
        </is>
      </c>
    </row>
    <row r="308">
      <c r="A308" s="2" t="inlineStr">
        <is>
          <t xml:space="preserve">      ✅ OK: Thời gian xuất file 'RFSH0616_output.tsv' (2026/05/18 16:09) KHỚP với log (2026/05/18 16:09).</t>
        </is>
      </c>
    </row>
    <row r="309">
      <c r="A309" t="inlineStr">
        <is>
          <t xml:space="preserve">  - [Đối chiếu Testcase trong Log]:</t>
        </is>
      </c>
    </row>
    <row r="310">
      <c r="A310" t="inlineStr">
        <is>
          <t xml:space="preserve">  - [Đối chiếu テスト計画書兼結果報告書(個別)]: Tìm thấy 1 dòng (14)</t>
        </is>
      </c>
    </row>
    <row r="311">
      <c r="A311" s="2" t="inlineStr">
        <is>
          <t xml:space="preserve">      + Số lần test (Cột K): ✅ Tất cả 1 dòng đều khớp (Lần 6)</t>
        </is>
      </c>
    </row>
    <row r="312">
      <c r="A312" s="2" t="inlineStr">
        <is>
          <t xml:space="preserve">      + Ngày test (Cột I/G): ✅ Khớp ngày (2026/05/18) cho tất cả các dòng có dữ liệu</t>
        </is>
      </c>
    </row>
    <row r="313">
      <c r="A313" t="inlineStr"/>
    </row>
    <row r="314">
      <c r="A314" s="1" t="inlineStr">
        <is>
          <t>[Nhóm Test]: ■7回目正常系・列分割→行変換確認（明細8件）</t>
        </is>
      </c>
    </row>
    <row r="315">
      <c r="A315" t="inlineStr">
        <is>
          <t xml:space="preserve">  - Tổng số dòng log: 53</t>
        </is>
      </c>
    </row>
    <row r="316">
      <c r="A316" s="2" t="inlineStr">
        <is>
          <t xml:space="preserve">  - Trạng thái Sort (行): ✅ Đã sắp xếp tăng dần hợp lệ.</t>
        </is>
      </c>
    </row>
    <row r="317">
      <c r="A317" t="inlineStr">
        <is>
          <t xml:space="preserve">  - Ngày chạy log: 2026/05/18</t>
        </is>
      </c>
    </row>
    <row r="318">
      <c r="A318" t="inlineStr">
        <is>
          <t xml:space="preserve">  - [Ảnh Status Panel]: Tìm thấy Jobnet ID: 'P1J0616@10616'</t>
        </is>
      </c>
    </row>
    <row r="319">
      <c r="A319" t="inlineStr">
        <is>
          <t xml:space="preserve">  - [Ảnh Status Panel]: Tìm thấy Interface ID: 'RFSH0616'</t>
        </is>
      </c>
    </row>
    <row r="320">
      <c r="A320" s="2" t="inlineStr">
        <is>
          <t xml:space="preserve">      ✅ OK: Interface ID 'RFSH0616' có tồn tại trong tên file Excel.</t>
        </is>
      </c>
    </row>
    <row r="321">
      <c r="A321" t="inlineStr">
        <is>
          <t xml:space="preserve">  - [Ảnh Status Panel]: Tìm thấy giờ bắt đầu là 16:11:35</t>
        </is>
      </c>
    </row>
    <row r="322">
      <c r="A322" s="2" t="inlineStr">
        <is>
          <t xml:space="preserve">      ✅ OK: Thời gian log (16:11:35) &gt;= Thời gian ảnh (16:11:35)</t>
        </is>
      </c>
    </row>
    <row r="323">
      <c r="A323" s="2" t="inlineStr">
        <is>
          <t xml:space="preserve">      ✅ OK: Duration Log Main (522ms) &lt; Duration Ảnh (718ms)</t>
        </is>
      </c>
    </row>
    <row r="324">
      <c r="A324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325">
      <c r="A325" s="2" t="inlineStr">
        <is>
          <t xml:space="preserve">      ✅ OK: Jobnet ID 'P1J0616@10616' khớp với dữ liệu trong Log.</t>
        </is>
      </c>
    </row>
    <row r="326">
      <c r="A326" t="inlineStr">
        <is>
          <t xml:space="preserve">  - [Kiểm tra File]: Log text báo có tạo ra file 'RFSH0616_output.tsv'.</t>
        </is>
      </c>
    </row>
    <row r="327">
      <c r="A327" s="2" t="inlineStr">
        <is>
          <t xml:space="preserve">      ✅ OK: Tên file trong ảnh File Explorer (RFSH0616_output.tsv) KHỚP với tên file trong Log text.</t>
        </is>
      </c>
    </row>
    <row r="328">
      <c r="A328" t="inlineStr">
        <is>
          <t xml:space="preserve">  - [Ảnh File Explorer]: Tìm thấy file 'RFSH0616_output.tsv' có Date modified là '2026/05/18 16:11'</t>
        </is>
      </c>
    </row>
    <row r="329">
      <c r="A329" s="2" t="inlineStr">
        <is>
          <t xml:space="preserve">      ✅ OK: Thời gian xuất file 'RFSH0616_output.tsv' (2026/05/18 16:11) KHỚP với log (2026/05/18 16:11).</t>
        </is>
      </c>
    </row>
    <row r="330">
      <c r="A330" t="inlineStr">
        <is>
          <t xml:space="preserve">  - [Đối chiếu Testcase trong Log]:</t>
        </is>
      </c>
    </row>
    <row r="331">
      <c r="A331" t="inlineStr">
        <is>
          <t xml:space="preserve">  - [Đối chiếu テスト計画書兼結果報告書(個別)]: Tìm thấy 1 dòng (13)</t>
        </is>
      </c>
    </row>
    <row r="332">
      <c r="A332" s="2" t="inlineStr">
        <is>
          <t xml:space="preserve">      + Số lần test (Cột K): ✅ Tất cả 1 dòng đều khớp (Lần 7)</t>
        </is>
      </c>
    </row>
    <row r="333">
      <c r="A333" s="2" t="inlineStr">
        <is>
          <t xml:space="preserve">      + Ngày test (Cột I/G): ✅ Khớp ngày (2026/05/18) cho tất cả các dòng có dữ liệu</t>
        </is>
      </c>
    </row>
    <row r="334">
      <c r="A334" t="inlineStr"/>
    </row>
    <row r="335">
      <c r="A335" s="1" t="inlineStr">
        <is>
          <t>[Nhóm Test]: ■8回目正常系・列分割→行変換確認（レコードが複数件あり）</t>
        </is>
      </c>
    </row>
    <row r="336">
      <c r="A336" t="inlineStr">
        <is>
          <t xml:space="preserve">  - Tổng số dòng log: 53</t>
        </is>
      </c>
    </row>
    <row r="337">
      <c r="A337" s="2" t="inlineStr">
        <is>
          <t xml:space="preserve">  - Trạng thái Sort (行): ✅ Đã sắp xếp tăng dần hợp lệ.</t>
        </is>
      </c>
    </row>
    <row r="338">
      <c r="A338" t="inlineStr">
        <is>
          <t xml:space="preserve">  - Ngày chạy log: 2026/05/18</t>
        </is>
      </c>
    </row>
    <row r="339">
      <c r="A339" t="inlineStr">
        <is>
          <t xml:space="preserve">  - [Ảnh Status Panel]: Tìm thấy Jobnet ID: 'P1J0616@10616'</t>
        </is>
      </c>
    </row>
    <row r="340">
      <c r="A340" t="inlineStr">
        <is>
          <t xml:space="preserve">  - [Ảnh Status Panel]: Tìm thấy Interface ID: 'RFSH0616'</t>
        </is>
      </c>
    </row>
    <row r="341">
      <c r="A341" s="2" t="inlineStr">
        <is>
          <t xml:space="preserve">      ✅ OK: Interface ID 'RFSH0616' có tồn tại trong tên file Excel.</t>
        </is>
      </c>
    </row>
    <row r="342">
      <c r="A342" t="inlineStr">
        <is>
          <t xml:space="preserve">  - [Ảnh Status Panel]: Tìm thấy giờ bắt đầu là 16:13:44</t>
        </is>
      </c>
    </row>
    <row r="343">
      <c r="A343" s="2" t="inlineStr">
        <is>
          <t xml:space="preserve">      ✅ OK: Thời gian log (16:13:44) &gt;= Thời gian ảnh (16:13:44)</t>
        </is>
      </c>
    </row>
    <row r="344">
      <c r="A344" s="2" t="inlineStr">
        <is>
          <t xml:space="preserve">      ✅ OK: Duration Log Main (408ms) &lt; Duration Ảnh (610ms)</t>
        </is>
      </c>
    </row>
    <row r="345">
      <c r="A345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346">
      <c r="A346" s="2" t="inlineStr">
        <is>
          <t xml:space="preserve">      ✅ OK: Jobnet ID 'P1J0616@10616' khớp với dữ liệu trong Log.</t>
        </is>
      </c>
    </row>
    <row r="347">
      <c r="A347" t="inlineStr">
        <is>
          <t xml:space="preserve">  - [Kiểm tra File]: Log text báo có tạo ra file 'RFSH0616_output.tsv'.</t>
        </is>
      </c>
    </row>
    <row r="348">
      <c r="A348" s="2" t="inlineStr">
        <is>
          <t xml:space="preserve">      ✅ OK: Tên file trong ảnh File Explorer (RFSH0616_output.tsv) KHỚP với tên file trong Log text.</t>
        </is>
      </c>
    </row>
    <row r="349">
      <c r="A349" t="inlineStr">
        <is>
          <t xml:space="preserve">  - [Ảnh File Explorer]: Tìm thấy file 'RFSH0616_output.tsv' có Date modified là '2026/05/18 16:13'</t>
        </is>
      </c>
    </row>
    <row r="350">
      <c r="A350" s="2" t="inlineStr">
        <is>
          <t xml:space="preserve">      ✅ OK: Thời gian xuất file 'RFSH0616_output.tsv' (2026/05/18 16:13) KHỚP với log (2026/05/18 16:13).</t>
        </is>
      </c>
    </row>
    <row r="351">
      <c r="A351" t="inlineStr">
        <is>
          <t xml:space="preserve">  - [Đối chiếu Testcase trong Log]:</t>
        </is>
      </c>
    </row>
    <row r="352">
      <c r="A352" t="inlineStr">
        <is>
          <t xml:space="preserve">  - [Đối chiếu テスト計画書兼結果報告書(個別)]: Tìm thấy 1 dòng (15)</t>
        </is>
      </c>
    </row>
    <row r="353">
      <c r="A353" s="2" t="inlineStr">
        <is>
          <t xml:space="preserve">      + Số lần test (Cột K): ✅ Tất cả 1 dòng đều khớp (Lần 8)</t>
        </is>
      </c>
    </row>
    <row r="354">
      <c r="A354" s="2" t="inlineStr">
        <is>
          <t xml:space="preserve">      + Ngày test (Cột I/G): ✅ Khớp ngày (2026/05/18) cho tất cả các dòng có dữ liệu</t>
        </is>
      </c>
    </row>
    <row r="355">
      <c r="A355" t="inlineStr"/>
    </row>
    <row r="356">
      <c r="A356" s="1">
        <f>=============== TỔNG KẾT COVERAGE CHO SHEET エビデンス(共通) ================</f>
        <v/>
      </c>
    </row>
    <row r="357">
      <c r="A357" s="2" t="inlineStr">
        <is>
          <t xml:space="preserve">  - ✅ Nhóm 1 (gồm TC: 1-1-1, 1-2-1, 2-1-1, 2-2-1, 3-1-1, 3-2-1, 4-1-1, 4-2-1, 5-1-1, 5-3-1, 5-4-1, 6-1-1, 7-1-1): Đã có Log Evidence.</t>
        </is>
      </c>
    </row>
    <row r="358">
      <c r="A358" s="2" t="inlineStr">
        <is>
          <t xml:space="preserve">  - ✅ Nhóm 2 (gồm TC: 1-2-2, 2-2-2): Đã có Log Evidence.</t>
        </is>
      </c>
    </row>
    <row r="359">
      <c r="A359" s="2" t="inlineStr">
        <is>
          <t xml:space="preserve">  - ✅ Nhóm 3 (gồm TC: 3-2-2): Đã có Log Evidence.</t>
        </is>
      </c>
    </row>
    <row r="360">
      <c r="A360" s="2" t="inlineStr">
        <is>
          <t xml:space="preserve">  - ✅ Nhóm 4 (gồm TC: 3-2-3): Đã có Log Evidence.</t>
        </is>
      </c>
    </row>
    <row r="361">
      <c r="A361" s="2" t="inlineStr">
        <is>
          <t xml:space="preserve">  - ✅ Nhóm 5 (gồm TC: 4-1-2, 7-1-2): Đã có Log Evidence.</t>
        </is>
      </c>
    </row>
    <row r="362">
      <c r="A362" s="2" t="inlineStr">
        <is>
          <t xml:space="preserve">  - ✅ Nhóm 6 (gồm TC: 4-2-2): Đã có Log Evidence.</t>
        </is>
      </c>
    </row>
    <row r="363">
      <c r="A363" s="2" t="inlineStr">
        <is>
          <t xml:space="preserve">  - ✅ Nhóm 7 (gồm TC: 4-2-3, 5-2-1): Đã có Log Evidence.</t>
        </is>
      </c>
    </row>
    <row r="364">
      <c r="A364" t="inlineStr">
        <is>
          <t xml:space="preserve">  =&gt; TOÀN BỘ CÁC NHÓM TEST TRONG KẾ HOẠCH ĐỀU ĐÃ CÓ EVIDENCE!</t>
        </is>
      </c>
    </row>
    <row r="365">
      <c r="A365" t="inlineStr"/>
    </row>
    <row r="366">
      <c r="A366" t="inlineStr"/>
    </row>
    <row r="367">
      <c r="A367" s="1">
        <f>=============== TỔNG KẾT COVERAGE CHO SHEET エビデンス(個別) ================</f>
        <v/>
      </c>
    </row>
    <row r="368">
      <c r="A368" s="2" t="inlineStr">
        <is>
          <t xml:space="preserve">  - ✅ Nhóm 1 (gồm TC: 1-1-1): Đã có Log Evidence.</t>
        </is>
      </c>
    </row>
    <row r="369">
      <c r="A369" s="2" t="inlineStr">
        <is>
          <t xml:space="preserve">  - ✅ Nhóm 2 (gồm TC: 1-2-1): Đã có Log Evidence.</t>
        </is>
      </c>
    </row>
    <row r="370">
      <c r="A370" s="2" t="inlineStr">
        <is>
          <t xml:space="preserve">  - ✅ Nhóm 3 (gồm TC: 3-1-1, 3-1-2, 3-1-3, 3-1-4, 3-1-5, 3-1-6, 3-2-1, 3-2-2, 3-2-3, 3-2-4, 3-2-5, 3-2-6): Đã có Log Evidence.</t>
        </is>
      </c>
    </row>
    <row r="371">
      <c r="A371" s="2" t="inlineStr">
        <is>
          <t xml:space="preserve">  - ✅ Nhóm 4 (gồm TC: 2-1-1): Đã có Log Evidence.</t>
        </is>
      </c>
    </row>
    <row r="372">
      <c r="A372" s="2" t="inlineStr">
        <is>
          <t xml:space="preserve">  - ✅ Nhóm 5 (gồm TC: 2-1-2): Đã có Log Evidence.</t>
        </is>
      </c>
    </row>
    <row r="373">
      <c r="A373" s="2" t="inlineStr">
        <is>
          <t xml:space="preserve">  - ✅ Nhóm 6 (gồm TC: 2-1-4): Đã có Log Evidence.</t>
        </is>
      </c>
    </row>
    <row r="374">
      <c r="A374" s="2" t="inlineStr">
        <is>
          <t xml:space="preserve">  - ✅ Nhóm 7 (gồm TC: 2-1-3): Đã có Log Evidence.</t>
        </is>
      </c>
    </row>
    <row r="375">
      <c r="A375" s="2" t="inlineStr">
        <is>
          <t xml:space="preserve">  - ✅ Nhóm 8 (gồm TC: 2-1-5): Đã có Log Evidence.</t>
        </is>
      </c>
    </row>
    <row r="376">
      <c r="A376" t="inlineStr">
        <is>
          <t xml:space="preserve">  =&gt; TOÀN BỘ CÁC NHÓM TEST TRONG KẾ HOẠCH ĐỀU ĐÃ CÓ EVIDENCE!</t>
        </is>
      </c>
    </row>
    <row r="377">
      <c r="A377" t="inlineStr"/>
    </row>
    <row r="378">
      <c r="A37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7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" t="inlineStr">
        <is>
          <t>✅ Đã check xong file '単体テスト仕様書兼成績書_E304_RFSH0616.xlsx'. Nhấn Enter để tiếp tục sang file tiếp theo...</t>
        </is>
      </c>
    </row>
    <row r="2">
      <c r="A2" s="1">
        <f>======================== [12/16] ĐANG XỬ LÝ FILE: 単体テスト仕様書兼成績書_E304_RFSH0622.xlsx =========================</f>
        <v/>
      </c>
    </row>
    <row r="3">
      <c r="A3" t="inlineStr">
        <is>
          <t>Đang đọc dữ liệu từ file: 単体テスト仕様書兼成績書_E304_RFSH0622.xlsx ...</t>
        </is>
      </c>
    </row>
    <row r="4">
      <c r="A4" t="inlineStr"/>
    </row>
    <row r="5">
      <c r="A5" s="1">
        <f>=============== TRẠNG THÁI OCR ================</f>
        <v/>
      </c>
    </row>
    <row r="6">
      <c r="A6" s="2" t="inlineStr">
        <is>
          <t>✅ Đã bật (Sẵn sàng đọc ảnh)</t>
        </is>
      </c>
    </row>
    <row r="7">
      <c r="A7" t="inlineStr"/>
    </row>
    <row r="8">
      <c r="A8" s="1">
        <f>=============== KIỂM TRA TRẠNG THÁI MỞ FILE ================</f>
        <v/>
      </c>
    </row>
    <row r="9">
      <c r="A9" s="2" t="inlineStr">
        <is>
          <t>✅ File đang mở ở sheet đầu tiên '表紙 '.</t>
        </is>
      </c>
    </row>
    <row r="10">
      <c r="A10" s="2" t="inlineStr">
        <is>
          <t>✅ Con trỏ chuột đang nằm ở ô 'A1'.</t>
        </is>
      </c>
    </row>
    <row r="11">
      <c r="A11" t="inlineStr"/>
    </row>
    <row r="12">
      <c r="A12" s="1">
        <f>=============== SHEET: エビデンス(共通) ================</f>
        <v/>
      </c>
    </row>
    <row r="13">
      <c r="A13" t="inlineStr">
        <is>
          <t xml:space="preserve">  -&gt; Tìm thấy 44 ảnh trong sheet này.</t>
        </is>
      </c>
    </row>
    <row r="14">
      <c r="A14" s="1">
        <f>=============== SHEET: エビデンス(個別) ================</f>
        <v/>
      </c>
    </row>
    <row r="15">
      <c r="A15" t="inlineStr">
        <is>
          <t xml:space="preserve">  -&gt; Tìm thấy 40 ảnh trong sheet này.</t>
        </is>
      </c>
    </row>
    <row r="16">
      <c r="A16" t="inlineStr"/>
    </row>
    <row r="17">
      <c r="A17" s="1" t="inlineStr">
        <is>
          <t>[GEMINI MANUAL MODE] ♻️ Đã tìm thấy file JSON kết quả cũ tại:</t>
        </is>
      </c>
    </row>
    <row r="18">
      <c r="A18" t="inlineStr">
        <is>
          <t>D:\project\tool\New folder\Gemini_Upload_単体テスト仕様書兼成績書_E304_RFSH0622\gemini_result.json</t>
        </is>
      </c>
    </row>
    <row r="19">
      <c r="A19">
        <f>&gt; Sử dụng luôn kết quả này, bỏ qua bước xuất ảnh PDF và hỏi lại Gemini.</f>
        <v/>
      </c>
    </row>
    <row r="20">
      <c r="A20" t="inlineStr"/>
    </row>
    <row r="21">
      <c r="A21" s="1">
        <f>=============== ĐANG PHÂN TÍCH KẾT QUẢ SHEET: エビデンス(共通) ================</f>
        <v/>
      </c>
    </row>
    <row r="22">
      <c r="A22" t="inlineStr"/>
    </row>
    <row r="23">
      <c r="A23" s="1" t="inlineStr">
        <is>
          <t>[Kiểm tra Cấu hình Flow - Trước khi Test]:</t>
        </is>
      </c>
    </row>
    <row r="24">
      <c r="A24" s="2" t="inlineStr">
        <is>
          <t xml:space="preserve">  - [Ảnh Flow]: ✅ Tìm thấy P_JobnetID: 'P1J0622@10622'</t>
        </is>
      </c>
    </row>
    <row r="25">
      <c r="A25" s="2" t="inlineStr">
        <is>
          <t xml:space="preserve">      ✅ OK: P_JobnetID 'P1J0622@10622' có chứa mã '0622' của file.</t>
        </is>
      </c>
    </row>
    <row r="26">
      <c r="A26" s="2" t="inlineStr">
        <is>
          <t xml:space="preserve">  - [Ảnh Flow]: ✅ Tìm thấy P_InterfaceID: 'RFSH0622'</t>
        </is>
      </c>
    </row>
    <row r="27">
      <c r="A27" s="2" t="inlineStr">
        <is>
          <t xml:space="preserve">      ✅ OK: P_InterfaceID 'RFSH0622' có chứa mã '0622' của file.</t>
        </is>
      </c>
    </row>
    <row r="28">
      <c r="A28" t="inlineStr"/>
    </row>
    <row r="29">
      <c r="A29" s="1" t="inlineStr">
        <is>
          <t>[Nhóm Test]: ■1回目 正常系・1000件未満・ファイル送信前結合有無=false</t>
        </is>
      </c>
    </row>
    <row r="30">
      <c r="A30" t="inlineStr">
        <is>
          <t xml:space="preserve">  - Tổng số dòng log: 53</t>
        </is>
      </c>
    </row>
    <row r="31">
      <c r="A31" s="2" t="inlineStr">
        <is>
          <t xml:space="preserve">  - Trạng thái Sort (行): ✅ Đã sắp xếp tăng dần hợp lệ.</t>
        </is>
      </c>
    </row>
    <row r="32">
      <c r="A32" t="inlineStr">
        <is>
          <t xml:space="preserve">  - Ngày chạy log: 2026/05/18</t>
        </is>
      </c>
    </row>
    <row r="33">
      <c r="A33" t="inlineStr">
        <is>
          <t xml:space="preserve">  - [Ảnh Status Panel]: Tìm thấy Jobnet ID: 'P1J0622@10622'</t>
        </is>
      </c>
    </row>
    <row r="34">
      <c r="A34" t="inlineStr">
        <is>
          <t xml:space="preserve">  - [Ảnh Status Panel]: Tìm thấy Interface ID: 'RFSH0622'</t>
        </is>
      </c>
    </row>
    <row r="35">
      <c r="A35" s="2" t="inlineStr">
        <is>
          <t xml:space="preserve">      ✅ OK: Interface ID 'RFSH0622' có tồn tại trong tên file Excel.</t>
        </is>
      </c>
    </row>
    <row r="36">
      <c r="A36" t="inlineStr">
        <is>
          <t xml:space="preserve">  - [Ảnh Status Panel]: Tìm thấy giờ bắt đầu là 12:12:48</t>
        </is>
      </c>
    </row>
    <row r="37">
      <c r="A37" s="2" t="inlineStr">
        <is>
          <t xml:space="preserve">      ✅ OK: Thời gian log (12:12:48) &gt;= Thời gian ảnh (12:12:48)</t>
        </is>
      </c>
    </row>
    <row r="38">
      <c r="A38" s="2" t="inlineStr">
        <is>
          <t xml:space="preserve">      ✅ OK: Duration Log Main (149ms) &lt; Duration Ảnh (339ms)</t>
        </is>
      </c>
    </row>
    <row r="39">
      <c r="A39" t="inlineStr">
        <is>
          <t xml:space="preserve">  - [Ảnh Log Viewer]: Tìm thấy thời gian kết thúc trong ảnh log là '12:12:48'</t>
        </is>
      </c>
    </row>
    <row r="40">
      <c r="A40" s="2" t="inlineStr">
        <is>
          <t xml:space="preserve">      ✅ OK: Giờ kết thúc trong ảnh Log (12:12:48) KHỚP với log text (12:12:48).</t>
        </is>
      </c>
    </row>
    <row r="41">
      <c r="A41" s="2" t="inlineStr">
        <is>
          <t xml:space="preserve">      ✅ OK: Giờ ảnh Log (12:12:48) &gt;= Giờ bắt đầu (12:12:48).</t>
        </is>
      </c>
    </row>
    <row r="42">
      <c r="A42" s="2" t="inlineStr">
        <is>
          <t xml:space="preserve">      ✅ OK: Jobnet ID 'P1J0622@10622' khớp với dữ liệu trong Log.</t>
        </is>
      </c>
    </row>
    <row r="43">
      <c r="A43" t="inlineStr">
        <is>
          <t xml:space="preserve">  - [Kiểm tra File]: Log text báo có tạo ra file 'RFSH0622_output.tsv'.</t>
        </is>
      </c>
    </row>
    <row r="44">
      <c r="A44" s="2" t="inlineStr">
        <is>
          <t xml:space="preserve">      ✅ OK: Tên file trong ảnh File Explorer (RFSH0622_output.tsv) KHỚP với tên file trong Log text.</t>
        </is>
      </c>
    </row>
    <row r="45">
      <c r="A45" t="inlineStr">
        <is>
          <t xml:space="preserve">  - [Ảnh File Explorer]: Tìm thấy file 'RFSH0622_output.tsv' có Date modified là '2026/05/18 12:12'</t>
        </is>
      </c>
    </row>
    <row r="46">
      <c r="A46" s="2" t="inlineStr">
        <is>
          <t xml:space="preserve">      ✅ OK: Thời gian xuất file 'RFSH0622_output.tsv' (2026/05/18 12:12) KHỚP với log (2026/05/18 12:12).</t>
        </is>
      </c>
    </row>
    <row r="47">
      <c r="A47" t="inlineStr">
        <is>
          <t xml:space="preserve">  - [Đối chiếu Testcase trong Log]:</t>
        </is>
      </c>
    </row>
    <row r="48">
      <c r="A48" t="inlineStr">
        <is>
          <t xml:space="preserve">  - [Đối chiếu テスト計画書兼結果報告書(共通)]: Tìm thấy 13 dòng (6, 8, 12, 14, 18, 20, 25, 28, 33, 37, 39, 42, 45)</t>
        </is>
      </c>
    </row>
    <row r="49">
      <c r="A49" s="2" t="inlineStr">
        <is>
          <t xml:space="preserve">      + Số lần test (Cột K): ✅ Tất cả 13 dòng đều khớp (Lần 1)</t>
        </is>
      </c>
    </row>
    <row r="50">
      <c r="A50" s="2" t="inlineStr">
        <is>
          <t xml:space="preserve">      + Ngày test (Cột I/G): ✅ Khớp ngày (2026/05/18) cho tất cả các dòng có dữ liệu</t>
        </is>
      </c>
    </row>
    <row r="51">
      <c r="A51" t="inlineStr"/>
    </row>
    <row r="52">
      <c r="A52" s="1" t="inlineStr">
        <is>
          <t>[Nhóm Test]: ■2回目 異常系・起動パラメータ不正</t>
        </is>
      </c>
    </row>
    <row r="53">
      <c r="A53" t="inlineStr">
        <is>
          <t xml:space="preserve">  - Tổng số dòng log: 23</t>
        </is>
      </c>
    </row>
    <row r="54">
      <c r="A54" s="2" t="inlineStr">
        <is>
          <t xml:space="preserve">  - Trạng thái Sort (行): ✅ Đã sắp xếp tăng dần hợp lệ.</t>
        </is>
      </c>
    </row>
    <row r="55">
      <c r="A55" t="inlineStr">
        <is>
          <t xml:space="preserve">  - Ngày chạy log: 2026/05/18</t>
        </is>
      </c>
    </row>
    <row r="56">
      <c r="A56" t="inlineStr">
        <is>
          <t xml:space="preserve">  - [Ảnh Status Panel]: Tìm thấy Jobnet ID: ''</t>
        </is>
      </c>
    </row>
    <row r="57">
      <c r="A57" t="inlineStr">
        <is>
          <t xml:space="preserve">  - [Ảnh Status Panel]: Tìm thấy Interface ID: ''</t>
        </is>
      </c>
    </row>
    <row r="58">
      <c r="A58" s="3" t="inlineStr">
        <is>
          <t xml:space="preserve">      ⚠️ Interface ID là chuỗi rỗng nên bỏ qua kiểm tra với tên file.</t>
        </is>
      </c>
    </row>
    <row r="59">
      <c r="A59" t="inlineStr">
        <is>
          <t xml:space="preserve">  - [Ảnh Status Panel]: Tìm thấy giờ bắt đầu là 12:17:55</t>
        </is>
      </c>
    </row>
    <row r="60">
      <c r="A60" s="2" t="inlineStr">
        <is>
          <t xml:space="preserve">      ✅ OK: Thời gian log (12:17:55) &gt;= Thời gian ảnh (12:17:55)</t>
        </is>
      </c>
    </row>
    <row r="61">
      <c r="A61" s="2" t="inlineStr">
        <is>
          <t xml:space="preserve">      ✅ OK: Duration Log Main (10ms) &lt; Duration Ảnh (202ms)</t>
        </is>
      </c>
    </row>
    <row r="62">
      <c r="A62" t="inlineStr">
        <is>
          <t xml:space="preserve">  - [Ảnh Log Viewer]: Tìm thấy thời gian kết thúc trong ảnh log là '12:17:55'</t>
        </is>
      </c>
    </row>
    <row r="63">
      <c r="A63" s="2" t="inlineStr">
        <is>
          <t xml:space="preserve">      ✅ OK: Giờ kết thúc trong ảnh Log (12:17:55) KHỚP với log text (12:17:55).</t>
        </is>
      </c>
    </row>
    <row r="64">
      <c r="A64" s="2" t="inlineStr">
        <is>
          <t xml:space="preserve">      ✅ OK: Giờ ảnh Log (12:17:55) &gt;= Giờ bắt đầu (12:17:55).</t>
        </is>
      </c>
    </row>
    <row r="65">
      <c r="A65" s="2" t="inlineStr">
        <is>
          <t xml:space="preserve">      ✅ OK: Jobnet ID '' khớp với dữ liệu trong Log.</t>
        </is>
      </c>
    </row>
    <row r="66">
      <c r="A66" t="inlineStr">
        <is>
          <t xml:space="preserve">  - [Đối chiếu Testcase trong Log]:</t>
        </is>
      </c>
    </row>
    <row r="67">
      <c r="A67" t="inlineStr">
        <is>
          <t xml:space="preserve">  - [Đối chiếu テスト計画書兼結果報告書(共通)]: Tìm thấy 2 dòng (9, 15)</t>
        </is>
      </c>
    </row>
    <row r="68">
      <c r="A68" s="2" t="inlineStr">
        <is>
          <t xml:space="preserve">      + Số lần test (Cột K): ✅ Tất cả 2 dòng đều khớp (Lần 2)</t>
        </is>
      </c>
    </row>
    <row r="69">
      <c r="A69" s="2" t="inlineStr">
        <is>
          <t xml:space="preserve">      + Ngày test (Cột I/G): ✅ Khớp ngày (2026/05/18) cho tất cả các dòng có dữ liệu</t>
        </is>
      </c>
    </row>
    <row r="70">
      <c r="A70" t="inlineStr"/>
    </row>
    <row r="71">
      <c r="A71" s="1" t="inlineStr">
        <is>
          <t>[Nhóm Test]: ■3回目 正常系・ファイル送信前結合有無=true</t>
        </is>
      </c>
    </row>
    <row r="72">
      <c r="A72" t="inlineStr">
        <is>
          <t xml:space="preserve">  - Tổng số dòng log: 65</t>
        </is>
      </c>
    </row>
    <row r="73">
      <c r="A73" s="2" t="inlineStr">
        <is>
          <t xml:space="preserve">  - Trạng thái Sort (行): ✅ Đã sắp xếp tăng dần hợp lệ.</t>
        </is>
      </c>
    </row>
    <row r="74">
      <c r="A74" t="inlineStr">
        <is>
          <t xml:space="preserve">  - Ngày chạy log: 2026/05/18</t>
        </is>
      </c>
    </row>
    <row r="75">
      <c r="A75" t="inlineStr">
        <is>
          <t xml:space="preserve">  - [Ảnh Status Panel]: Tìm thấy Jobnet ID: 'P1J0622@10622'</t>
        </is>
      </c>
    </row>
    <row r="76">
      <c r="A76" t="inlineStr">
        <is>
          <t xml:space="preserve">  - [Ảnh Status Panel]: Tìm thấy Interface ID: 'RFSH0622'</t>
        </is>
      </c>
    </row>
    <row r="77">
      <c r="A77" s="2" t="inlineStr">
        <is>
          <t xml:space="preserve">      ✅ OK: Interface ID 'RFSH0622' có tồn tại trong tên file Excel.</t>
        </is>
      </c>
    </row>
    <row r="78">
      <c r="A78" t="inlineStr">
        <is>
          <t xml:space="preserve">  - [Ảnh Status Panel]: Tìm thấy giờ bắt đầu là 12:21:12</t>
        </is>
      </c>
    </row>
    <row r="79">
      <c r="A79" s="2" t="inlineStr">
        <is>
          <t xml:space="preserve">      ✅ OK: Thời gian log (12:21:12) &gt;= Thời gian ảnh (12:21:12)</t>
        </is>
      </c>
    </row>
    <row r="80">
      <c r="A80" s="2" t="inlineStr">
        <is>
          <t xml:space="preserve">      ✅ OK: Duration Log Main (217ms) &lt; Duration Ảnh (401ms)</t>
        </is>
      </c>
    </row>
    <row r="81">
      <c r="A81" t="inlineStr">
        <is>
          <t xml:space="preserve">  - [Ảnh Log Viewer]: Tìm thấy thời gian kết thúc trong ảnh log là '12:21:12'</t>
        </is>
      </c>
    </row>
    <row r="82">
      <c r="A82" s="2" t="inlineStr">
        <is>
          <t xml:space="preserve">      ✅ OK: Giờ kết thúc trong ảnh Log (12:21:12) KHỚP với log text (12:21:12).</t>
        </is>
      </c>
    </row>
    <row r="83">
      <c r="A83" s="2" t="inlineStr">
        <is>
          <t xml:space="preserve">      ✅ OK: Giờ ảnh Log (12:21:12) &gt;= Giờ bắt đầu (12:21:12).</t>
        </is>
      </c>
    </row>
    <row r="84">
      <c r="A84" s="2" t="inlineStr">
        <is>
          <t xml:space="preserve">      ✅ OK: Jobnet ID 'P1J0622@10622' khớp với dữ liệu trong Log.</t>
        </is>
      </c>
    </row>
    <row r="85">
      <c r="A85" t="inlineStr">
        <is>
          <t xml:space="preserve">  - [Kiểm tra File]: Log text báo có tạo ra file 'RFSH0622_output.tsv'.</t>
        </is>
      </c>
    </row>
    <row r="86">
      <c r="A86" s="2" t="inlineStr">
        <is>
          <t xml:space="preserve">      ✅ OK: Tên file trong ảnh File Explorer (RFSH0622_output.tsv) KHỚP với tên file trong Log text.</t>
        </is>
      </c>
    </row>
    <row r="87">
      <c r="A87" t="inlineStr">
        <is>
          <t xml:space="preserve">  - [Ảnh File Explorer]: Tìm thấy file 'RFSH0622_output.tsv' có Date modified là '2026/05/18 12:21'</t>
        </is>
      </c>
    </row>
    <row r="88">
      <c r="A88" s="2" t="inlineStr">
        <is>
          <t xml:space="preserve">      ✅ OK: Thời gian xuất file 'RFSH0622_output.tsv' (2026/05/18 12:21) KHỚP với log (2026/05/18 12:21).</t>
        </is>
      </c>
    </row>
    <row r="89">
      <c r="A89" t="inlineStr">
        <is>
          <t xml:space="preserve">  - [Đối chiếu Testcase trong Log]:</t>
        </is>
      </c>
    </row>
    <row r="90">
      <c r="A90" t="inlineStr">
        <is>
          <t xml:space="preserve">  - [Đối chiếu テスト計画書兼結果報告書(共通)]: Tìm thấy 1 dòng (21)</t>
        </is>
      </c>
    </row>
    <row r="91">
      <c r="A91" s="2" t="inlineStr">
        <is>
          <t xml:space="preserve">      + Số lần test (Cột K): ✅ Tất cả 1 dòng đều khớp (Lần 3)</t>
        </is>
      </c>
    </row>
    <row r="92">
      <c r="A92" s="2" t="inlineStr">
        <is>
          <t xml:space="preserve">      + Ngày test (Cột I/G): ✅ Khớp ngày (2026/05/18) cho tất cả các dòng có dữ liệu</t>
        </is>
      </c>
    </row>
    <row r="93">
      <c r="A93" t="inlineStr"/>
    </row>
    <row r="94">
      <c r="A94" s="1" t="inlineStr">
        <is>
          <t>[Nhóm Test]: ■4回目 異常系・すでにファイルが存在する場合</t>
        </is>
      </c>
    </row>
    <row r="95">
      <c r="A95" t="inlineStr">
        <is>
          <t xml:space="preserve">  - Tổng số dòng log: 55</t>
        </is>
      </c>
    </row>
    <row r="96">
      <c r="A96" s="2" t="inlineStr">
        <is>
          <t xml:space="preserve">  - Trạng thái Sort (行): ✅ Đã sắp xếp tăng dần hợp lệ.</t>
        </is>
      </c>
    </row>
    <row r="97">
      <c r="A97" t="inlineStr">
        <is>
          <t xml:space="preserve">  - Ngày chạy log: 2026/05/18</t>
        </is>
      </c>
    </row>
    <row r="98">
      <c r="A98" t="inlineStr">
        <is>
          <t xml:space="preserve">  - [Ảnh Status Panel]: Tìm thấy Jobnet ID: 'P1J0622@10622'</t>
        </is>
      </c>
    </row>
    <row r="99">
      <c r="A99" t="inlineStr">
        <is>
          <t xml:space="preserve">  - [Ảnh Status Panel]: Tìm thấy Interface ID: 'RFSH0622'</t>
        </is>
      </c>
    </row>
    <row r="100">
      <c r="A100" s="2" t="inlineStr">
        <is>
          <t xml:space="preserve">      ✅ OK: Interface ID 'RFSH0622' có tồn tại trong tên file Excel.</t>
        </is>
      </c>
    </row>
    <row r="101">
      <c r="A101" t="inlineStr">
        <is>
          <t xml:space="preserve">  - [Ảnh Status Panel]: Tìm thấy giờ bắt đầu là 12:23:58</t>
        </is>
      </c>
    </row>
    <row r="102">
      <c r="A102" s="2" t="inlineStr">
        <is>
          <t xml:space="preserve">      ✅ OK: Thời gian log (12:23:58) &gt;= Thời gian ảnh (12:23:58)</t>
        </is>
      </c>
    </row>
    <row r="103">
      <c r="A103" s="2" t="inlineStr">
        <is>
          <t xml:space="preserve">      ✅ OK: Duration Log Main (498ms) &lt; Duration Ảnh (721ms)</t>
        </is>
      </c>
    </row>
    <row r="104">
      <c r="A104" t="inlineStr">
        <is>
          <t xml:space="preserve">  - [Ảnh Log Viewer]: Tìm thấy thời gian kết thúc trong ảnh log là '12:23:58'</t>
        </is>
      </c>
    </row>
    <row r="105">
      <c r="A105" s="2" t="inlineStr">
        <is>
          <t xml:space="preserve">      ✅ OK: Giờ kết thúc trong ảnh Log (12:23:58) KHỚP với log text (12:23:58).</t>
        </is>
      </c>
    </row>
    <row r="106">
      <c r="A106" s="2" t="inlineStr">
        <is>
          <t xml:space="preserve">      ✅ OK: Giờ ảnh Log (12:23:58) &gt;= Giờ bắt đầu (12:23:58).</t>
        </is>
      </c>
    </row>
    <row r="107">
      <c r="A107" s="2" t="inlineStr">
        <is>
          <t xml:space="preserve">      ✅ OK: Jobnet ID 'P1J0622@10622' khớp với dữ liệu trong Log.</t>
        </is>
      </c>
    </row>
    <row r="108">
      <c r="A108" t="inlineStr">
        <is>
          <t xml:space="preserve">  - [Đối chiếu Testcase trong Log]:</t>
        </is>
      </c>
    </row>
    <row r="109">
      <c r="A109" t="inlineStr">
        <is>
          <t xml:space="preserve">  - [Đối chiếu テスト計画書兼結果報告書(共通)]: Tìm thấy 1 dòng (22)</t>
        </is>
      </c>
    </row>
    <row r="110">
      <c r="A110" s="2" t="inlineStr">
        <is>
          <t xml:space="preserve">      + Số lần test (Cột K): ✅ Tất cả 1 dòng đều khớp (Lần 4)</t>
        </is>
      </c>
    </row>
    <row r="111">
      <c r="A111" s="2" t="inlineStr">
        <is>
          <t xml:space="preserve">      + Ngày test (Cột I/G): ✅ Khớp ngày (2026/05/18) cho tất cả các dòng có dữ liệu</t>
        </is>
      </c>
    </row>
    <row r="112">
      <c r="A112" t="inlineStr"/>
    </row>
    <row r="113">
      <c r="A113" s="1" t="inlineStr">
        <is>
          <t>[Nhóm Test]: ■5回目 正常系・0byteファイル</t>
        </is>
      </c>
    </row>
    <row r="114">
      <c r="A114" t="inlineStr">
        <is>
          <t xml:space="preserve">  - Tổng số dòng log: 61</t>
        </is>
      </c>
    </row>
    <row r="115">
      <c r="A115" s="2" t="inlineStr">
        <is>
          <t xml:space="preserve">  - Trạng thái Sort (行): ✅ Đã sắp xếp tăng dần hợp lệ.</t>
        </is>
      </c>
    </row>
    <row r="116">
      <c r="A116" t="inlineStr">
        <is>
          <t xml:space="preserve">  - Ngày chạy log: 2026/05/18</t>
        </is>
      </c>
    </row>
    <row r="117">
      <c r="A117" t="inlineStr">
        <is>
          <t xml:space="preserve">  - [Ảnh Status Panel]: Tìm thấy Jobnet ID: 'P1J0622@10622'</t>
        </is>
      </c>
    </row>
    <row r="118">
      <c r="A118" t="inlineStr">
        <is>
          <t xml:space="preserve">  - [Ảnh Status Panel]: Tìm thấy Interface ID: 'RFSH0622'</t>
        </is>
      </c>
    </row>
    <row r="119">
      <c r="A119" s="2" t="inlineStr">
        <is>
          <t xml:space="preserve">      ✅ OK: Interface ID 'RFSH0622' có tồn tại trong tên file Excel.</t>
        </is>
      </c>
    </row>
    <row r="120">
      <c r="A120" t="inlineStr">
        <is>
          <t xml:space="preserve">  - [Ảnh Status Panel]: Tìm thấy giờ bắt đầu là 12:28:18</t>
        </is>
      </c>
    </row>
    <row r="121">
      <c r="A121" s="2" t="inlineStr">
        <is>
          <t xml:space="preserve">      ✅ OK: Thời gian log (12:28:18) &gt;= Thời gian ảnh (12:28:18)</t>
        </is>
      </c>
    </row>
    <row r="122">
      <c r="A122" s="2" t="inlineStr">
        <is>
          <t xml:space="preserve">      ✅ OK: Duration Log Main (181ms) &lt; Duration Ảnh (441ms)</t>
        </is>
      </c>
    </row>
    <row r="123">
      <c r="A123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24">
      <c r="A124" s="2" t="inlineStr">
        <is>
          <t xml:space="preserve">      ✅ OK: Jobnet ID 'P1J0622@10622' khớp với dữ liệu trong Log.</t>
        </is>
      </c>
    </row>
    <row r="125">
      <c r="A125" t="inlineStr">
        <is>
          <t xml:space="preserve">  - [Kiểm tra File]: Log text báo có tạo ra file 'RFSH0622_output.tsv'.</t>
        </is>
      </c>
    </row>
    <row r="126">
      <c r="A126" s="2" t="inlineStr">
        <is>
          <t xml:space="preserve">      ✅ OK: Tên file trong ảnh File Explorer (RFSH0622_output.tsv) KHỚP với tên file trong Log text.</t>
        </is>
      </c>
    </row>
    <row r="127">
      <c r="A127" t="inlineStr">
        <is>
          <t xml:space="preserve">  - [Ảnh File Explorer]: Tìm thấy file 'RFSH0622_output.tsv' có Date modified là '2026/05/18 12:28'</t>
        </is>
      </c>
    </row>
    <row r="128">
      <c r="A128" s="2" t="inlineStr">
        <is>
          <t xml:space="preserve">      ✅ OK: Thời gian xuất file 'RFSH0622_output.tsv' (2026/05/18 12:28) KHỚP với log (2026/05/18 12:28).</t>
        </is>
      </c>
    </row>
    <row r="129">
      <c r="A129" t="inlineStr">
        <is>
          <t xml:space="preserve">  - [Đối chiếu Testcase trong Log]:</t>
        </is>
      </c>
    </row>
    <row r="130">
      <c r="A130" t="inlineStr">
        <is>
          <t xml:space="preserve">  - [Đối chiếu テスト計画書兼結果報告書(共通)]: Tìm thấy 2 dòng (26, 46)</t>
        </is>
      </c>
    </row>
    <row r="131">
      <c r="A131" s="2" t="inlineStr">
        <is>
          <t xml:space="preserve">      + Số lần test (Cột K): ✅ Tất cả 2 dòng đều khớp (Lần 5)</t>
        </is>
      </c>
    </row>
    <row r="132">
      <c r="A132" s="2" t="inlineStr">
        <is>
          <t xml:space="preserve">      + Ngày test (Cột I/G): ✅ Khớp ngày (2026/05/18) cho tất cả các dòng có dữ liệu</t>
        </is>
      </c>
    </row>
    <row r="133">
      <c r="A133" t="inlineStr"/>
    </row>
    <row r="134">
      <c r="A134" s="1" t="inlineStr">
        <is>
          <t>[Nhóm Test]: ■6回目 正常系・データ行1000行</t>
        </is>
      </c>
    </row>
    <row r="135">
      <c r="A135" t="inlineStr">
        <is>
          <t xml:space="preserve">  - Tổng số dòng log: 65</t>
        </is>
      </c>
    </row>
    <row r="136">
      <c r="A136" s="2" t="inlineStr">
        <is>
          <t xml:space="preserve">  - Trạng thái Sort (行): ✅ Đã sắp xếp tăng dần hợp lệ.</t>
        </is>
      </c>
    </row>
    <row r="137">
      <c r="A137" t="inlineStr">
        <is>
          <t xml:space="preserve">  - Ngày chạy log: 2026/05/18</t>
        </is>
      </c>
    </row>
    <row r="138">
      <c r="A138" t="inlineStr">
        <is>
          <t xml:space="preserve">  - [Ảnh Status Panel]: Tìm thấy Jobnet ID: 'P1J0622@10622'</t>
        </is>
      </c>
    </row>
    <row r="139">
      <c r="A139" t="inlineStr">
        <is>
          <t xml:space="preserve">  - [Ảnh Status Panel]: Tìm thấy Interface ID: 'RFSH0622'</t>
        </is>
      </c>
    </row>
    <row r="140">
      <c r="A140" s="2" t="inlineStr">
        <is>
          <t xml:space="preserve">      ✅ OK: Interface ID 'RFSH0622' có tồn tại trong tên file Excel.</t>
        </is>
      </c>
    </row>
    <row r="141">
      <c r="A141" t="inlineStr">
        <is>
          <t xml:space="preserve">  - [Ảnh Status Panel]: Tìm thấy giờ bắt đầu là 12:31:39</t>
        </is>
      </c>
    </row>
    <row r="142">
      <c r="A142" s="2" t="inlineStr">
        <is>
          <t xml:space="preserve">      ✅ OK: Thời gian log (12:31:39) &gt;= Thời gian ảnh (12:31:39)</t>
        </is>
      </c>
    </row>
    <row r="143">
      <c r="A143" s="2" t="inlineStr">
        <is>
          <t xml:space="preserve">      ✅ OK: Duration Log Main (644ms) &lt; Duration Ảnh (826ms)</t>
        </is>
      </c>
    </row>
    <row r="144">
      <c r="A144" t="inlineStr">
        <is>
          <t xml:space="preserve">  - [Ảnh Log Viewer]: Tìm thấy thời gian kết thúc trong ảnh log là '12:31:40'</t>
        </is>
      </c>
    </row>
    <row r="145">
      <c r="A145" s="2" t="inlineStr">
        <is>
          <t xml:space="preserve">      ✅ OK: Giờ kết thúc trong ảnh Log (12:31:40) KHỚP với log text (12:31:40).</t>
        </is>
      </c>
    </row>
    <row r="146">
      <c r="A146" s="2" t="inlineStr">
        <is>
          <t xml:space="preserve">      ✅ OK: Giờ ảnh Log (12:31:40) &gt;= Giờ bắt đầu (12:31:39).</t>
        </is>
      </c>
    </row>
    <row r="147">
      <c r="A147" s="2" t="inlineStr">
        <is>
          <t xml:space="preserve">      ✅ OK: Jobnet ID 'P1J0622@10622' khớp với dữ liệu trong Log.</t>
        </is>
      </c>
    </row>
    <row r="148">
      <c r="A148" t="inlineStr">
        <is>
          <t xml:space="preserve">  - [Kiểm tra File]: Log text báo có tạo ra file 'RFSH0622_output.tsv'.</t>
        </is>
      </c>
    </row>
    <row r="149">
      <c r="A149" s="2" t="inlineStr">
        <is>
          <t xml:space="preserve">      ✅ OK: Tên file trong ảnh File Explorer (RFSH0622_output.tsv) KHỚP với tên file trong Log text.</t>
        </is>
      </c>
    </row>
    <row r="150">
      <c r="A150" t="inlineStr">
        <is>
          <t xml:space="preserve">  - [Ảnh File Explorer]: Tìm thấy file 'RFSH0622_output.tsv' có Date modified là '2026/05/18 12:31'</t>
        </is>
      </c>
    </row>
    <row r="151">
      <c r="A151" s="2" t="inlineStr">
        <is>
          <t xml:space="preserve">      ✅ OK: Thời gian xuất file 'RFSH0622_output.tsv' (2026/05/18 12:31) KHỚP với log (2026/05/18 12:31).</t>
        </is>
      </c>
    </row>
    <row r="152">
      <c r="A152" t="inlineStr">
        <is>
          <t xml:space="preserve">  - [Đối chiếu Testcase trong Log]:</t>
        </is>
      </c>
    </row>
    <row r="153">
      <c r="A153" t="inlineStr">
        <is>
          <t xml:space="preserve">  - [Đối chiếu テスト計画書兼結果報告書(共通)]: Tìm thấy 1 dòng (29)</t>
        </is>
      </c>
    </row>
    <row r="154">
      <c r="A154" s="2" t="inlineStr">
        <is>
          <t xml:space="preserve">      + Số lần test (Cột K): ✅ Tất cả 1 dòng đều khớp (Lần 6)</t>
        </is>
      </c>
    </row>
    <row r="155">
      <c r="A155" s="2" t="inlineStr">
        <is>
          <t xml:space="preserve">      + Ngày test (Cột I/G): ✅ Khớp ngày (2026/05/18) cho tất cả các dòng có dữ liệu</t>
        </is>
      </c>
    </row>
    <row r="156">
      <c r="A156" t="inlineStr"/>
    </row>
    <row r="157">
      <c r="A157" s="1" t="inlineStr">
        <is>
          <t>[Nhóm Test]: ■7回目 正常系・データ行1000行以上</t>
        </is>
      </c>
    </row>
    <row r="158">
      <c r="A158" t="inlineStr">
        <is>
          <t xml:space="preserve">  - Tổng số dòng log: 77</t>
        </is>
      </c>
    </row>
    <row r="159">
      <c r="A159" s="2" t="inlineStr">
        <is>
          <t xml:space="preserve">  - Trạng thái Sort (行): ✅ Đã sắp xếp tăng dần hợp lệ.</t>
        </is>
      </c>
    </row>
    <row r="160">
      <c r="A160" t="inlineStr">
        <is>
          <t xml:space="preserve">  - Ngày chạy log: 2026/05/18</t>
        </is>
      </c>
    </row>
    <row r="161">
      <c r="A161" t="inlineStr">
        <is>
          <t xml:space="preserve">  - [Ảnh Status Panel]: Tìm thấy Jobnet ID: 'P1J0622@10622'</t>
        </is>
      </c>
    </row>
    <row r="162">
      <c r="A162" t="inlineStr">
        <is>
          <t xml:space="preserve">  - [Ảnh Status Panel]: Tìm thấy Interface ID: 'RFSH0622'</t>
        </is>
      </c>
    </row>
    <row r="163">
      <c r="A163" s="2" t="inlineStr">
        <is>
          <t xml:space="preserve">      ✅ OK: Interface ID 'RFSH0622' có tồn tại trong tên file Excel.</t>
        </is>
      </c>
    </row>
    <row r="164">
      <c r="A164" t="inlineStr">
        <is>
          <t xml:space="preserve">  - [Ảnh Status Panel]: Tìm thấy giờ bắt đầu là 12:34:13</t>
        </is>
      </c>
    </row>
    <row r="165">
      <c r="A165" s="2" t="inlineStr">
        <is>
          <t xml:space="preserve">      ✅ OK: Thời gian log (12:34:13) &gt;= Thời gian ảnh (12:34:13)</t>
        </is>
      </c>
    </row>
    <row r="166">
      <c r="A166" s="2" t="inlineStr">
        <is>
          <t xml:space="preserve">      ✅ OK: Duration Log Main (817ms) &lt; Duration Ảnh (1002ms)</t>
        </is>
      </c>
    </row>
    <row r="167">
      <c r="A167" t="inlineStr">
        <is>
          <t xml:space="preserve">  - [Ảnh Log Viewer]: Tìm thấy thời gian kết thúc trong ảnh log là '12:34:14'</t>
        </is>
      </c>
    </row>
    <row r="168">
      <c r="A168" s="2" t="inlineStr">
        <is>
          <t xml:space="preserve">      ✅ OK: Giờ kết thúc trong ảnh Log (12:34:14) KHỚP với log text (12:34:14).</t>
        </is>
      </c>
    </row>
    <row r="169">
      <c r="A169" s="2" t="inlineStr">
        <is>
          <t xml:space="preserve">      ✅ OK: Giờ ảnh Log (12:34:14) &gt;= Giờ bắt đầu (12:34:13).</t>
        </is>
      </c>
    </row>
    <row r="170">
      <c r="A170" s="2" t="inlineStr">
        <is>
          <t xml:space="preserve">      ✅ OK: Jobnet ID 'P1J0622@10622' khớp với dữ liệu trong Log.</t>
        </is>
      </c>
    </row>
    <row r="171">
      <c r="A171" t="inlineStr">
        <is>
          <t xml:space="preserve">  - [Kiểm tra File]: Log text báo có tạo ra file 'RFSH0622_output.tsv'.</t>
        </is>
      </c>
    </row>
    <row r="172">
      <c r="A172" s="4" t="inlineStr">
        <is>
          <t xml:space="preserve">      ❌ LỖI: Log báo có tạo file nhưng không tìm thấy ảnh chụp File Explorer chứa file này!</t>
        </is>
      </c>
    </row>
    <row r="173">
      <c r="A173" t="inlineStr">
        <is>
          <t xml:space="preserve">  - [Đối chiếu Testcase trong Log]:</t>
        </is>
      </c>
    </row>
    <row r="174">
      <c r="A174" t="inlineStr">
        <is>
          <t xml:space="preserve">  - [Đối chiếu テスト計画書兼結果報告書(共通)]: Tìm thấy 2 dòng (30, 35)</t>
        </is>
      </c>
    </row>
    <row r="175">
      <c r="A175" s="2" t="inlineStr">
        <is>
          <t xml:space="preserve">      + Số lần test (Cột K): ✅ Tất cả 2 dòng đều khớp (Lần 7)</t>
        </is>
      </c>
    </row>
    <row r="176">
      <c r="A176" s="2" t="inlineStr">
        <is>
          <t xml:space="preserve">      + Ngày test (Cột I/G): ✅ Khớp ngày (2026/05/18) cho tất cả các dòng có dữ liệu</t>
        </is>
      </c>
    </row>
    <row r="177">
      <c r="A177" t="inlineStr"/>
    </row>
    <row r="178">
      <c r="A178" s="1">
        <f>=============== ĐANG PHÂN TÍCH KẾT QUẢ SHEET: エビデンス(個別) ================</f>
        <v/>
      </c>
    </row>
    <row r="179">
      <c r="A179" t="inlineStr"/>
    </row>
    <row r="180">
      <c r="A180" s="1" t="inlineStr">
        <is>
          <t>[Nhóm Test]: ■1回目 正常系・0byteファイル</t>
        </is>
      </c>
    </row>
    <row r="181">
      <c r="A181" t="inlineStr">
        <is>
          <t xml:space="preserve">  - Tổng số dòng log: 49</t>
        </is>
      </c>
    </row>
    <row r="182">
      <c r="A182" s="2" t="inlineStr">
        <is>
          <t xml:space="preserve">  - Trạng thái Sort (行): ✅ Đã sắp xếp tăng dần hợp lệ.</t>
        </is>
      </c>
    </row>
    <row r="183">
      <c r="A183" t="inlineStr">
        <is>
          <t xml:space="preserve">  - Ngày chạy log: 2026/05/18</t>
        </is>
      </c>
    </row>
    <row r="184">
      <c r="A184" t="inlineStr">
        <is>
          <t xml:space="preserve">  - [Ảnh Status Panel]: Tìm thấy Jobnet ID: 'P1J0622@10622'</t>
        </is>
      </c>
    </row>
    <row r="185">
      <c r="A185" t="inlineStr">
        <is>
          <t xml:space="preserve">  - [Ảnh Status Panel]: Tìm thấy Interface ID: 'RFSH0622'</t>
        </is>
      </c>
    </row>
    <row r="186">
      <c r="A186" s="2" t="inlineStr">
        <is>
          <t xml:space="preserve">      ✅ OK: Interface ID 'RFSH0622' có tồn tại trong tên file Excel.</t>
        </is>
      </c>
    </row>
    <row r="187">
      <c r="A187" t="inlineStr">
        <is>
          <t xml:space="preserve">  - [Ảnh Status Panel]: Tìm thấy giờ bắt đầu là 12:57:07</t>
        </is>
      </c>
    </row>
    <row r="188">
      <c r="A188" s="2" t="inlineStr">
        <is>
          <t xml:space="preserve">      ✅ OK: Thời gian log (12:57:07) &gt;= Thời gian ảnh (12:57:07)</t>
        </is>
      </c>
    </row>
    <row r="189">
      <c r="A189" s="2" t="inlineStr">
        <is>
          <t xml:space="preserve">      ✅ OK: Duration Log Main (126ms) &lt; Duration Ảnh (321ms)</t>
        </is>
      </c>
    </row>
    <row r="190">
      <c r="A190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91">
      <c r="A191" s="2" t="inlineStr">
        <is>
          <t xml:space="preserve">      ✅ OK: Jobnet ID 'P1J0622@10622' khớp với dữ liệu trong Log.</t>
        </is>
      </c>
    </row>
    <row r="192">
      <c r="A192" t="inlineStr">
        <is>
          <t xml:space="preserve">  - [Kiểm tra File]: Log text báo có tạo ra file 'RFSH0622_output.tsv'.</t>
        </is>
      </c>
    </row>
    <row r="193">
      <c r="A193" s="2" t="inlineStr">
        <is>
          <t xml:space="preserve">      ✅ OK: Tên file trong ảnh File Explorer (RFSH0622_output.tsv) KHỚP với tên file trong Log text.</t>
        </is>
      </c>
    </row>
    <row r="194">
      <c r="A194" t="inlineStr">
        <is>
          <t xml:space="preserve">  - [Ảnh File Explorer]: Tìm thấy file 'RFSH0622_output.tsv' có Date modified là '2026/05/18 12:57'</t>
        </is>
      </c>
    </row>
    <row r="195">
      <c r="A195" s="2" t="inlineStr">
        <is>
          <t xml:space="preserve">      ✅ OK: Thời gian xuất file 'RFSH0622_output.tsv' (2026/05/18 12:57) KHỚP với log (2026/05/18 12:57).</t>
        </is>
      </c>
    </row>
    <row r="196">
      <c r="A196" t="inlineStr">
        <is>
          <t xml:space="preserve">  - [Đối chiếu Testcase trong Log]:</t>
        </is>
      </c>
    </row>
    <row r="197">
      <c r="A197" t="inlineStr">
        <is>
          <t xml:space="preserve">  - [Đối chiếu テスト計画書兼結果報告書(個別)]: Tìm thấy 1 dòng (6)</t>
        </is>
      </c>
    </row>
    <row r="198">
      <c r="A198" s="2" t="inlineStr">
        <is>
          <t xml:space="preserve">      + Số lần test (Cột K): ✅ Tất cả 1 dòng đều khớp (Lần 1)</t>
        </is>
      </c>
    </row>
    <row r="199">
      <c r="A199" s="2" t="inlineStr">
        <is>
          <t xml:space="preserve">      + Ngày test (Cột I/G): ✅ Khớp ngày (2026/05/18) cho tất cả các dòng có dữ liệu</t>
        </is>
      </c>
    </row>
    <row r="200">
      <c r="A200" t="inlineStr"/>
    </row>
    <row r="201">
      <c r="A201" s="1" t="inlineStr">
        <is>
          <t>[Nhóm Test]: ■2回目 正常系・全項目空データファイル</t>
        </is>
      </c>
    </row>
    <row r="202">
      <c r="A202" t="inlineStr">
        <is>
          <t xml:space="preserve">  - Tổng số dòng log: 53</t>
        </is>
      </c>
    </row>
    <row r="203">
      <c r="A203" s="2" t="inlineStr">
        <is>
          <t xml:space="preserve">  - Trạng thái Sort (行): ✅ Đã sắp xếp tăng dần hợp lệ.</t>
        </is>
      </c>
    </row>
    <row r="204">
      <c r="A204" t="inlineStr">
        <is>
          <t xml:space="preserve">  - Ngày chạy log: 2026/05/18</t>
        </is>
      </c>
    </row>
    <row r="205">
      <c r="A205" t="inlineStr">
        <is>
          <t xml:space="preserve">  - [Ảnh Status Panel]: Tìm thấy Jobnet ID: 'P1J0622@10622'</t>
        </is>
      </c>
    </row>
    <row r="206">
      <c r="A206" t="inlineStr">
        <is>
          <t xml:space="preserve">  - [Ảnh Status Panel]: Tìm thấy Interface ID: 'RFSH0622'</t>
        </is>
      </c>
    </row>
    <row r="207">
      <c r="A207" s="2" t="inlineStr">
        <is>
          <t xml:space="preserve">      ✅ OK: Interface ID 'RFSH0622' có tồn tại trong tên file Excel.</t>
        </is>
      </c>
    </row>
    <row r="208">
      <c r="A208" t="inlineStr">
        <is>
          <t xml:space="preserve">  - [Ảnh Status Panel]: Tìm thấy giờ bắt đầu là 13:01:25</t>
        </is>
      </c>
    </row>
    <row r="209">
      <c r="A209" s="2" t="inlineStr">
        <is>
          <t xml:space="preserve">      ✅ OK: Thời gian log (13:01:25) &gt;= Thời gian ảnh (13:01:25)</t>
        </is>
      </c>
    </row>
    <row r="210">
      <c r="A210" s="2" t="inlineStr">
        <is>
          <t xml:space="preserve">      ✅ OK: Duration Log Main (413ms) &lt; Duration Ảnh (616ms)</t>
        </is>
      </c>
    </row>
    <row r="211">
      <c r="A211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12">
      <c r="A212" s="2" t="inlineStr">
        <is>
          <t xml:space="preserve">      ✅ OK: Jobnet ID 'P1J0622@10622' khớp với dữ liệu trong Log.</t>
        </is>
      </c>
    </row>
    <row r="213">
      <c r="A213" t="inlineStr">
        <is>
          <t xml:space="preserve">  - [Kiểm tra File]: Log text báo có tạo ra file 'RFSH0622_output.tsv'.</t>
        </is>
      </c>
    </row>
    <row r="214">
      <c r="A214" s="2" t="inlineStr">
        <is>
          <t xml:space="preserve">      ✅ OK: Tên file trong ảnh File Explorer (RFSH0622_output.tsv) KHỚP với tên file trong Log text.</t>
        </is>
      </c>
    </row>
    <row r="215">
      <c r="A215" t="inlineStr">
        <is>
          <t xml:space="preserve">  - [Ảnh File Explorer]: Tìm thấy file 'RFSH0622_output.tsv' có Date modified là '2026/05/18 13:01'</t>
        </is>
      </c>
    </row>
    <row r="216">
      <c r="A216" s="2" t="inlineStr">
        <is>
          <t xml:space="preserve">      ✅ OK: Thời gian xuất file 'RFSH0622_output.tsv' (2026/05/18 13:01) KHỚP với log (2026/05/18 13:01).</t>
        </is>
      </c>
    </row>
    <row r="217">
      <c r="A217" t="inlineStr">
        <is>
          <t xml:space="preserve">  - [Đối chiếu Testcase trong Log]:</t>
        </is>
      </c>
    </row>
    <row r="218">
      <c r="A218" t="inlineStr">
        <is>
          <t xml:space="preserve">  - [Đối chiếu テスト計画書兼結果報告書(個別)]: Tìm thấy 1 dòng (8)</t>
        </is>
      </c>
    </row>
    <row r="219">
      <c r="A219" s="2" t="inlineStr">
        <is>
          <t xml:space="preserve">      + Số lần test (Cột K): ✅ Tất cả 1 dòng đều khớp (Lần 2)</t>
        </is>
      </c>
    </row>
    <row r="220">
      <c r="A220" s="2" t="inlineStr">
        <is>
          <t xml:space="preserve">      + Ngày test (Cột I/G): ✅ Khớp ngày (2026/05/18) cho tất cả các dòng có dữ liệu</t>
        </is>
      </c>
    </row>
    <row r="221">
      <c r="A221" t="inlineStr"/>
    </row>
    <row r="222">
      <c r="A222" s="1" t="inlineStr">
        <is>
          <t>[Nhóm Test]: ■3回目 正常系・ファイル定義確認</t>
        </is>
      </c>
    </row>
    <row r="223">
      <c r="A223" t="inlineStr">
        <is>
          <t xml:space="preserve">  - Tổng số dòng log: 53</t>
        </is>
      </c>
    </row>
    <row r="224">
      <c r="A224" s="2" t="inlineStr">
        <is>
          <t xml:space="preserve">  - Trạng thái Sort (行): ✅ Đã sắp xếp tăng dần hợp lệ.</t>
        </is>
      </c>
    </row>
    <row r="225">
      <c r="A225" t="inlineStr">
        <is>
          <t xml:space="preserve">  - Ngày chạy log: 2026/05/18</t>
        </is>
      </c>
    </row>
    <row r="226">
      <c r="A226" t="inlineStr">
        <is>
          <t xml:space="preserve">  - [Ảnh Status Panel]: Tìm thấy Jobnet ID: 'P1J0622@10622'</t>
        </is>
      </c>
    </row>
    <row r="227">
      <c r="A227" t="inlineStr">
        <is>
          <t xml:space="preserve">  - [Ảnh Status Panel]: Tìm thấy Interface ID: 'RFSH0622'</t>
        </is>
      </c>
    </row>
    <row r="228">
      <c r="A228" s="2" t="inlineStr">
        <is>
          <t xml:space="preserve">      ✅ OK: Interface ID 'RFSH0622' có tồn tại trong tên file Excel.</t>
        </is>
      </c>
    </row>
    <row r="229">
      <c r="A229" t="inlineStr">
        <is>
          <t xml:space="preserve">  - [Ảnh Status Panel]: Tìm thấy giờ bắt đầu là 13:04:45</t>
        </is>
      </c>
    </row>
    <row r="230">
      <c r="A230" s="2" t="inlineStr">
        <is>
          <t xml:space="preserve">      ✅ OK: Thời gian log (13:04:45) &gt;= Thời gian ảnh (13:04:45)</t>
        </is>
      </c>
    </row>
    <row r="231">
      <c r="A231" s="2" t="inlineStr">
        <is>
          <t xml:space="preserve">      ✅ OK: Duration Log Main (528ms) &lt; Duration Ảnh (724ms)</t>
        </is>
      </c>
    </row>
    <row r="232">
      <c r="A232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33">
      <c r="A233" s="2" t="inlineStr">
        <is>
          <t xml:space="preserve">      ✅ OK: Jobnet ID 'P1J0622@10622' khớp với dữ liệu trong Log.</t>
        </is>
      </c>
    </row>
    <row r="234">
      <c r="A234" t="inlineStr">
        <is>
          <t xml:space="preserve">  - [Kiểm tra File]: Log text báo có tạo ra file 'RFSH0622_output.tsv'.</t>
        </is>
      </c>
    </row>
    <row r="235">
      <c r="A235" s="2" t="inlineStr">
        <is>
          <t xml:space="preserve">      ✅ OK: Tên file trong ảnh File Explorer (RFSH0622_output.tsv) KHỚP với tên file trong Log text.</t>
        </is>
      </c>
    </row>
    <row r="236">
      <c r="A236" t="inlineStr">
        <is>
          <t xml:space="preserve">  - [Ảnh File Explorer]: Tìm thấy file 'RFSH0622_output.tsv' có Date modified là '2026/05/18 13:04'</t>
        </is>
      </c>
    </row>
    <row r="237">
      <c r="A237" s="2" t="inlineStr">
        <is>
          <t xml:space="preserve">      ✅ OK: Thời gian xuất file 'RFSH0622_output.tsv' (2026/05/18 13:04) KHỚP với log (2026/05/18 13:04).</t>
        </is>
      </c>
    </row>
    <row r="238">
      <c r="A238" t="inlineStr">
        <is>
          <t xml:space="preserve">  - [Đối chiếu Testcase trong Log]:</t>
        </is>
      </c>
    </row>
    <row r="239">
      <c r="A239" t="inlineStr">
        <is>
          <t xml:space="preserve">  - [Đối chiếu テスト計画書兼結果報告書(個別)]: Tìm thấy 12 dòng (18, 19, 20, 21, 22, 23, 25, 26, 27, 28, 29, 30)</t>
        </is>
      </c>
    </row>
    <row r="240">
      <c r="A240" s="2" t="inlineStr">
        <is>
          <t xml:space="preserve">      + Số lần test (Cột K): ✅ Tất cả 12 dòng đều khớp (Lần 3)</t>
        </is>
      </c>
    </row>
    <row r="241">
      <c r="A241" s="2" t="inlineStr">
        <is>
          <t xml:space="preserve">      + Ngày test (Cột I/G): ✅ Khớp ngày (2026/05/18) cho tất cả các dòng có dữ liệu</t>
        </is>
      </c>
    </row>
    <row r="242">
      <c r="A242" t="inlineStr"/>
    </row>
    <row r="243">
      <c r="A243" s="1" t="inlineStr">
        <is>
          <t>[Nhóm Test]: ■4回目正常系・列分割→行変換確認（明細0件）</t>
        </is>
      </c>
    </row>
    <row r="244">
      <c r="A244" t="inlineStr">
        <is>
          <t xml:space="preserve">  - Tổng số dòng log: 53</t>
        </is>
      </c>
    </row>
    <row r="245">
      <c r="A245" s="2" t="inlineStr">
        <is>
          <t xml:space="preserve">  - Trạng thái Sort (行): ✅ Đã sắp xếp tăng dần hợp lệ.</t>
        </is>
      </c>
    </row>
    <row r="246">
      <c r="A246" t="inlineStr">
        <is>
          <t xml:space="preserve">  - Ngày chạy log: 2026/05/18</t>
        </is>
      </c>
    </row>
    <row r="247">
      <c r="A247" t="inlineStr">
        <is>
          <t xml:space="preserve">  - [Ảnh Status Panel]: Tìm thấy Jobnet ID: 'P1J0622@10622'</t>
        </is>
      </c>
    </row>
    <row r="248">
      <c r="A248" t="inlineStr">
        <is>
          <t xml:space="preserve">  - [Ảnh Status Panel]: Tìm thấy Interface ID: 'RFSH0622'</t>
        </is>
      </c>
    </row>
    <row r="249">
      <c r="A249" s="2" t="inlineStr">
        <is>
          <t xml:space="preserve">      ✅ OK: Interface ID 'RFSH0622' có tồn tại trong tên file Excel.</t>
        </is>
      </c>
    </row>
    <row r="250">
      <c r="A250" t="inlineStr">
        <is>
          <t xml:space="preserve">  - [Ảnh Status Panel]: Tìm thấy giờ bắt đầu là 13:06:49</t>
        </is>
      </c>
    </row>
    <row r="251">
      <c r="A251" s="2" t="inlineStr">
        <is>
          <t xml:space="preserve">      ✅ OK: Thời gian log (13:06:49) &gt;= Thời gian ảnh (13:06:49)</t>
        </is>
      </c>
    </row>
    <row r="252">
      <c r="A252" s="2" t="inlineStr">
        <is>
          <t xml:space="preserve">      ✅ OK: Duration Log Main (528ms) &lt; Duration Ảnh (738ms)</t>
        </is>
      </c>
    </row>
    <row r="253">
      <c r="A253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54">
      <c r="A254" s="2" t="inlineStr">
        <is>
          <t xml:space="preserve">      ✅ OK: Jobnet ID 'P1J0622@10622' khớp với dữ liệu trong Log.</t>
        </is>
      </c>
    </row>
    <row r="255">
      <c r="A255" t="inlineStr">
        <is>
          <t xml:space="preserve">  - [Kiểm tra File]: Log text báo có tạo ra file 'RFSH0622_output.tsv'.</t>
        </is>
      </c>
    </row>
    <row r="256">
      <c r="A256" s="2" t="inlineStr">
        <is>
          <t xml:space="preserve">      ✅ OK: Tên file trong ảnh File Explorer (RFSH0622_output.tsv) KHỚP với tên file trong Log text.</t>
        </is>
      </c>
    </row>
    <row r="257">
      <c r="A257" t="inlineStr">
        <is>
          <t xml:space="preserve">  - [Ảnh File Explorer]: Tìm thấy file 'RFSH0622_output.tsv' có Date modified là '2026/05/18 13:06'</t>
        </is>
      </c>
    </row>
    <row r="258">
      <c r="A258" s="2" t="inlineStr">
        <is>
          <t xml:space="preserve">      ✅ OK: Thời gian xuất file 'RFSH0622_output.tsv' (2026/05/18 13:06) KHỚP với log (2026/05/18 13:06).</t>
        </is>
      </c>
    </row>
    <row r="259">
      <c r="A259" t="inlineStr">
        <is>
          <t xml:space="preserve">  - [Đối chiếu Testcase trong Log]:</t>
        </is>
      </c>
    </row>
    <row r="260">
      <c r="A260" t="inlineStr">
        <is>
          <t xml:space="preserve">  - [Đối chiếu テスト計画書兼結果報告書(個別)]: Tìm thấy 1 dòng (11)</t>
        </is>
      </c>
    </row>
    <row r="261">
      <c r="A261" s="2" t="inlineStr">
        <is>
          <t xml:space="preserve">      + Số lần test (Cột K): ✅ Tất cả 1 dòng đều khớp (Lần 4)</t>
        </is>
      </c>
    </row>
    <row r="262">
      <c r="A262" s="2" t="inlineStr">
        <is>
          <t xml:space="preserve">      + Ngày test (Cột I/G): ✅ Khớp ngày (2026/05/18) cho tất cả các dòng có dữ liệu</t>
        </is>
      </c>
    </row>
    <row r="263">
      <c r="A263" t="inlineStr"/>
    </row>
    <row r="264">
      <c r="A264" s="1" t="inlineStr">
        <is>
          <t>[Nhóm Test]: ■5回目正常系・列分割→行変換確認（明細1件）</t>
        </is>
      </c>
    </row>
    <row r="265">
      <c r="A265" t="inlineStr">
        <is>
          <t xml:space="preserve">  - Tổng số dòng log: 53</t>
        </is>
      </c>
    </row>
    <row r="266">
      <c r="A266" s="2" t="inlineStr">
        <is>
          <t xml:space="preserve">  - Trạng thái Sort (行): ✅ Đã sắp xếp tăng dần hợp lệ.</t>
        </is>
      </c>
    </row>
    <row r="267">
      <c r="A267" t="inlineStr">
        <is>
          <t xml:space="preserve">  - Ngày chạy log: 2026/05/18</t>
        </is>
      </c>
    </row>
    <row r="268">
      <c r="A268" t="inlineStr">
        <is>
          <t xml:space="preserve">  - [Ảnh Status Panel]: Tìm thấy Jobnet ID: 'P1J0622@10622'</t>
        </is>
      </c>
    </row>
    <row r="269">
      <c r="A269" t="inlineStr">
        <is>
          <t xml:space="preserve">  - [Ảnh Status Panel]: Tìm thấy Interface ID: 'RFSH0622'</t>
        </is>
      </c>
    </row>
    <row r="270">
      <c r="A270" s="2" t="inlineStr">
        <is>
          <t xml:space="preserve">      ✅ OK: Interface ID 'RFSH0622' có tồn tại trong tên file Excel.</t>
        </is>
      </c>
    </row>
    <row r="271">
      <c r="A271" t="inlineStr">
        <is>
          <t xml:space="preserve">  - [Ảnh Status Panel]: Tìm thấy giờ bắt đầu là 13:08:57</t>
        </is>
      </c>
    </row>
    <row r="272">
      <c r="A272" s="2" t="inlineStr">
        <is>
          <t xml:space="preserve">      ✅ OK: Thời gian log (13:08:57) &gt;= Thời gian ảnh (13:08:57)</t>
        </is>
      </c>
    </row>
    <row r="273">
      <c r="A273" s="2" t="inlineStr">
        <is>
          <t xml:space="preserve">      ✅ OK: Duration Log Main (532ms) &lt; Duration Ảnh (713ms)</t>
        </is>
      </c>
    </row>
    <row r="274">
      <c r="A274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75">
      <c r="A275" s="2" t="inlineStr">
        <is>
          <t xml:space="preserve">      ✅ OK: Jobnet ID 'P1J0622@10622' khớp với dữ liệu trong Log.</t>
        </is>
      </c>
    </row>
    <row r="276">
      <c r="A276" t="inlineStr">
        <is>
          <t xml:space="preserve">  - [Kiểm tra File]: Log text báo có tạo ra file 'RFSH0622_output.tsv'.</t>
        </is>
      </c>
    </row>
    <row r="277">
      <c r="A277" s="2" t="inlineStr">
        <is>
          <t xml:space="preserve">      ✅ OK: Tên file trong ảnh File Explorer (RFSH0622_output.tsv) KHỚP với tên file trong Log text.</t>
        </is>
      </c>
    </row>
    <row r="278">
      <c r="A278" t="inlineStr">
        <is>
          <t xml:space="preserve">  - [Ảnh File Explorer]: Tìm thấy file 'RFSH0622_output.tsv' có Date modified là '2026/05/18 13:08'</t>
        </is>
      </c>
    </row>
    <row r="279">
      <c r="A279" s="2" t="inlineStr">
        <is>
          <t xml:space="preserve">      ✅ OK: Thời gian xuất file 'RFSH0622_output.tsv' (2026/05/18 13:08) KHỚP với log (2026/05/18 13:08).</t>
        </is>
      </c>
    </row>
    <row r="280">
      <c r="A280" t="inlineStr">
        <is>
          <t xml:space="preserve">  - [Đối chiếu Testcase trong Log]:</t>
        </is>
      </c>
    </row>
    <row r="281">
      <c r="A281" t="inlineStr">
        <is>
          <t xml:space="preserve">  - [Đối chiếu テスト計画書兼結果報告書(個別)]: Tìm thấy 1 dòng (12)</t>
        </is>
      </c>
    </row>
    <row r="282">
      <c r="A282" s="2" t="inlineStr">
        <is>
          <t xml:space="preserve">      + Số lần test (Cột K): ✅ Tất cả 1 dòng đều khớp (Lần 5)</t>
        </is>
      </c>
    </row>
    <row r="283">
      <c r="A283" s="2" t="inlineStr">
        <is>
          <t xml:space="preserve">      + Ngày test (Cột I/G): ✅ Khớp ngày (2026/05/18) cho tất cả các dòng có dữ liệu</t>
        </is>
      </c>
    </row>
    <row r="284">
      <c r="A284" t="inlineStr"/>
    </row>
    <row r="285">
      <c r="A285" s="1" t="inlineStr">
        <is>
          <t>[Nhóm Test]: ■6回目正常系・列分割→行変換確認（明細4件）</t>
        </is>
      </c>
    </row>
    <row r="286">
      <c r="A286" t="inlineStr">
        <is>
          <t xml:space="preserve">  - Tổng số dòng log: 53</t>
        </is>
      </c>
    </row>
    <row r="287">
      <c r="A287" s="2" t="inlineStr">
        <is>
          <t xml:space="preserve">  - Trạng thái Sort (行): ✅ Đã sắp xếp tăng dần hợp lệ.</t>
        </is>
      </c>
    </row>
    <row r="288">
      <c r="A288" t="inlineStr">
        <is>
          <t xml:space="preserve">  - Ngày chạy log: 2026/05/18</t>
        </is>
      </c>
    </row>
    <row r="289">
      <c r="A289" t="inlineStr">
        <is>
          <t xml:space="preserve">  - [Ảnh Status Panel]: Tìm thấy Jobnet ID: 'P1J0622@10622'</t>
        </is>
      </c>
    </row>
    <row r="290">
      <c r="A290" t="inlineStr">
        <is>
          <t xml:space="preserve">  - [Ảnh Status Panel]: Tìm thấy Interface ID: 'RFSH0622'</t>
        </is>
      </c>
    </row>
    <row r="291">
      <c r="A291" s="2" t="inlineStr">
        <is>
          <t xml:space="preserve">      ✅ OK: Interface ID 'RFSH0622' có tồn tại trong tên file Excel.</t>
        </is>
      </c>
    </row>
    <row r="292">
      <c r="A292" t="inlineStr">
        <is>
          <t xml:space="preserve">  - [Ảnh Status Panel]: Tìm thấy giờ bắt đầu là 13:11:14</t>
        </is>
      </c>
    </row>
    <row r="293">
      <c r="A293" s="2" t="inlineStr">
        <is>
          <t xml:space="preserve">      ✅ OK: Thời gian log (13:11:14) &gt;= Thời gian ảnh (13:11:14)</t>
        </is>
      </c>
    </row>
    <row r="294">
      <c r="A294" s="2" t="inlineStr">
        <is>
          <t xml:space="preserve">      ✅ OK: Duration Log Main (593ms) &lt; Duration Ảnh (785ms)</t>
        </is>
      </c>
    </row>
    <row r="295">
      <c r="A295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96">
      <c r="A296" s="2" t="inlineStr">
        <is>
          <t xml:space="preserve">      ✅ OK: Jobnet ID 'P1J0622@10622' khớp với dữ liệu trong Log.</t>
        </is>
      </c>
    </row>
    <row r="297">
      <c r="A297" t="inlineStr">
        <is>
          <t xml:space="preserve">  - [Kiểm tra File]: Log text báo có tạo ra file 'RFSH0622_output.tsv'.</t>
        </is>
      </c>
    </row>
    <row r="298">
      <c r="A298" s="2" t="inlineStr">
        <is>
          <t xml:space="preserve">      ✅ OK: Tên file trong ảnh File Explorer (RFSH0622_output.tsv) KHỚP với tên file trong Log text.</t>
        </is>
      </c>
    </row>
    <row r="299">
      <c r="A299" t="inlineStr">
        <is>
          <t xml:space="preserve">  - [Ảnh File Explorer]: Tìm thấy file 'RFSH0622_output.tsv' có Date modified là '2026/05/18 13:11'</t>
        </is>
      </c>
    </row>
    <row r="300">
      <c r="A300" s="2" t="inlineStr">
        <is>
          <t xml:space="preserve">      ✅ OK: Thời gian xuất file 'RFSH0622_output.tsv' (2026/05/18 13:11) KHỚP với log (2026/05/18 13:11).</t>
        </is>
      </c>
    </row>
    <row r="301">
      <c r="A301" t="inlineStr">
        <is>
          <t xml:space="preserve">  - [Đối chiếu Testcase trong Log]:</t>
        </is>
      </c>
    </row>
    <row r="302">
      <c r="A302" t="inlineStr">
        <is>
          <t xml:space="preserve">  - [Đối chiếu テスト計画書兼結果報告書(個別)]: Tìm thấy 1 dòng (14)</t>
        </is>
      </c>
    </row>
    <row r="303">
      <c r="A303" s="2" t="inlineStr">
        <is>
          <t xml:space="preserve">      + Số lần test (Cột K): ✅ Tất cả 1 dòng đều khớp (Lần 6)</t>
        </is>
      </c>
    </row>
    <row r="304">
      <c r="A304" s="2" t="inlineStr">
        <is>
          <t xml:space="preserve">      + Ngày test (Cột I/G): ✅ Khớp ngày (2026/05/18) cho tất cả các dòng có dữ liệu</t>
        </is>
      </c>
    </row>
    <row r="305">
      <c r="A305" t="inlineStr"/>
    </row>
    <row r="306">
      <c r="A306" s="1" t="inlineStr">
        <is>
          <t>[Nhóm Test]: ■7回目正常系・列分割→行変換確認（明細8件）</t>
        </is>
      </c>
    </row>
    <row r="307">
      <c r="A307" t="inlineStr">
        <is>
          <t xml:space="preserve">  - Tổng số dòng log: 53</t>
        </is>
      </c>
    </row>
    <row r="308">
      <c r="A308" s="2" t="inlineStr">
        <is>
          <t xml:space="preserve">  - Trạng thái Sort (行): ✅ Đã sắp xếp tăng dần hợp lệ.</t>
        </is>
      </c>
    </row>
    <row r="309">
      <c r="A309" t="inlineStr">
        <is>
          <t xml:space="preserve">  - Ngày chạy log: 2026/05/18</t>
        </is>
      </c>
    </row>
    <row r="310">
      <c r="A310" t="inlineStr">
        <is>
          <t xml:space="preserve">  - [Ảnh Status Panel]: Tìm thấy Jobnet ID: 'P1J0622@10622'</t>
        </is>
      </c>
    </row>
    <row r="311">
      <c r="A311" t="inlineStr">
        <is>
          <t xml:space="preserve">  - [Ảnh Status Panel]: Tìm thấy Interface ID: 'RFSH0622'</t>
        </is>
      </c>
    </row>
    <row r="312">
      <c r="A312" s="2" t="inlineStr">
        <is>
          <t xml:space="preserve">      ✅ OK: Interface ID 'RFSH0622' có tồn tại trong tên file Excel.</t>
        </is>
      </c>
    </row>
    <row r="313">
      <c r="A313" t="inlineStr">
        <is>
          <t xml:space="preserve">  - [Ảnh Status Panel]: Tìm thấy giờ bắt đầu là 13:13:18</t>
        </is>
      </c>
    </row>
    <row r="314">
      <c r="A314" s="2" t="inlineStr">
        <is>
          <t xml:space="preserve">      ✅ OK: Thời gian log (13:13:18) &gt;= Thời gian ảnh (13:13:18)</t>
        </is>
      </c>
    </row>
    <row r="315">
      <c r="A315" s="2" t="inlineStr">
        <is>
          <t xml:space="preserve">      ✅ OK: Duration Log Main (525ms) &lt; Duration Ảnh (703ms)</t>
        </is>
      </c>
    </row>
    <row r="316">
      <c r="A316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317">
      <c r="A317" s="2" t="inlineStr">
        <is>
          <t xml:space="preserve">      ✅ OK: Jobnet ID 'P1J0622@10622' khớp với dữ liệu trong Log.</t>
        </is>
      </c>
    </row>
    <row r="318">
      <c r="A318" t="inlineStr">
        <is>
          <t xml:space="preserve">  - [Kiểm tra File]: Log text báo có tạo ra file 'RFSH0622_output.tsv'.</t>
        </is>
      </c>
    </row>
    <row r="319">
      <c r="A319" s="2" t="inlineStr">
        <is>
          <t xml:space="preserve">      ✅ OK: Tên file trong ảnh File Explorer (RFSH0622_output.tsv) KHỚP với tên file trong Log text.</t>
        </is>
      </c>
    </row>
    <row r="320">
      <c r="A320" t="inlineStr">
        <is>
          <t xml:space="preserve">  - [Ảnh File Explorer]: Tìm thấy file 'RFSH0622_output.tsv' có Date modified là '2026/05/18 13:13'</t>
        </is>
      </c>
    </row>
    <row r="321">
      <c r="A321" s="2" t="inlineStr">
        <is>
          <t xml:space="preserve">      ✅ OK: Thời gian xuất file 'RFSH0622_output.tsv' (2026/05/18 13:13) KHỚP với log (2026/05/18 13:13).</t>
        </is>
      </c>
    </row>
    <row r="322">
      <c r="A322" t="inlineStr">
        <is>
          <t xml:space="preserve">  - [Đối chiếu Testcase trong Log]:</t>
        </is>
      </c>
    </row>
    <row r="323">
      <c r="A323" t="inlineStr">
        <is>
          <t xml:space="preserve">  - [Đối chiếu テスト計画書兼結果報告書(個別)]: Tìm thấy 1 dòng (13)</t>
        </is>
      </c>
    </row>
    <row r="324">
      <c r="A324" s="2" t="inlineStr">
        <is>
          <t xml:space="preserve">      + Số lần test (Cột K): ✅ Tất cả 1 dòng đều khớp (Lần 7)</t>
        </is>
      </c>
    </row>
    <row r="325">
      <c r="A325" s="2" t="inlineStr">
        <is>
          <t xml:space="preserve">      + Ngày test (Cột I/G): ✅ Khớp ngày (2026/05/18) cho tất cả các dòng có dữ liệu</t>
        </is>
      </c>
    </row>
    <row r="326">
      <c r="A326" t="inlineStr"/>
    </row>
    <row r="327">
      <c r="A327" s="1" t="inlineStr">
        <is>
          <t>[Nhóm Test]: ■8回目正常系・列分割→行変換確認（レコードが複数件あり）</t>
        </is>
      </c>
    </row>
    <row r="328">
      <c r="A328" t="inlineStr">
        <is>
          <t xml:space="preserve">  - Tổng số dòng log: 53</t>
        </is>
      </c>
    </row>
    <row r="329">
      <c r="A329" s="2" t="inlineStr">
        <is>
          <t xml:space="preserve">  - Trạng thái Sort (行): ✅ Đã sắp xếp tăng dần hợp lệ.</t>
        </is>
      </c>
    </row>
    <row r="330">
      <c r="A330" t="inlineStr">
        <is>
          <t xml:space="preserve">  - Ngày chạy log: 2026/05/18</t>
        </is>
      </c>
    </row>
    <row r="331">
      <c r="A331" t="inlineStr">
        <is>
          <t xml:space="preserve">  - [Ảnh Status Panel]: Tìm thấy Jobnet ID: 'P1J0622@10622'</t>
        </is>
      </c>
    </row>
    <row r="332">
      <c r="A332" t="inlineStr">
        <is>
          <t xml:space="preserve">  - [Ảnh Status Panel]: Tìm thấy Interface ID: 'RFSH0622'</t>
        </is>
      </c>
    </row>
    <row r="333">
      <c r="A333" s="2" t="inlineStr">
        <is>
          <t xml:space="preserve">      ✅ OK: Interface ID 'RFSH0622' có tồn tại trong tên file Excel.</t>
        </is>
      </c>
    </row>
    <row r="334">
      <c r="A334" t="inlineStr">
        <is>
          <t xml:space="preserve">  - [Ảnh Status Panel]: Tìm thấy giờ bắt đầu là 13:16:42</t>
        </is>
      </c>
    </row>
    <row r="335">
      <c r="A335" s="2" t="inlineStr">
        <is>
          <t xml:space="preserve">      ✅ OK: Thời gian log (13:16:42) &gt;= Thời gian ảnh (13:16:42)</t>
        </is>
      </c>
    </row>
    <row r="336">
      <c r="A336" s="2" t="inlineStr">
        <is>
          <t xml:space="preserve">      ✅ OK: Duration Log Main (917ms) &lt; Duration Ảnh (1136ms)</t>
        </is>
      </c>
    </row>
    <row r="337">
      <c r="A337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338">
      <c r="A338" s="2" t="inlineStr">
        <is>
          <t xml:space="preserve">      ✅ OK: Jobnet ID 'P1J0622@10622' khớp với dữ liệu trong Log.</t>
        </is>
      </c>
    </row>
    <row r="339">
      <c r="A339" t="inlineStr">
        <is>
          <t xml:space="preserve">  - [Kiểm tra File]: Log text báo có tạo ra file 'RFSH0622_output.tsv'.</t>
        </is>
      </c>
    </row>
    <row r="340">
      <c r="A340" s="2" t="inlineStr">
        <is>
          <t xml:space="preserve">      ✅ OK: Tên file trong ảnh File Explorer (RFSH0622_output.tsv) KHỚP với tên file trong Log text.</t>
        </is>
      </c>
    </row>
    <row r="341">
      <c r="A341" t="inlineStr">
        <is>
          <t xml:space="preserve">  - [Ảnh File Explorer]: Tìm thấy file 'RFSH0622_output.tsv' có Date modified là '2026/05/18 13:16'</t>
        </is>
      </c>
    </row>
    <row r="342">
      <c r="A342" s="2" t="inlineStr">
        <is>
          <t xml:space="preserve">      ✅ OK: Thời gian xuất file 'RFSH0622_output.tsv' (2026/05/18 13:16) KHỚP với log (2026/05/18 13:16).</t>
        </is>
      </c>
    </row>
    <row r="343">
      <c r="A343" t="inlineStr">
        <is>
          <t xml:space="preserve">  - [Đối chiếu Testcase trong Log]:</t>
        </is>
      </c>
    </row>
    <row r="344">
      <c r="A344" t="inlineStr">
        <is>
          <t xml:space="preserve">  - [Đối chiếu テスト計画書兼結果報告書(個別)]: Tìm thấy 1 dòng (15)</t>
        </is>
      </c>
    </row>
    <row r="345">
      <c r="A345" s="2" t="inlineStr">
        <is>
          <t xml:space="preserve">      + Số lần test (Cột K): ✅ Tất cả 1 dòng đều khớp (Lần 8)</t>
        </is>
      </c>
    </row>
    <row r="346">
      <c r="A346" s="2" t="inlineStr">
        <is>
          <t xml:space="preserve">      + Ngày test (Cột I/G): ✅ Khớp ngày (2026/05/18) cho tất cả các dòng có dữ liệu</t>
        </is>
      </c>
    </row>
    <row r="347">
      <c r="A347" t="inlineStr"/>
    </row>
    <row r="348">
      <c r="A348" s="1">
        <f>=============== TỔNG KẾT COVERAGE CHO SHEET エビデンス(共通) ================</f>
        <v/>
      </c>
    </row>
    <row r="349">
      <c r="A349" s="2" t="inlineStr">
        <is>
          <t xml:space="preserve">  - ✅ Nhóm 1 (gồm TC: 1-1-1, 1-2-1, 2-1-1, 2-2-1, 3-1-1, 3-2-1, 4-1-1, 4-2-1, 5-1-1, 5-3-1, 5-4-1, 6-1-1, 7-1-1): Đã có Log Evidence.</t>
        </is>
      </c>
    </row>
    <row r="350">
      <c r="A350" s="2" t="inlineStr">
        <is>
          <t xml:space="preserve">  - ✅ Nhóm 2 (gồm TC: 1-2-2, 2-2-2): Đã có Log Evidence.</t>
        </is>
      </c>
    </row>
    <row r="351">
      <c r="A351" s="2" t="inlineStr">
        <is>
          <t xml:space="preserve">  - ✅ Nhóm 3 (gồm TC: 3-2-2): Đã có Log Evidence.</t>
        </is>
      </c>
    </row>
    <row r="352">
      <c r="A352" s="2" t="inlineStr">
        <is>
          <t xml:space="preserve">  - ✅ Nhóm 4 (gồm TC: 3-2-3): Đã có Log Evidence.</t>
        </is>
      </c>
    </row>
    <row r="353">
      <c r="A353" s="2" t="inlineStr">
        <is>
          <t xml:space="preserve">  - ✅ Nhóm 5 (gồm TC: 4-1-2, 7-1-2): Đã có Log Evidence.</t>
        </is>
      </c>
    </row>
    <row r="354">
      <c r="A354" s="2" t="inlineStr">
        <is>
          <t xml:space="preserve">  - ✅ Nhóm 6 (gồm TC: 4-2-2): Đã có Log Evidence.</t>
        </is>
      </c>
    </row>
    <row r="355">
      <c r="A355" s="2" t="inlineStr">
        <is>
          <t xml:space="preserve">  - ✅ Nhóm 7 (gồm TC: 4-2-3, 5-2-1): Đã có Log Evidence.</t>
        </is>
      </c>
    </row>
    <row r="356">
      <c r="A356" t="inlineStr">
        <is>
          <t xml:space="preserve">  =&gt; TOÀN BỘ CÁC NHÓM TEST TRONG KẾ HOẠCH ĐỀU ĐÃ CÓ EVIDENCE!</t>
        </is>
      </c>
    </row>
    <row r="357">
      <c r="A357" t="inlineStr"/>
    </row>
    <row r="358">
      <c r="A358" t="inlineStr"/>
    </row>
    <row r="359">
      <c r="A359" s="1">
        <f>=============== TỔNG KẾT COVERAGE CHO SHEET エビデンス(個別) ================</f>
        <v/>
      </c>
    </row>
    <row r="360">
      <c r="A360" s="2" t="inlineStr">
        <is>
          <t xml:space="preserve">  - ✅ Nhóm 1 (gồm TC: 1-1-1): Đã có Log Evidence.</t>
        </is>
      </c>
    </row>
    <row r="361">
      <c r="A361" s="2" t="inlineStr">
        <is>
          <t xml:space="preserve">  - ✅ Nhóm 2 (gồm TC: 1-2-1): Đã có Log Evidence.</t>
        </is>
      </c>
    </row>
    <row r="362">
      <c r="A362" s="2" t="inlineStr">
        <is>
          <t xml:space="preserve">  - ✅ Nhóm 3 (gồm TC: 3-1-1, 3-1-2, 3-1-3, 3-1-4, 3-1-5, 3-1-6, 3-2-1, 3-2-2, 3-2-3, 3-2-4, 3-2-5, 3-2-6): Đã có Log Evidence.</t>
        </is>
      </c>
    </row>
    <row r="363">
      <c r="A363" s="2" t="inlineStr">
        <is>
          <t xml:space="preserve">  - ✅ Nhóm 4 (gồm TC: 2-1-1): Đã có Log Evidence.</t>
        </is>
      </c>
    </row>
    <row r="364">
      <c r="A364" s="2" t="inlineStr">
        <is>
          <t xml:space="preserve">  - ✅ Nhóm 5 (gồm TC: 2-1-2): Đã có Log Evidence.</t>
        </is>
      </c>
    </row>
    <row r="365">
      <c r="A365" s="2" t="inlineStr">
        <is>
          <t xml:space="preserve">  - ✅ Nhóm 6 (gồm TC: 2-1-4): Đã có Log Evidence.</t>
        </is>
      </c>
    </row>
    <row r="366">
      <c r="A366" s="2" t="inlineStr">
        <is>
          <t xml:space="preserve">  - ✅ Nhóm 7 (gồm TC: 2-1-3): Đã có Log Evidence.</t>
        </is>
      </c>
    </row>
    <row r="367">
      <c r="A367" s="2" t="inlineStr">
        <is>
          <t xml:space="preserve">  - ✅ Nhóm 8 (gồm TC: 2-1-5): Đã có Log Evidence.</t>
        </is>
      </c>
    </row>
    <row r="368">
      <c r="A368" t="inlineStr">
        <is>
          <t xml:space="preserve">  =&gt; TOÀN BỘ CÁC NHÓM TEST TRONG KẾ HOẠCH ĐỀU ĐÃ CÓ EVIDENCE!</t>
        </is>
      </c>
    </row>
    <row r="369">
      <c r="A369" t="inlineStr"/>
    </row>
    <row r="370">
      <c r="A37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7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" t="inlineStr">
        <is>
          <t>✅ Đã check xong file '単体テスト仕様書兼成績書_E304_RFSH0622.xlsx'. Nhấn Enter để tiếp tục sang file tiếp theo...</t>
        </is>
      </c>
    </row>
    <row r="2">
      <c r="A2" s="1">
        <f>======================== [13/16] ĐANG XỬ LÝ FILE: 単体テスト仕様書兼成績書_E304_RFSH0677.xlsx =========================</f>
        <v/>
      </c>
    </row>
    <row r="3">
      <c r="A3" t="inlineStr">
        <is>
          <t>Đang đọc dữ liệu từ file: 単体テスト仕様書兼成績書_E304_RFSH0677.xlsx ...</t>
        </is>
      </c>
    </row>
    <row r="4">
      <c r="A4" t="inlineStr"/>
    </row>
    <row r="5">
      <c r="A5" s="1">
        <f>=============== TRẠNG THÁI OCR ================</f>
        <v/>
      </c>
    </row>
    <row r="6">
      <c r="A6" s="2" t="inlineStr">
        <is>
          <t>✅ Đã bật (Sẵn sàng đọc ảnh)</t>
        </is>
      </c>
    </row>
    <row r="7">
      <c r="A7" t="inlineStr"/>
    </row>
    <row r="8">
      <c r="A8" s="1">
        <f>=============== KIỂM TRA TRẠNG THÁI MỞ FILE ================</f>
        <v/>
      </c>
    </row>
    <row r="9">
      <c r="A9" s="2" t="inlineStr">
        <is>
          <t>✅ File đang mở ở sheet đầu tiên '表紙 '.</t>
        </is>
      </c>
    </row>
    <row r="10">
      <c r="A10" s="2" t="inlineStr">
        <is>
          <t>✅ Con trỏ chuột đang nằm ở ô 'A1'.</t>
        </is>
      </c>
    </row>
    <row r="11">
      <c r="A11" t="inlineStr"/>
    </row>
    <row r="12">
      <c r="A12" s="1">
        <f>=============== SHEET: エビデンス(共通) ================</f>
        <v/>
      </c>
    </row>
    <row r="13">
      <c r="A13" t="inlineStr">
        <is>
          <t xml:space="preserve">  -&gt; Tìm thấy 44 ảnh trong sheet này.</t>
        </is>
      </c>
    </row>
    <row r="14">
      <c r="A14" s="1">
        <f>=============== SHEET: エビデンス(個別) ================</f>
        <v/>
      </c>
    </row>
    <row r="15">
      <c r="A15" t="inlineStr">
        <is>
          <t xml:space="preserve">  -&gt; Tìm thấy 40 ảnh trong sheet này.</t>
        </is>
      </c>
    </row>
    <row r="16">
      <c r="A16" t="inlineStr"/>
    </row>
    <row r="17">
      <c r="A17" s="1" t="inlineStr">
        <is>
          <t>[GEMINI MANUAL MODE] ♻️ Đã tìm thấy file JSON kết quả cũ tại:</t>
        </is>
      </c>
    </row>
    <row r="18">
      <c r="A18" t="inlineStr">
        <is>
          <t>D:\project\tool\New folder\Gemini_Upload_単体テスト仕様書兼成績書_E304_RFSH0677\gemini_result.json</t>
        </is>
      </c>
    </row>
    <row r="19">
      <c r="A19">
        <f>&gt; Sử dụng luôn kết quả này, bỏ qua bước xuất ảnh PDF và hỏi lại Gemini.</f>
        <v/>
      </c>
    </row>
    <row r="20">
      <c r="A20" t="inlineStr"/>
    </row>
    <row r="21">
      <c r="A21" s="1">
        <f>=============== ĐANG PHÂN TÍCH KẾT QUẢ SHEET: エビデンス(共通) ================</f>
        <v/>
      </c>
    </row>
    <row r="22">
      <c r="A22" t="inlineStr"/>
    </row>
    <row r="23">
      <c r="A23" s="1" t="inlineStr">
        <is>
          <t>[Kiểm tra Cấu hình Flow - Trước khi Test]:</t>
        </is>
      </c>
    </row>
    <row r="24">
      <c r="A24" s="2" t="inlineStr">
        <is>
          <t xml:space="preserve">  - [Ảnh Flow]: ✅ Tìm thấy P_JobnetID: 'P1J0677@10677'</t>
        </is>
      </c>
    </row>
    <row r="25">
      <c r="A25" s="2" t="inlineStr">
        <is>
          <t xml:space="preserve">      ✅ OK: P_JobnetID 'P1J0677@10677' có chứa mã '0677' của file.</t>
        </is>
      </c>
    </row>
    <row r="26">
      <c r="A26" s="2" t="inlineStr">
        <is>
          <t xml:space="preserve">  - [Ảnh Flow]: ✅ Tìm thấy P_InterfaceID: 'RFSH0677'</t>
        </is>
      </c>
    </row>
    <row r="27">
      <c r="A27" s="2" t="inlineStr">
        <is>
          <t xml:space="preserve">      ✅ OK: P_InterfaceID 'RFSH0677' có chứa mã '0677' của file.</t>
        </is>
      </c>
    </row>
    <row r="28">
      <c r="A28" t="inlineStr"/>
    </row>
    <row r="29">
      <c r="A29" s="1" t="inlineStr">
        <is>
          <t>[Nhóm Test]: ■1回目 正常系・1000件未満・ファイル送信前結合有無=false</t>
        </is>
      </c>
    </row>
    <row r="30">
      <c r="A30" t="inlineStr">
        <is>
          <t xml:space="preserve">  - Tổng số dòng log: 53</t>
        </is>
      </c>
    </row>
    <row r="31">
      <c r="A31" s="2" t="inlineStr">
        <is>
          <t xml:space="preserve">  - Trạng thái Sort (行): ✅ Đã sắp xếp tăng dần hợp lệ.</t>
        </is>
      </c>
    </row>
    <row r="32">
      <c r="A32" t="inlineStr">
        <is>
          <t xml:space="preserve">  - Ngày chạy log: 2026/05/18</t>
        </is>
      </c>
    </row>
    <row r="33">
      <c r="A33" t="inlineStr">
        <is>
          <t xml:space="preserve">  - [Ảnh Status Panel]: Tìm thấy Jobnet ID: 'P1J0677@10677'</t>
        </is>
      </c>
    </row>
    <row r="34">
      <c r="A34" t="inlineStr">
        <is>
          <t xml:space="preserve">  - [Ảnh Status Panel]: Tìm thấy Interface ID: 'RFSH0677'</t>
        </is>
      </c>
    </row>
    <row r="35">
      <c r="A35" s="2" t="inlineStr">
        <is>
          <t xml:space="preserve">      ✅ OK: Interface ID 'RFSH0677' có tồn tại trong tên file Excel.</t>
        </is>
      </c>
    </row>
    <row r="36">
      <c r="A36" t="inlineStr">
        <is>
          <t xml:space="preserve">  - [Ảnh Status Panel]: Tìm thấy giờ bắt đầu là 10:51:58</t>
        </is>
      </c>
    </row>
    <row r="37">
      <c r="A37" s="2" t="inlineStr">
        <is>
          <t xml:space="preserve">      ✅ OK: Thời gian log (10:51:58) &gt;= Thời gian ảnh (10:51:58)</t>
        </is>
      </c>
    </row>
    <row r="38">
      <c r="A38" s="2" t="inlineStr">
        <is>
          <t xml:space="preserve">      ✅ OK: Duration Log Main (378ms) &lt; Duration Ảnh (561ms)</t>
        </is>
      </c>
    </row>
    <row r="39">
      <c r="A39" t="inlineStr">
        <is>
          <t xml:space="preserve">  - [Ảnh Log Viewer]: Tìm thấy thời gian kết thúc trong ảnh log là '10:51:58'</t>
        </is>
      </c>
    </row>
    <row r="40">
      <c r="A40" s="2" t="inlineStr">
        <is>
          <t xml:space="preserve">      ✅ OK: Giờ kết thúc trong ảnh Log (10:51:58) KHỚP với log text (10:51:58).</t>
        </is>
      </c>
    </row>
    <row r="41">
      <c r="A41" s="2" t="inlineStr">
        <is>
          <t xml:space="preserve">      ✅ OK: Giờ ảnh Log (10:51:58) &gt;= Giờ bắt đầu (10:51:58).</t>
        </is>
      </c>
    </row>
    <row r="42">
      <c r="A42" s="2" t="inlineStr">
        <is>
          <t xml:space="preserve">      ✅ OK: Jobnet ID 'P1J0677@10677' khớp với dữ liệu trong Log.</t>
        </is>
      </c>
    </row>
    <row r="43">
      <c r="A43" t="inlineStr">
        <is>
          <t xml:space="preserve">  - [Kiểm tra File]: Log text báo có tạo ra file 'RFSH0677_output.tsv'.</t>
        </is>
      </c>
    </row>
    <row r="44">
      <c r="A44" s="2" t="inlineStr">
        <is>
          <t xml:space="preserve">      ✅ OK: Tên file trong ảnh File Explorer (RFSH0677_output.tsv) KHỚP với tên file trong Log text.</t>
        </is>
      </c>
    </row>
    <row r="45">
      <c r="A45" t="inlineStr">
        <is>
          <t xml:space="preserve">  - [Ảnh File Explorer]: Tìm thấy file 'RFSH0677_output.tsv' có Date modified là '2026/05/18 10:51'</t>
        </is>
      </c>
    </row>
    <row r="46">
      <c r="A46" s="2" t="inlineStr">
        <is>
          <t xml:space="preserve">      ✅ OK: Thời gian xuất file 'RFSH0677_output.tsv' (2026/05/18 10:51) KHỚP với log (2026/05/18 10:51).</t>
        </is>
      </c>
    </row>
    <row r="47">
      <c r="A47" t="inlineStr">
        <is>
          <t xml:space="preserve">  - [Đối chiếu Testcase trong Log]:</t>
        </is>
      </c>
    </row>
    <row r="48">
      <c r="A48" t="inlineStr">
        <is>
          <t xml:space="preserve">  - [Đối chiếu テスト計画書兼結果報告書(共通)]: Tìm thấy 13 dòng (6, 8, 12, 14, 18, 20, 25, 28, 33, 37, 39, 42, 45)</t>
        </is>
      </c>
    </row>
    <row r="49">
      <c r="A49" s="2" t="inlineStr">
        <is>
          <t xml:space="preserve">      + Số lần test (Cột K): ✅ Tất cả 13 dòng đều khớp (Lần 1)</t>
        </is>
      </c>
    </row>
    <row r="50">
      <c r="A50" s="2" t="inlineStr">
        <is>
          <t xml:space="preserve">      + Ngày test (Cột I/G): ✅ Khớp ngày (2026/05/18) cho tất cả các dòng có dữ liệu</t>
        </is>
      </c>
    </row>
    <row r="51">
      <c r="A51" t="inlineStr"/>
    </row>
    <row r="52">
      <c r="A52" s="1" t="inlineStr">
        <is>
          <t>[Nhóm Test]: ■2回目 異常系・起動パラメータ不正</t>
        </is>
      </c>
    </row>
    <row r="53">
      <c r="A53" t="inlineStr">
        <is>
          <t xml:space="preserve">  - Tổng số dòng log: 23</t>
        </is>
      </c>
    </row>
    <row r="54">
      <c r="A54" s="2" t="inlineStr">
        <is>
          <t xml:space="preserve">  - Trạng thái Sort (行): ✅ Đã sắp xếp tăng dần hợp lệ.</t>
        </is>
      </c>
    </row>
    <row r="55">
      <c r="A55" t="inlineStr">
        <is>
          <t xml:space="preserve">  - Ngày chạy log: 2026/05/18</t>
        </is>
      </c>
    </row>
    <row r="56">
      <c r="A56" t="inlineStr">
        <is>
          <t xml:space="preserve">  - [Ảnh Status Panel]: Tìm thấy Jobnet ID: ''</t>
        </is>
      </c>
    </row>
    <row r="57">
      <c r="A57" t="inlineStr">
        <is>
          <t xml:space="preserve">  - [Ảnh Status Panel]: Tìm thấy Interface ID: ''</t>
        </is>
      </c>
    </row>
    <row r="58">
      <c r="A58" s="3" t="inlineStr">
        <is>
          <t xml:space="preserve">      ⚠️ Interface ID là chuỗi rỗng nên bỏ qua kiểm tra với tên file.</t>
        </is>
      </c>
    </row>
    <row r="59">
      <c r="A59" t="inlineStr">
        <is>
          <t xml:space="preserve">  - [Ảnh Status Panel]: Tìm thấy giờ bắt đầu là 11:00:22</t>
        </is>
      </c>
    </row>
    <row r="60">
      <c r="A60" s="2" t="inlineStr">
        <is>
          <t xml:space="preserve">      ✅ OK: Thời gian log (11:00:22) &gt;= Thời gian ảnh (11:00:22)</t>
        </is>
      </c>
    </row>
    <row r="61">
      <c r="A61" s="2" t="inlineStr">
        <is>
          <t xml:space="preserve">      ✅ OK: Duration Log Main (11ms) &lt; Duration Ảnh (209ms)</t>
        </is>
      </c>
    </row>
    <row r="62">
      <c r="A62" t="inlineStr">
        <is>
          <t xml:space="preserve">  - [Ảnh Log Viewer]: Tìm thấy thời gian kết thúc trong ảnh log là '11:00:22'</t>
        </is>
      </c>
    </row>
    <row r="63">
      <c r="A63" s="2" t="inlineStr">
        <is>
          <t xml:space="preserve">      ✅ OK: Giờ kết thúc trong ảnh Log (11:00:22) KHỚP với log text (11:00:22).</t>
        </is>
      </c>
    </row>
    <row r="64">
      <c r="A64" s="2" t="inlineStr">
        <is>
          <t xml:space="preserve">      ✅ OK: Giờ ảnh Log (11:00:22) &gt;= Giờ bắt đầu (11:00:22).</t>
        </is>
      </c>
    </row>
    <row r="65">
      <c r="A65" s="2" t="inlineStr">
        <is>
          <t xml:space="preserve">      ✅ OK: Jobnet ID '' khớp với dữ liệu trong Log.</t>
        </is>
      </c>
    </row>
    <row r="66">
      <c r="A66" t="inlineStr">
        <is>
          <t xml:space="preserve">  - [Đối chiếu Testcase trong Log]:</t>
        </is>
      </c>
    </row>
    <row r="67">
      <c r="A67" t="inlineStr">
        <is>
          <t xml:space="preserve">  - [Đối chiếu テスト計画書兼結果報告書(共通)]: Tìm thấy 2 dòng (9, 15)</t>
        </is>
      </c>
    </row>
    <row r="68">
      <c r="A68" s="2" t="inlineStr">
        <is>
          <t xml:space="preserve">      + Số lần test (Cột K): ✅ Tất cả 2 dòng đều khớp (Lần 2)</t>
        </is>
      </c>
    </row>
    <row r="69">
      <c r="A69" s="2" t="inlineStr">
        <is>
          <t xml:space="preserve">      + Ngày test (Cột I/G): ✅ Khớp ngày (2026/05/18) cho tất cả các dòng có dữ liệu</t>
        </is>
      </c>
    </row>
    <row r="70">
      <c r="A70" t="inlineStr"/>
    </row>
    <row r="71">
      <c r="A71" s="1" t="inlineStr">
        <is>
          <t>[Nhóm Test]: ■3回目 正常系・ファイル送信前結合有無=true</t>
        </is>
      </c>
    </row>
    <row r="72">
      <c r="A72" t="inlineStr">
        <is>
          <t xml:space="preserve">  - Tổng số dòng log: 65</t>
        </is>
      </c>
    </row>
    <row r="73">
      <c r="A73" s="2" t="inlineStr">
        <is>
          <t xml:space="preserve">  - Trạng thái Sort (行): ✅ Đã sắp xếp tăng dần hợp lệ.</t>
        </is>
      </c>
    </row>
    <row r="74">
      <c r="A74" t="inlineStr">
        <is>
          <t xml:space="preserve">  - Ngày chạy log: 2026/05/18</t>
        </is>
      </c>
    </row>
    <row r="75">
      <c r="A75" t="inlineStr">
        <is>
          <t xml:space="preserve">  - [Ảnh Status Panel]: Tìm thấy Jobnet ID: 'P1J0677@10677'</t>
        </is>
      </c>
    </row>
    <row r="76">
      <c r="A76" t="inlineStr">
        <is>
          <t xml:space="preserve">  - [Ảnh Status Panel]: Tìm thấy Interface ID: 'RFSH0677'</t>
        </is>
      </c>
    </row>
    <row r="77">
      <c r="A77" s="2" t="inlineStr">
        <is>
          <t xml:space="preserve">      ✅ OK: Interface ID 'RFSH0677' có tồn tại trong tên file Excel.</t>
        </is>
      </c>
    </row>
    <row r="78">
      <c r="A78" t="inlineStr">
        <is>
          <t xml:space="preserve">  - [Ảnh Status Panel]: Tìm thấy giờ bắt đầu là 11:06:26</t>
        </is>
      </c>
    </row>
    <row r="79">
      <c r="A79" s="2" t="inlineStr">
        <is>
          <t xml:space="preserve">      ✅ OK: Thời gian log (11:06:26) &gt;= Thời gian ảnh (11:06:26)</t>
        </is>
      </c>
    </row>
    <row r="80">
      <c r="A80" s="2" t="inlineStr">
        <is>
          <t xml:space="preserve">      ✅ OK: Duration Log Main (314ms) &lt; Duration Ảnh (517ms)</t>
        </is>
      </c>
    </row>
    <row r="81">
      <c r="A81" t="inlineStr">
        <is>
          <t xml:space="preserve">  - [Ảnh Log Viewer]: Tìm thấy thời gian kết thúc trong ảnh log là '11:06:26'</t>
        </is>
      </c>
    </row>
    <row r="82">
      <c r="A82" s="2" t="inlineStr">
        <is>
          <t xml:space="preserve">      ✅ OK: Giờ kết thúc trong ảnh Log (11:06:26) KHỚP với log text (11:06:26).</t>
        </is>
      </c>
    </row>
    <row r="83">
      <c r="A83" s="2" t="inlineStr">
        <is>
          <t xml:space="preserve">      ✅ OK: Giờ ảnh Log (11:06:26) &gt;= Giờ bắt đầu (11:06:26).</t>
        </is>
      </c>
    </row>
    <row r="84">
      <c r="A84" s="2" t="inlineStr">
        <is>
          <t xml:space="preserve">      ✅ OK: Jobnet ID 'P1J0677@10677' khớp với dữ liệu trong Log.</t>
        </is>
      </c>
    </row>
    <row r="85">
      <c r="A85" t="inlineStr">
        <is>
          <t xml:space="preserve">  - [Kiểm tra File]: Log text báo có tạo ra file 'RFSH0677_output.tsv'.</t>
        </is>
      </c>
    </row>
    <row r="86">
      <c r="A86" s="2" t="inlineStr">
        <is>
          <t xml:space="preserve">      ✅ OK: Tên file trong ảnh File Explorer (RFSH0677_output.tsv) KHỚP với tên file trong Log text.</t>
        </is>
      </c>
    </row>
    <row r="87">
      <c r="A87" t="inlineStr">
        <is>
          <t xml:space="preserve">  - [Ảnh File Explorer]: Tìm thấy file 'RFSH0677_output.tsv' có Date modified là '2026/05/18 11:06'</t>
        </is>
      </c>
    </row>
    <row r="88">
      <c r="A88" s="2" t="inlineStr">
        <is>
          <t xml:space="preserve">      ✅ OK: Thời gian xuất file 'RFSH0677_output.tsv' (2026/05/18 11:06) KHỚP với log (2026/05/18 11:06).</t>
        </is>
      </c>
    </row>
    <row r="89">
      <c r="A89" t="inlineStr">
        <is>
          <t xml:space="preserve">  - [Đối chiếu Testcase trong Log]:</t>
        </is>
      </c>
    </row>
    <row r="90">
      <c r="A90" t="inlineStr">
        <is>
          <t xml:space="preserve">  - [Đối chiếu テスト計画書兼結果報告書(共通)]: Tìm thấy 1 dòng (21)</t>
        </is>
      </c>
    </row>
    <row r="91">
      <c r="A91" s="2" t="inlineStr">
        <is>
          <t xml:space="preserve">      + Số lần test (Cột K): ✅ Tất cả 1 dòng đều khớp (Lần 3)</t>
        </is>
      </c>
    </row>
    <row r="92">
      <c r="A92" s="2" t="inlineStr">
        <is>
          <t xml:space="preserve">      + Ngày test (Cột I/G): ✅ Khớp ngày (2026/05/18) cho tất cả các dòng có dữ liệu</t>
        </is>
      </c>
    </row>
    <row r="93">
      <c r="A93" t="inlineStr"/>
    </row>
    <row r="94">
      <c r="A94" s="1" t="inlineStr">
        <is>
          <t>[Nhóm Test]: ■4回目 異常系・すでにファイルが存在する場合</t>
        </is>
      </c>
    </row>
    <row r="95">
      <c r="A95" t="inlineStr">
        <is>
          <t xml:space="preserve">  - Tổng số dòng log: 55</t>
        </is>
      </c>
    </row>
    <row r="96">
      <c r="A96" s="2" t="inlineStr">
        <is>
          <t xml:space="preserve">  - Trạng thái Sort (行): ✅ Đã sắp xếp tăng dần hợp lệ.</t>
        </is>
      </c>
    </row>
    <row r="97">
      <c r="A97" t="inlineStr">
        <is>
          <t xml:space="preserve">  - Ngày chạy log: 2026/05/18</t>
        </is>
      </c>
    </row>
    <row r="98">
      <c r="A98" t="inlineStr">
        <is>
          <t xml:space="preserve">  - [Ảnh Status Panel]: Tìm thấy Jobnet ID: 'P1J0677@10677'</t>
        </is>
      </c>
    </row>
    <row r="99">
      <c r="A99" t="inlineStr">
        <is>
          <t xml:space="preserve">  - [Ảnh Status Panel]: Tìm thấy Interface ID: 'RFSH0677'</t>
        </is>
      </c>
    </row>
    <row r="100">
      <c r="A100" s="2" t="inlineStr">
        <is>
          <t xml:space="preserve">      ✅ OK: Interface ID 'RFSH0677' có tồn tại trong tên file Excel.</t>
        </is>
      </c>
    </row>
    <row r="101">
      <c r="A101" t="inlineStr">
        <is>
          <t xml:space="preserve">  - [Ảnh Status Panel]: Tìm thấy giờ bắt đầu là 11:13:26</t>
        </is>
      </c>
    </row>
    <row r="102">
      <c r="A102" s="2" t="inlineStr">
        <is>
          <t xml:space="preserve">      ✅ OK: Thời gian log (11:13:26) &gt;= Thời gian ảnh (11:13:26)</t>
        </is>
      </c>
    </row>
    <row r="103">
      <c r="A103" s="2" t="inlineStr">
        <is>
          <t xml:space="preserve">      ✅ OK: Duration Log Main (370ms) &lt; Duration Ảnh (578ms)</t>
        </is>
      </c>
    </row>
    <row r="104">
      <c r="A104" t="inlineStr">
        <is>
          <t xml:space="preserve">  - [Ảnh Log Viewer]: Tìm thấy thời gian kết thúc trong ảnh log là '11:13:26'</t>
        </is>
      </c>
    </row>
    <row r="105">
      <c r="A105" s="2" t="inlineStr">
        <is>
          <t xml:space="preserve">      ✅ OK: Giờ kết thúc trong ảnh Log (11:13:26) KHỚP với log text (11:13:26).</t>
        </is>
      </c>
    </row>
    <row r="106">
      <c r="A106" s="2" t="inlineStr">
        <is>
          <t xml:space="preserve">      ✅ OK: Giờ ảnh Log (11:13:26) &gt;= Giờ bắt đầu (11:13:26).</t>
        </is>
      </c>
    </row>
    <row r="107">
      <c r="A107" s="2" t="inlineStr">
        <is>
          <t xml:space="preserve">      ✅ OK: Jobnet ID 'P1J0677@10677' khớp với dữ liệu trong Log.</t>
        </is>
      </c>
    </row>
    <row r="108">
      <c r="A108" t="inlineStr">
        <is>
          <t xml:space="preserve">  - [Đối chiếu Testcase trong Log]:</t>
        </is>
      </c>
    </row>
    <row r="109">
      <c r="A109" t="inlineStr">
        <is>
          <t xml:space="preserve">  - [Đối chiếu テスト計画書兼結果報告書(共通)]: Tìm thấy 1 dòng (22)</t>
        </is>
      </c>
    </row>
    <row r="110">
      <c r="A110" s="2" t="inlineStr">
        <is>
          <t xml:space="preserve">      + Số lần test (Cột K): ✅ Tất cả 1 dòng đều khớp (Lần 4)</t>
        </is>
      </c>
    </row>
    <row r="111">
      <c r="A111" s="2" t="inlineStr">
        <is>
          <t xml:space="preserve">      + Ngày test (Cột I/G): ✅ Khớp ngày (2026/05/18) cho tất cả các dòng có dữ liệu</t>
        </is>
      </c>
    </row>
    <row r="112">
      <c r="A112" t="inlineStr"/>
    </row>
    <row r="113">
      <c r="A113" s="1" t="inlineStr">
        <is>
          <t>[Nhóm Test]: ■5回目 正常系・0byteファイル</t>
        </is>
      </c>
    </row>
    <row r="114">
      <c r="A114" t="inlineStr">
        <is>
          <t xml:space="preserve">  - Tổng số dòng log: 61</t>
        </is>
      </c>
    </row>
    <row r="115">
      <c r="A115" s="2" t="inlineStr">
        <is>
          <t xml:space="preserve">  - Trạng thái Sort (行): ✅ Đã sắp xếp tăng dần hợp lệ.</t>
        </is>
      </c>
    </row>
    <row r="116">
      <c r="A116" t="inlineStr">
        <is>
          <t xml:space="preserve">  - Ngày chạy log: 2026/05/18</t>
        </is>
      </c>
    </row>
    <row r="117">
      <c r="A117" t="inlineStr">
        <is>
          <t xml:space="preserve">  - [Ảnh Status Panel]: Tìm thấy Jobnet ID: 'P1J0677@10677'</t>
        </is>
      </c>
    </row>
    <row r="118">
      <c r="A118" t="inlineStr">
        <is>
          <t xml:space="preserve">  - [Ảnh Status Panel]: Tìm thấy Interface ID: 'RFSH0677'</t>
        </is>
      </c>
    </row>
    <row r="119">
      <c r="A119" s="2" t="inlineStr">
        <is>
          <t xml:space="preserve">      ✅ OK: Interface ID 'RFSH0677' có tồn tại trong tên file Excel.</t>
        </is>
      </c>
    </row>
    <row r="120">
      <c r="A120" t="inlineStr">
        <is>
          <t xml:space="preserve">  - [Ảnh Status Panel]: Tìm thấy giờ bắt đầu là 11:18:14</t>
        </is>
      </c>
    </row>
    <row r="121">
      <c r="A121" s="2" t="inlineStr">
        <is>
          <t xml:space="preserve">      ✅ OK: Thời gian log (11:18:14) &gt;= Thời gian ảnh (11:18:14)</t>
        </is>
      </c>
    </row>
    <row r="122">
      <c r="A122" s="2" t="inlineStr">
        <is>
          <t xml:space="preserve">      ✅ OK: Duration Log Main (199ms) &lt; Duration Ảnh (390ms)</t>
        </is>
      </c>
    </row>
    <row r="123">
      <c r="A123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24">
      <c r="A124" s="2" t="inlineStr">
        <is>
          <t xml:space="preserve">      ✅ OK: Jobnet ID 'P1J0677@10677' khớp với dữ liệu trong Log.</t>
        </is>
      </c>
    </row>
    <row r="125">
      <c r="A125" t="inlineStr">
        <is>
          <t xml:space="preserve">  - [Kiểm tra File]: Log text báo có tạo ra file 'RFSH0677_output.tsv'.</t>
        </is>
      </c>
    </row>
    <row r="126">
      <c r="A126" s="2" t="inlineStr">
        <is>
          <t xml:space="preserve">      ✅ OK: Tên file trong ảnh File Explorer (RFSH0677_output.tsv) KHỚP với tên file trong Log text.</t>
        </is>
      </c>
    </row>
    <row r="127">
      <c r="A127" t="inlineStr">
        <is>
          <t xml:space="preserve">  - [Ảnh File Explorer]: Tìm thấy file 'RFSH0677_output.tsv' có Date modified là '2026/05/18 11:18'</t>
        </is>
      </c>
    </row>
    <row r="128">
      <c r="A128" s="2" t="inlineStr">
        <is>
          <t xml:space="preserve">      ✅ OK: Thời gian xuất file 'RFSH0677_output.tsv' (2026/05/18 11:18) KHỚP với log (2026/05/18 11:18).</t>
        </is>
      </c>
    </row>
    <row r="129">
      <c r="A129" t="inlineStr">
        <is>
          <t xml:space="preserve">  - [Đối chiếu Testcase trong Log]:</t>
        </is>
      </c>
    </row>
    <row r="130">
      <c r="A130" t="inlineStr">
        <is>
          <t xml:space="preserve">  - [Đối chiếu テスト計画書兼結果報告書(共通)]: Tìm thấy 2 dòng (26, 46)</t>
        </is>
      </c>
    </row>
    <row r="131">
      <c r="A131" s="2" t="inlineStr">
        <is>
          <t xml:space="preserve">      + Số lần test (Cột K): ✅ Tất cả 2 dòng đều khớp (Lần 5)</t>
        </is>
      </c>
    </row>
    <row r="132">
      <c r="A132" s="2" t="inlineStr">
        <is>
          <t xml:space="preserve">      + Ngày test (Cột I/G): ✅ Khớp ngày (2026/05/18) cho tất cả các dòng có dữ liệu</t>
        </is>
      </c>
    </row>
    <row r="133">
      <c r="A133" t="inlineStr"/>
    </row>
    <row r="134">
      <c r="A134" s="1" t="inlineStr">
        <is>
          <t>[Nhóm Test]: ■6回目 正常系・データ行1000行</t>
        </is>
      </c>
    </row>
    <row r="135">
      <c r="A135" t="inlineStr">
        <is>
          <t xml:space="preserve">  - Tổng số dòng log: 65</t>
        </is>
      </c>
    </row>
    <row r="136">
      <c r="A136" s="2" t="inlineStr">
        <is>
          <t xml:space="preserve">  - Trạng thái Sort (行): ✅ Đã sắp xếp tăng dần hợp lệ.</t>
        </is>
      </c>
    </row>
    <row r="137">
      <c r="A137" t="inlineStr">
        <is>
          <t xml:space="preserve">  - Ngày chạy log: 2026/05/18</t>
        </is>
      </c>
    </row>
    <row r="138">
      <c r="A138" t="inlineStr">
        <is>
          <t xml:space="preserve">  - [Ảnh Status Panel]: Tìm thấy Jobnet ID: 'P1J0677@10677'</t>
        </is>
      </c>
    </row>
    <row r="139">
      <c r="A139" t="inlineStr">
        <is>
          <t xml:space="preserve">  - [Ảnh Status Panel]: Tìm thấy Interface ID: 'RFSH0677'</t>
        </is>
      </c>
    </row>
    <row r="140">
      <c r="A140" s="2" t="inlineStr">
        <is>
          <t xml:space="preserve">      ✅ OK: Interface ID 'RFSH0677' có tồn tại trong tên file Excel.</t>
        </is>
      </c>
    </row>
    <row r="141">
      <c r="A141" t="inlineStr">
        <is>
          <t xml:space="preserve">  - [Ảnh Status Panel]: Tìm thấy giờ bắt đầu là 11:21:32</t>
        </is>
      </c>
    </row>
    <row r="142">
      <c r="A142" s="2" t="inlineStr">
        <is>
          <t xml:space="preserve">      ✅ OK: Thời gian log (11:21:32) &gt;= Thời gian ảnh (11:21:32)</t>
        </is>
      </c>
    </row>
    <row r="143">
      <c r="A143" s="2" t="inlineStr">
        <is>
          <t xml:space="preserve">      ✅ OK: Duration Log Main (824ms) &lt; Duration Ảnh (1017ms)</t>
        </is>
      </c>
    </row>
    <row r="144">
      <c r="A144" t="inlineStr">
        <is>
          <t xml:space="preserve">  - [Ảnh Log Viewer]: Tìm thấy thời gian kết thúc trong ảnh log là '11:21:33'</t>
        </is>
      </c>
    </row>
    <row r="145">
      <c r="A145" s="2" t="inlineStr">
        <is>
          <t xml:space="preserve">      ✅ OK: Giờ kết thúc trong ảnh Log (11:21:33) KHỚP với log text (11:21:33).</t>
        </is>
      </c>
    </row>
    <row r="146">
      <c r="A146" s="2" t="inlineStr">
        <is>
          <t xml:space="preserve">      ✅ OK: Giờ ảnh Log (11:21:33) &gt;= Giờ bắt đầu (11:21:32).</t>
        </is>
      </c>
    </row>
    <row r="147">
      <c r="A147" s="2" t="inlineStr">
        <is>
          <t xml:space="preserve">      ✅ OK: Jobnet ID 'P1J0677@10677' khớp với dữ liệu trong Log.</t>
        </is>
      </c>
    </row>
    <row r="148">
      <c r="A148" t="inlineStr">
        <is>
          <t xml:space="preserve">  - [Kiểm tra File]: Log text báo có tạo ra file 'RFSH0677_output.tsv'.</t>
        </is>
      </c>
    </row>
    <row r="149">
      <c r="A149" s="2" t="inlineStr">
        <is>
          <t xml:space="preserve">      ✅ OK: Tên file trong ảnh File Explorer (RFSH0677_output.tsv) KHỚP với tên file trong Log text.</t>
        </is>
      </c>
    </row>
    <row r="150">
      <c r="A150" t="inlineStr">
        <is>
          <t xml:space="preserve">  - [Ảnh File Explorer]: Tìm thấy file 'RFSH0677_output.tsv' có Date modified là '2026/05/18 11:21'</t>
        </is>
      </c>
    </row>
    <row r="151">
      <c r="A151" s="2" t="inlineStr">
        <is>
          <t xml:space="preserve">      ✅ OK: Thời gian xuất file 'RFSH0677_output.tsv' (2026/05/18 11:21) KHỚP với log (2026/05/18 11:21).</t>
        </is>
      </c>
    </row>
    <row r="152">
      <c r="A152" t="inlineStr">
        <is>
          <t xml:space="preserve">  - [Đối chiếu Testcase trong Log]:</t>
        </is>
      </c>
    </row>
    <row r="153">
      <c r="A153" t="inlineStr">
        <is>
          <t xml:space="preserve">  - [Đối chiếu テスト計画書兼結果報告書(共通)]: Tìm thấy 1 dòng (29)</t>
        </is>
      </c>
    </row>
    <row r="154">
      <c r="A154" s="2" t="inlineStr">
        <is>
          <t xml:space="preserve">      + Số lần test (Cột K): ✅ Tất cả 1 dòng đều khớp (Lần 6)</t>
        </is>
      </c>
    </row>
    <row r="155">
      <c r="A155" s="2" t="inlineStr">
        <is>
          <t xml:space="preserve">      + Ngày test (Cột I/G): ✅ Khớp ngày (2026/05/18) cho tất cả các dòng có dữ liệu</t>
        </is>
      </c>
    </row>
    <row r="156">
      <c r="A156" t="inlineStr"/>
    </row>
    <row r="157">
      <c r="A157" s="1" t="inlineStr">
        <is>
          <t>[Nhóm Test]: ■7回目 正常系・データ行1000行以上</t>
        </is>
      </c>
    </row>
    <row r="158">
      <c r="A158" t="inlineStr">
        <is>
          <t xml:space="preserve">  - Tổng số dòng log: 77</t>
        </is>
      </c>
    </row>
    <row r="159">
      <c r="A159" s="2" t="inlineStr">
        <is>
          <t xml:space="preserve">  - Trạng thái Sort (行): ✅ Đã sắp xếp tăng dần hợp lệ.</t>
        </is>
      </c>
    </row>
    <row r="160">
      <c r="A160" t="inlineStr">
        <is>
          <t xml:space="preserve">  - Ngày chạy log: 2026/05/18</t>
        </is>
      </c>
    </row>
    <row r="161">
      <c r="A161" t="inlineStr">
        <is>
          <t xml:space="preserve">  - [Ảnh Status Panel]: Tìm thấy Jobnet ID: 'P1J0677@10677'</t>
        </is>
      </c>
    </row>
    <row r="162">
      <c r="A162" t="inlineStr">
        <is>
          <t xml:space="preserve">  - [Ảnh Status Panel]: Tìm thấy Interface ID: 'RFSH0677'</t>
        </is>
      </c>
    </row>
    <row r="163">
      <c r="A163" s="2" t="inlineStr">
        <is>
          <t xml:space="preserve">      ✅ OK: Interface ID 'RFSH0677' có tồn tại trong tên file Excel.</t>
        </is>
      </c>
    </row>
    <row r="164">
      <c r="A164" t="inlineStr">
        <is>
          <t xml:space="preserve">  - [Ảnh Status Panel]: Tìm thấy giờ bắt đầu là 11:27:02</t>
        </is>
      </c>
    </row>
    <row r="165">
      <c r="A165" s="2" t="inlineStr">
        <is>
          <t xml:space="preserve">      ✅ OK: Thời gian log (11:27:02) &gt;= Thời gian ảnh (11:27:02)</t>
        </is>
      </c>
    </row>
    <row r="166">
      <c r="A166" s="2" t="inlineStr">
        <is>
          <t xml:space="preserve">      ✅ OK: Duration Log Main (644ms) &lt; Duration Ảnh (844ms)</t>
        </is>
      </c>
    </row>
    <row r="167">
      <c r="A167" t="inlineStr">
        <is>
          <t xml:space="preserve">  - [Ảnh Log Viewer]: Tìm thấy thời gian kết thúc trong ảnh log là '11:27:03'</t>
        </is>
      </c>
    </row>
    <row r="168">
      <c r="A168" s="2" t="inlineStr">
        <is>
          <t xml:space="preserve">      ✅ OK: Giờ kết thúc trong ảnh Log (11:27:03) KHỚP với log text (11:27:03).</t>
        </is>
      </c>
    </row>
    <row r="169">
      <c r="A169" s="2" t="inlineStr">
        <is>
          <t xml:space="preserve">      ✅ OK: Giờ ảnh Log (11:27:03) &gt;= Giờ bắt đầu (11:27:02).</t>
        </is>
      </c>
    </row>
    <row r="170">
      <c r="A170" s="2" t="inlineStr">
        <is>
          <t xml:space="preserve">      ✅ OK: Jobnet ID 'P1J0677@10677' khớp với dữ liệu trong Log.</t>
        </is>
      </c>
    </row>
    <row r="171">
      <c r="A171" t="inlineStr">
        <is>
          <t xml:space="preserve">  - [Kiểm tra File]: Log text báo có tạo ra file 'RFSH0677_output.tsv'.</t>
        </is>
      </c>
    </row>
    <row r="172">
      <c r="A172" s="2" t="inlineStr">
        <is>
          <t xml:space="preserve">      ✅ OK: Tên file trong ảnh File Explorer (RFSH0677_output.tsv) KHỚP với tên file trong Log text.</t>
        </is>
      </c>
    </row>
    <row r="173">
      <c r="A173" t="inlineStr">
        <is>
          <t xml:space="preserve">  - [Ảnh File Explorer]: Tìm thấy file 'RFSH0677_output.tsv' có Date modified là '2026/05/18 11:27'</t>
        </is>
      </c>
    </row>
    <row r="174">
      <c r="A174" s="2" t="inlineStr">
        <is>
          <t xml:space="preserve">      ✅ OK: Thời gian xuất file 'RFSH0677_output.tsv' (2026/05/18 11:27) KHỚP với log (2026/05/18 11:27).</t>
        </is>
      </c>
    </row>
    <row r="175">
      <c r="A175" t="inlineStr">
        <is>
          <t xml:space="preserve">  - [Đối chiếu Testcase trong Log]:</t>
        </is>
      </c>
    </row>
    <row r="176">
      <c r="A176" t="inlineStr">
        <is>
          <t xml:space="preserve">  - [Đối chiếu テスト計画書兼結果報告書(共通)]: Tìm thấy 2 dòng (30, 35)</t>
        </is>
      </c>
    </row>
    <row r="177">
      <c r="A177" s="2" t="inlineStr">
        <is>
          <t xml:space="preserve">      + Số lần test (Cột K): ✅ Tất cả 2 dòng đều khớp (Lần 7)</t>
        </is>
      </c>
    </row>
    <row r="178">
      <c r="A178" s="2" t="inlineStr">
        <is>
          <t xml:space="preserve">      + Ngày test (Cột I/G): ✅ Khớp ngày (2026/05/18) cho tất cả các dòng có dữ liệu</t>
        </is>
      </c>
    </row>
    <row r="179">
      <c r="A179" t="inlineStr"/>
    </row>
    <row r="180">
      <c r="A180" s="1">
        <f>=============== ĐANG PHÂN TÍCH KẾT QUẢ SHEET: エビデンス(個別) ================</f>
        <v/>
      </c>
    </row>
    <row r="181">
      <c r="A181" t="inlineStr"/>
    </row>
    <row r="182">
      <c r="A182" s="1" t="inlineStr">
        <is>
          <t>[Nhóm Test]: ■1回目 正常系・0byteファイル</t>
        </is>
      </c>
    </row>
    <row r="183">
      <c r="A183" t="inlineStr">
        <is>
          <t xml:space="preserve">  - Tổng số dòng log: 49</t>
        </is>
      </c>
    </row>
    <row r="184">
      <c r="A184" s="2" t="inlineStr">
        <is>
          <t xml:space="preserve">  - Trạng thái Sort (行): ✅ Đã sắp xếp tăng dần hợp lệ.</t>
        </is>
      </c>
    </row>
    <row r="185">
      <c r="A185" t="inlineStr">
        <is>
          <t xml:space="preserve">  - Ngày chạy log: 2026/05/18</t>
        </is>
      </c>
    </row>
    <row r="186">
      <c r="A186" t="inlineStr">
        <is>
          <t xml:space="preserve">  - [Ảnh Status Panel]: Tìm thấy Jobnet ID: 'P1J0677@10677'</t>
        </is>
      </c>
    </row>
    <row r="187">
      <c r="A187" t="inlineStr">
        <is>
          <t xml:space="preserve">  - [Ảnh Status Panel]: Tìm thấy Interface ID: 'RFSH0677'</t>
        </is>
      </c>
    </row>
    <row r="188">
      <c r="A188" s="2" t="inlineStr">
        <is>
          <t xml:space="preserve">      ✅ OK: Interface ID 'RFSH0677' có tồn tại trong tên file Excel.</t>
        </is>
      </c>
    </row>
    <row r="189">
      <c r="A189" t="inlineStr">
        <is>
          <t xml:space="preserve">  - [Ảnh Status Panel]: Tìm thấy giờ bắt đầu là 11:38:28</t>
        </is>
      </c>
    </row>
    <row r="190">
      <c r="A190" s="2" t="inlineStr">
        <is>
          <t xml:space="preserve">      ✅ OK: Thời gian log (11:38:28) &gt;= Thời gian ảnh (11:38:28)</t>
        </is>
      </c>
    </row>
    <row r="191">
      <c r="A191" s="2" t="inlineStr">
        <is>
          <t xml:space="preserve">      ✅ OK: Duration Log Main (148ms) &lt; Duration Ảnh (351ms)</t>
        </is>
      </c>
    </row>
    <row r="192">
      <c r="A192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93">
      <c r="A193" s="2" t="inlineStr">
        <is>
          <t xml:space="preserve">      ✅ OK: Jobnet ID 'P1J0677@10677' khớp với dữ liệu trong Log.</t>
        </is>
      </c>
    </row>
    <row r="194">
      <c r="A194" t="inlineStr">
        <is>
          <t xml:space="preserve">  - [Kiểm tra File]: Log text báo có tạo ra file 'RFSH0677_output.tsv'.</t>
        </is>
      </c>
    </row>
    <row r="195">
      <c r="A195" s="2" t="inlineStr">
        <is>
          <t xml:space="preserve">      ✅ OK: Tên file trong ảnh File Explorer (RFSH0677_output.tsv) KHỚP với tên file trong Log text.</t>
        </is>
      </c>
    </row>
    <row r="196">
      <c r="A196" t="inlineStr">
        <is>
          <t xml:space="preserve">  - [Ảnh File Explorer]: Tìm thấy file 'RFSH0677_output.tsv' có Date modified là '2026/05/18 11:38'</t>
        </is>
      </c>
    </row>
    <row r="197">
      <c r="A197" s="2" t="inlineStr">
        <is>
          <t xml:space="preserve">      ✅ OK: Thời gian xuất file 'RFSH0677_output.tsv' (2026/05/18 11:38) KHỚP với log (2026/05/18 11:38).</t>
        </is>
      </c>
    </row>
    <row r="198">
      <c r="A198" t="inlineStr">
        <is>
          <t xml:space="preserve">  - [Đối chiếu Testcase trong Log]:</t>
        </is>
      </c>
    </row>
    <row r="199">
      <c r="A199" t="inlineStr">
        <is>
          <t xml:space="preserve">  - [Đối chiếu テスト計画書兼結果報告書(個別)]: Tìm thấy 1 dòng (6)</t>
        </is>
      </c>
    </row>
    <row r="200">
      <c r="A200" s="2" t="inlineStr">
        <is>
          <t xml:space="preserve">      + Số lần test (Cột K): ✅ Tất cả 1 dòng đều khớp (Lần 1)</t>
        </is>
      </c>
    </row>
    <row r="201">
      <c r="A201" s="2" t="inlineStr">
        <is>
          <t xml:space="preserve">      + Ngày test (Cột I/G): ✅ Khớp ngày (2026/05/18) cho tất cả các dòng có dữ liệu</t>
        </is>
      </c>
    </row>
    <row r="202">
      <c r="A202" t="inlineStr"/>
    </row>
    <row r="203">
      <c r="A203" s="1" t="inlineStr">
        <is>
          <t>[Nhóm Test]: ■2回目 正常系・全項目空データファイル</t>
        </is>
      </c>
    </row>
    <row r="204">
      <c r="A204" t="inlineStr">
        <is>
          <t xml:space="preserve">  - Tổng số dòng log: 53</t>
        </is>
      </c>
    </row>
    <row r="205">
      <c r="A205" s="2" t="inlineStr">
        <is>
          <t xml:space="preserve">  - Trạng thái Sort (行): ✅ Đã sắp xếp tăng dần hợp lệ.</t>
        </is>
      </c>
    </row>
    <row r="206">
      <c r="A206" t="inlineStr">
        <is>
          <t xml:space="preserve">  - Ngày chạy log: 2026/05/18</t>
        </is>
      </c>
    </row>
    <row r="207">
      <c r="A207" t="inlineStr">
        <is>
          <t xml:space="preserve">  - [Ảnh Status Panel]: Tìm thấy Jobnet ID: 'P1J0677@10677'</t>
        </is>
      </c>
    </row>
    <row r="208">
      <c r="A208" t="inlineStr">
        <is>
          <t xml:space="preserve">  - [Ảnh Status Panel]: Tìm thấy Interface ID: 'RFSH0677'</t>
        </is>
      </c>
    </row>
    <row r="209">
      <c r="A209" s="2" t="inlineStr">
        <is>
          <t xml:space="preserve">      ✅ OK: Interface ID 'RFSH0677' có tồn tại trong tên file Excel.</t>
        </is>
      </c>
    </row>
    <row r="210">
      <c r="A210" t="inlineStr">
        <is>
          <t xml:space="preserve">  - [Ảnh Status Panel]: Tìm thấy giờ bắt đầu là 11:48:15</t>
        </is>
      </c>
    </row>
    <row r="211">
      <c r="A211" s="2" t="inlineStr">
        <is>
          <t xml:space="preserve">      ✅ OK: Thời gian log (11:48:15) &gt;= Thời gian ảnh (11:48:15)</t>
        </is>
      </c>
    </row>
    <row r="212">
      <c r="A212" s="2" t="inlineStr">
        <is>
          <t xml:space="preserve">      ✅ OK: Duration Log Main (382ms) &lt; Duration Ảnh (577ms)</t>
        </is>
      </c>
    </row>
    <row r="213">
      <c r="A213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14">
      <c r="A214" s="2" t="inlineStr">
        <is>
          <t xml:space="preserve">      ✅ OK: Jobnet ID 'P1J0677@10677' khớp với dữ liệu trong Log.</t>
        </is>
      </c>
    </row>
    <row r="215">
      <c r="A215" t="inlineStr">
        <is>
          <t xml:space="preserve">  - [Kiểm tra File]: Log text báo có tạo ra file 'RFSH0677_output.tsv'.</t>
        </is>
      </c>
    </row>
    <row r="216">
      <c r="A216" s="2" t="inlineStr">
        <is>
          <t xml:space="preserve">      ✅ OK: Tên file trong ảnh File Explorer (RFSH0677_output.tsv) KHỚP với tên file trong Log text.</t>
        </is>
      </c>
    </row>
    <row r="217">
      <c r="A217" t="inlineStr">
        <is>
          <t xml:space="preserve">  - [Ảnh File Explorer]: Tìm thấy file 'RFSH0677_output.tsv' có Date modified là '2026/05/18 11:48'</t>
        </is>
      </c>
    </row>
    <row r="218">
      <c r="A218" s="2" t="inlineStr">
        <is>
          <t xml:space="preserve">      ✅ OK: Thời gian xuất file 'RFSH0677_output.tsv' (2026/05/18 11:48) KHỚP với log (2026/05/18 11:48).</t>
        </is>
      </c>
    </row>
    <row r="219">
      <c r="A219" t="inlineStr">
        <is>
          <t xml:space="preserve">  - [Đối chiếu Testcase trong Log]:</t>
        </is>
      </c>
    </row>
    <row r="220">
      <c r="A220" t="inlineStr">
        <is>
          <t xml:space="preserve">  - [Đối chiếu テスト計画書兼結果報告書(個別)]: Tìm thấy 1 dòng (8)</t>
        </is>
      </c>
    </row>
    <row r="221">
      <c r="A221" s="2" t="inlineStr">
        <is>
          <t xml:space="preserve">      + Số lần test (Cột K): ✅ Tất cả 1 dòng đều khớp (Lần 2)</t>
        </is>
      </c>
    </row>
    <row r="222">
      <c r="A222" s="2" t="inlineStr">
        <is>
          <t xml:space="preserve">      + Ngày test (Cột I/G): ✅ Khớp ngày (2026/05/18) cho tất cả các dòng có dữ liệu</t>
        </is>
      </c>
    </row>
    <row r="223">
      <c r="A223" t="inlineStr"/>
    </row>
    <row r="224">
      <c r="A224" s="1" t="inlineStr">
        <is>
          <t>[Nhóm Test]: ■3回目 正常系・ファイル定義確認</t>
        </is>
      </c>
    </row>
    <row r="225">
      <c r="A225" t="inlineStr">
        <is>
          <t xml:space="preserve">  - Tổng số dòng log: 53</t>
        </is>
      </c>
    </row>
    <row r="226">
      <c r="A226" s="2" t="inlineStr">
        <is>
          <t xml:space="preserve">  - Trạng thái Sort (行): ✅ Đã sắp xếp tăng dần hợp lệ.</t>
        </is>
      </c>
    </row>
    <row r="227">
      <c r="A227" t="inlineStr">
        <is>
          <t xml:space="preserve">  - Ngày chạy log: 2026/05/18</t>
        </is>
      </c>
    </row>
    <row r="228">
      <c r="A228" t="inlineStr">
        <is>
          <t xml:space="preserve">  - [Ảnh Status Panel]: Tìm thấy Jobnet ID: 'P1J0677@10677'</t>
        </is>
      </c>
    </row>
    <row r="229">
      <c r="A229" t="inlineStr">
        <is>
          <t xml:space="preserve">  - [Ảnh Status Panel]: Tìm thấy Interface ID: 'RFSH0677'</t>
        </is>
      </c>
    </row>
    <row r="230">
      <c r="A230" s="2" t="inlineStr">
        <is>
          <t xml:space="preserve">      ✅ OK: Interface ID 'RFSH0677' có tồn tại trong tên file Excel.</t>
        </is>
      </c>
    </row>
    <row r="231">
      <c r="A231" t="inlineStr">
        <is>
          <t xml:space="preserve">  - [Ảnh Status Panel]: Tìm thấy giờ bắt đầu là 11:51:20</t>
        </is>
      </c>
    </row>
    <row r="232">
      <c r="A232" s="2" t="inlineStr">
        <is>
          <t xml:space="preserve">      ✅ OK: Thời gian log (11:51:20) &gt;= Thời gian ảnh (11:51:20)</t>
        </is>
      </c>
    </row>
    <row r="233">
      <c r="A233" s="2" t="inlineStr">
        <is>
          <t xml:space="preserve">      ✅ OK: Duration Log Main (162ms) &lt; Duration Ảnh (351ms)</t>
        </is>
      </c>
    </row>
    <row r="234">
      <c r="A234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35">
      <c r="A235" s="2" t="inlineStr">
        <is>
          <t xml:space="preserve">      ✅ OK: Jobnet ID 'P1J0677@10677' khớp với dữ liệu trong Log.</t>
        </is>
      </c>
    </row>
    <row r="236">
      <c r="A236" t="inlineStr">
        <is>
          <t xml:space="preserve">  - [Kiểm tra File]: Log text báo có tạo ra file 'RFSH0677_output.tsv'.</t>
        </is>
      </c>
    </row>
    <row r="237">
      <c r="A237" s="2" t="inlineStr">
        <is>
          <t xml:space="preserve">      ✅ OK: Tên file trong ảnh File Explorer (RFSH0677_output.tsv) KHỚP với tên file trong Log text.</t>
        </is>
      </c>
    </row>
    <row r="238">
      <c r="A238" t="inlineStr">
        <is>
          <t xml:space="preserve">  - [Ảnh File Explorer]: Tìm thấy file 'RFSH0677_output.tsv' có Date modified là '2026/05/18 11:51'</t>
        </is>
      </c>
    </row>
    <row r="239">
      <c r="A239" s="2" t="inlineStr">
        <is>
          <t xml:space="preserve">      ✅ OK: Thời gian xuất file 'RFSH0677_output.tsv' (2026/05/18 11:51) KHỚP với log (2026/05/18 11:51).</t>
        </is>
      </c>
    </row>
    <row r="240">
      <c r="A240" t="inlineStr">
        <is>
          <t xml:space="preserve">  - [Đối chiếu Testcase trong Log]:</t>
        </is>
      </c>
    </row>
    <row r="241">
      <c r="A241" t="inlineStr">
        <is>
          <t xml:space="preserve">  - [Đối chiếu テスト計画書兼結果報告書(個別)]: Tìm thấy 12 dòng (18, 19, 20, 21, 22, 23, 25, 26, 27, 28, 29, 30)</t>
        </is>
      </c>
    </row>
    <row r="242">
      <c r="A242" s="2" t="inlineStr">
        <is>
          <t xml:space="preserve">      + Số lần test (Cột K): ✅ Tất cả 12 dòng đều khớp (Lần 3)</t>
        </is>
      </c>
    </row>
    <row r="243">
      <c r="A243" s="2" t="inlineStr">
        <is>
          <t xml:space="preserve">      + Ngày test (Cột I/G): ✅ Khớp ngày (2026/05/18) cho tất cả các dòng có dữ liệu</t>
        </is>
      </c>
    </row>
    <row r="244">
      <c r="A244" t="inlineStr"/>
    </row>
    <row r="245">
      <c r="A245" s="1" t="inlineStr">
        <is>
          <t>[Nhóm Test]: ■4回目正常系・列分割→行変換確認（明細0件）</t>
        </is>
      </c>
    </row>
    <row r="246">
      <c r="A246" t="inlineStr">
        <is>
          <t xml:space="preserve">  - Tổng số dòng log: 53</t>
        </is>
      </c>
    </row>
    <row r="247">
      <c r="A247" s="2" t="inlineStr">
        <is>
          <t xml:space="preserve">  - Trạng thái Sort (行): ✅ Đã sắp xếp tăng dần hợp lệ.</t>
        </is>
      </c>
    </row>
    <row r="248">
      <c r="A248" t="inlineStr">
        <is>
          <t xml:space="preserve">  - Ngày chạy log: 2026/05/18</t>
        </is>
      </c>
    </row>
    <row r="249">
      <c r="A249" t="inlineStr">
        <is>
          <t xml:space="preserve">  - [Ảnh Status Panel]: Tìm thấy Jobnet ID: 'P1J0677@10677'</t>
        </is>
      </c>
    </row>
    <row r="250">
      <c r="A250" t="inlineStr">
        <is>
          <t xml:space="preserve">  - [Ảnh Status Panel]: Tìm thấy Interface ID: 'RFSH0677'</t>
        </is>
      </c>
    </row>
    <row r="251">
      <c r="A251" s="2" t="inlineStr">
        <is>
          <t xml:space="preserve">      ✅ OK: Interface ID 'RFSH0677' có tồn tại trong tên file Excel.</t>
        </is>
      </c>
    </row>
    <row r="252">
      <c r="A252" t="inlineStr">
        <is>
          <t xml:space="preserve">  - [Ảnh Status Panel]: Tìm thấy giờ bắt đầu là 11:53:54</t>
        </is>
      </c>
    </row>
    <row r="253">
      <c r="A253" s="2" t="inlineStr">
        <is>
          <t xml:space="preserve">      ✅ OK: Thời gian log (11:53:54) &gt;= Thời gian ảnh (11:53:54)</t>
        </is>
      </c>
    </row>
    <row r="254">
      <c r="A254" s="2" t="inlineStr">
        <is>
          <t xml:space="preserve">      ✅ OK: Duration Log Main (532ms) &lt; Duration Ảnh (715ms)</t>
        </is>
      </c>
    </row>
    <row r="255">
      <c r="A255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56">
      <c r="A256" s="2" t="inlineStr">
        <is>
          <t xml:space="preserve">      ✅ OK: Jobnet ID 'P1J0677@10677' khớp với dữ liệu trong Log.</t>
        </is>
      </c>
    </row>
    <row r="257">
      <c r="A257" t="inlineStr">
        <is>
          <t xml:space="preserve">  - [Kiểm tra File]: Log text báo có tạo ra file 'RFSH0677_output.tsv'.</t>
        </is>
      </c>
    </row>
    <row r="258">
      <c r="A258" s="2" t="inlineStr">
        <is>
          <t xml:space="preserve">      ✅ OK: Tên file trong ảnh File Explorer (RFSH0677_output.tsv) KHỚP với tên file trong Log text.</t>
        </is>
      </c>
    </row>
    <row r="259">
      <c r="A259" t="inlineStr">
        <is>
          <t xml:space="preserve">  - [Ảnh File Explorer]: Tìm thấy file 'RFSH0677_output.tsv' có Date modified là '2026/05/18 11:53'</t>
        </is>
      </c>
    </row>
    <row r="260">
      <c r="A260" s="2" t="inlineStr">
        <is>
          <t xml:space="preserve">      ✅ OK: Thời gian xuất file 'RFSH0677_output.tsv' (2026/05/18 11:53) KHỚP với log (2026/05/18 11:53).</t>
        </is>
      </c>
    </row>
    <row r="261">
      <c r="A261" t="inlineStr">
        <is>
          <t xml:space="preserve">  - [Đối chiếu Testcase trong Log]:</t>
        </is>
      </c>
    </row>
    <row r="262">
      <c r="A262" t="inlineStr">
        <is>
          <t xml:space="preserve">  - [Đối chiếu テスト計画書兼結果報告書(個別)]: Tìm thấy 1 dòng (11)</t>
        </is>
      </c>
    </row>
    <row r="263">
      <c r="A263" s="2" t="inlineStr">
        <is>
          <t xml:space="preserve">      + Số lần test (Cột K): ✅ Tất cả 1 dòng đều khớp (Lần 4)</t>
        </is>
      </c>
    </row>
    <row r="264">
      <c r="A264" s="2" t="inlineStr">
        <is>
          <t xml:space="preserve">      + Ngày test (Cột I/G): ✅ Khớp ngày (2026/05/18) cho tất cả các dòng có dữ liệu</t>
        </is>
      </c>
    </row>
    <row r="265">
      <c r="A265" t="inlineStr"/>
    </row>
    <row r="266">
      <c r="A266" s="1" t="inlineStr">
        <is>
          <t>[Nhóm Test]: ■5回目正常系・列分割→行変換確認（明細1件）</t>
        </is>
      </c>
    </row>
    <row r="267">
      <c r="A267" t="inlineStr">
        <is>
          <t xml:space="preserve">  - Tổng số dòng log: 53</t>
        </is>
      </c>
    </row>
    <row r="268">
      <c r="A268" s="2" t="inlineStr">
        <is>
          <t xml:space="preserve">  - Trạng thái Sort (行): ✅ Đã sắp xếp tăng dần hợp lệ.</t>
        </is>
      </c>
    </row>
    <row r="269">
      <c r="A269" t="inlineStr">
        <is>
          <t xml:space="preserve">  - Ngày chạy log: 2026/05/18</t>
        </is>
      </c>
    </row>
    <row r="270">
      <c r="A270" t="inlineStr">
        <is>
          <t xml:space="preserve">  - [Ảnh Status Panel]: Tìm thấy Jobnet ID: 'P1J0677@10677'</t>
        </is>
      </c>
    </row>
    <row r="271">
      <c r="A271" t="inlineStr">
        <is>
          <t xml:space="preserve">  - [Ảnh Status Panel]: Tìm thấy Interface ID: 'RFSH0677'</t>
        </is>
      </c>
    </row>
    <row r="272">
      <c r="A272" s="2" t="inlineStr">
        <is>
          <t xml:space="preserve">      ✅ OK: Interface ID 'RFSH0677' có tồn tại trong tên file Excel.</t>
        </is>
      </c>
    </row>
    <row r="273">
      <c r="A273" t="inlineStr">
        <is>
          <t xml:space="preserve">  - [Ảnh Status Panel]: Tìm thấy giờ bắt đầu là 11:57:41</t>
        </is>
      </c>
    </row>
    <row r="274">
      <c r="A274" s="2" t="inlineStr">
        <is>
          <t xml:space="preserve">      ✅ OK: Thời gian log (11:57:41) &gt;= Thời gian ảnh (11:57:41)</t>
        </is>
      </c>
    </row>
    <row r="275">
      <c r="A275" s="2" t="inlineStr">
        <is>
          <t xml:space="preserve">      ✅ OK: Duration Log Main (521ms) &lt; Duration Ảnh (712ms)</t>
        </is>
      </c>
    </row>
    <row r="276">
      <c r="A276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77">
      <c r="A277" s="2" t="inlineStr">
        <is>
          <t xml:space="preserve">      ✅ OK: Jobnet ID 'P1J0677@10677' khớp với dữ liệu trong Log.</t>
        </is>
      </c>
    </row>
    <row r="278">
      <c r="A278" t="inlineStr">
        <is>
          <t xml:space="preserve">  - [Kiểm tra File]: Log text báo có tạo ra file 'RFSH0677_output.tsv'.</t>
        </is>
      </c>
    </row>
    <row r="279">
      <c r="A279" s="2" t="inlineStr">
        <is>
          <t xml:space="preserve">      ✅ OK: Tên file trong ảnh File Explorer (RFSH0677_output.tsv) KHỚP với tên file trong Log text.</t>
        </is>
      </c>
    </row>
    <row r="280">
      <c r="A280" t="inlineStr">
        <is>
          <t xml:space="preserve">  - [Ảnh File Explorer]: Tìm thấy file 'RFSH0677_output.tsv' có Date modified là '2026/05/18 11:57'</t>
        </is>
      </c>
    </row>
    <row r="281">
      <c r="A281" s="2" t="inlineStr">
        <is>
          <t xml:space="preserve">      ✅ OK: Thời gian xuất file 'RFSH0677_output.tsv' (2026/05/18 11:57) KHỚP với log (2026/05/18 11:57).</t>
        </is>
      </c>
    </row>
    <row r="282">
      <c r="A282" t="inlineStr">
        <is>
          <t xml:space="preserve">  - [Đối chiếu Testcase trong Log]:</t>
        </is>
      </c>
    </row>
    <row r="283">
      <c r="A283" t="inlineStr">
        <is>
          <t xml:space="preserve">  - [Đối chiếu テスト計画書兼結果報告書(個別)]: Tìm thấy 1 dòng (12)</t>
        </is>
      </c>
    </row>
    <row r="284">
      <c r="A284" s="2" t="inlineStr">
        <is>
          <t xml:space="preserve">      + Số lần test (Cột K): ✅ Tất cả 1 dòng đều khớp (Lần 5)</t>
        </is>
      </c>
    </row>
    <row r="285">
      <c r="A285" s="2" t="inlineStr">
        <is>
          <t xml:space="preserve">      + Ngày test (Cột I/G): ✅ Khớp ngày (2026/05/18) cho tất cả các dòng có dữ liệu</t>
        </is>
      </c>
    </row>
    <row r="286">
      <c r="A286" t="inlineStr"/>
    </row>
    <row r="287">
      <c r="A287" s="1" t="inlineStr">
        <is>
          <t>[Nhóm Test]: ■6回目正常系・列分割→行変換確認（明細4件）</t>
        </is>
      </c>
    </row>
    <row r="288">
      <c r="A288" t="inlineStr">
        <is>
          <t xml:space="preserve">  - Tổng số dòng log: 53</t>
        </is>
      </c>
    </row>
    <row r="289">
      <c r="A289" s="2" t="inlineStr">
        <is>
          <t xml:space="preserve">  - Trạng thái Sort (行): ✅ Đã sắp xếp tăng dần hợp lệ.</t>
        </is>
      </c>
    </row>
    <row r="290">
      <c r="A290" t="inlineStr">
        <is>
          <t xml:space="preserve">  - Ngày chạy log: 2026/05/18</t>
        </is>
      </c>
    </row>
    <row r="291">
      <c r="A291" t="inlineStr">
        <is>
          <t xml:space="preserve">  - [Ảnh Status Panel]: Tìm thấy Jobnet ID: 'P1J0677@10677'</t>
        </is>
      </c>
    </row>
    <row r="292">
      <c r="A292" t="inlineStr">
        <is>
          <t xml:space="preserve">  - [Ảnh Status Panel]: Tìm thấy Interface ID: 'RFSH0677'</t>
        </is>
      </c>
    </row>
    <row r="293">
      <c r="A293" s="2" t="inlineStr">
        <is>
          <t xml:space="preserve">      ✅ OK: Interface ID 'RFSH0677' có tồn tại trong tên file Excel.</t>
        </is>
      </c>
    </row>
    <row r="294">
      <c r="A294" t="inlineStr">
        <is>
          <t xml:space="preserve">  - [Ảnh Status Panel]: Tìm thấy giờ bắt đầu là 11:59:36</t>
        </is>
      </c>
    </row>
    <row r="295">
      <c r="A295" s="2" t="inlineStr">
        <is>
          <t xml:space="preserve">      ✅ OK: Thời gian log (11:59:36) &gt;= Thời gian ảnh (11:59:36)</t>
        </is>
      </c>
    </row>
    <row r="296">
      <c r="A296" s="2" t="inlineStr">
        <is>
          <t xml:space="preserve">      ✅ OK: Duration Log Main (523ms) &lt; Duration Ảnh (705ms)</t>
        </is>
      </c>
    </row>
    <row r="297">
      <c r="A297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98">
      <c r="A298" s="2" t="inlineStr">
        <is>
          <t xml:space="preserve">      ✅ OK: Jobnet ID 'P1J0677@10677' khớp với dữ liệu trong Log.</t>
        </is>
      </c>
    </row>
    <row r="299">
      <c r="A299" t="inlineStr">
        <is>
          <t xml:space="preserve">  - [Kiểm tra File]: Log text báo có tạo ra file 'RFSH0677_output.tsv'.</t>
        </is>
      </c>
    </row>
    <row r="300">
      <c r="A300" s="2" t="inlineStr">
        <is>
          <t xml:space="preserve">      ✅ OK: Tên file trong ảnh File Explorer (RFSH0677_output.tsv) KHỚP với tên file trong Log text.</t>
        </is>
      </c>
    </row>
    <row r="301">
      <c r="A301" t="inlineStr">
        <is>
          <t xml:space="preserve">  - [Ảnh File Explorer]: Tìm thấy file 'RFSH0677_output.tsv' có Date modified là '2026/05/18 11:59'</t>
        </is>
      </c>
    </row>
    <row r="302">
      <c r="A302" s="2" t="inlineStr">
        <is>
          <t xml:space="preserve">      ✅ OK: Thời gian xuất file 'RFSH0677_output.tsv' (2026/05/18 11:59) KHỚP với log (2026/05/18 11:59).</t>
        </is>
      </c>
    </row>
    <row r="303">
      <c r="A303" t="inlineStr">
        <is>
          <t xml:space="preserve">  - [Đối chiếu Testcase trong Log]:</t>
        </is>
      </c>
    </row>
    <row r="304">
      <c r="A304" t="inlineStr">
        <is>
          <t xml:space="preserve">  - [Đối chiếu テスト計画書兼結果報告書(個別)]: Tìm thấy 1 dòng (14)</t>
        </is>
      </c>
    </row>
    <row r="305">
      <c r="A305" s="2" t="inlineStr">
        <is>
          <t xml:space="preserve">      + Số lần test (Cột K): ✅ Tất cả 1 dòng đều khớp (Lần 6)</t>
        </is>
      </c>
    </row>
    <row r="306">
      <c r="A306" s="2" t="inlineStr">
        <is>
          <t xml:space="preserve">      + Ngày test (Cột I/G): ✅ Khớp ngày (2026/05/18) cho tất cả các dòng có dữ liệu</t>
        </is>
      </c>
    </row>
    <row r="307">
      <c r="A307" t="inlineStr"/>
    </row>
    <row r="308">
      <c r="A308" s="1" t="inlineStr">
        <is>
          <t>[Nhóm Test]: ■7回目正常系・列分割→行変換確認（明細8件）</t>
        </is>
      </c>
    </row>
    <row r="309">
      <c r="A309" t="inlineStr">
        <is>
          <t xml:space="preserve">  - Tổng số dòng log: 53</t>
        </is>
      </c>
    </row>
    <row r="310">
      <c r="A310" s="2" t="inlineStr">
        <is>
          <t xml:space="preserve">  - Trạng thái Sort (行): ✅ Đã sắp xếp tăng dần hợp lệ.</t>
        </is>
      </c>
    </row>
    <row r="311">
      <c r="A311" t="inlineStr">
        <is>
          <t xml:space="preserve">  - Ngày chạy log: 2026/05/18</t>
        </is>
      </c>
    </row>
    <row r="312">
      <c r="A312" t="inlineStr">
        <is>
          <t xml:space="preserve">  - [Ảnh Status Panel]: Tìm thấy Jobnet ID: 'P1J0677@10677'</t>
        </is>
      </c>
    </row>
    <row r="313">
      <c r="A313" t="inlineStr">
        <is>
          <t xml:space="preserve">  - [Ảnh Status Panel]: Tìm thấy Interface ID: 'RFSH0677'</t>
        </is>
      </c>
    </row>
    <row r="314">
      <c r="A314" s="2" t="inlineStr">
        <is>
          <t xml:space="preserve">      ✅ OK: Interface ID 'RFSH0677' có tồn tại trong tên file Excel.</t>
        </is>
      </c>
    </row>
    <row r="315">
      <c r="A315" t="inlineStr">
        <is>
          <t xml:space="preserve">  - [Ảnh Status Panel]: Tìm thấy giờ bắt đầu là 12:02:02</t>
        </is>
      </c>
    </row>
    <row r="316">
      <c r="A316" s="2" t="inlineStr">
        <is>
          <t xml:space="preserve">      ✅ OK: Thời gian log (12:02:02) &gt;= Thời gian ảnh (12:02:02)</t>
        </is>
      </c>
    </row>
    <row r="317">
      <c r="A317" s="2" t="inlineStr">
        <is>
          <t xml:space="preserve">      ✅ OK: Duration Log Main (457ms) &lt; Duration Ảnh (691ms)</t>
        </is>
      </c>
    </row>
    <row r="318">
      <c r="A318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319">
      <c r="A319" s="2" t="inlineStr">
        <is>
          <t xml:space="preserve">      ✅ OK: Jobnet ID 'P1J0677@10677' khớp với dữ liệu trong Log.</t>
        </is>
      </c>
    </row>
    <row r="320">
      <c r="A320" t="inlineStr">
        <is>
          <t xml:space="preserve">  - [Kiểm tra File]: Log text báo có tạo ra file 'RFSH0677_output.tsv'.</t>
        </is>
      </c>
    </row>
    <row r="321">
      <c r="A321" s="2" t="inlineStr">
        <is>
          <t xml:space="preserve">      ✅ OK: Tên file trong ảnh File Explorer (RFSH0677_output.tsv) KHỚP với tên file trong Log text.</t>
        </is>
      </c>
    </row>
    <row r="322">
      <c r="A322" t="inlineStr">
        <is>
          <t xml:space="preserve">  - [Ảnh File Explorer]: Tìm thấy file 'RFSH0677_output.tsv' có Date modified là '2026/05/18 12:02'</t>
        </is>
      </c>
    </row>
    <row r="323">
      <c r="A323" s="2" t="inlineStr">
        <is>
          <t xml:space="preserve">      ✅ OK: Thời gian xuất file 'RFSH0677_output.tsv' (2026/05/18 12:02) KHỚP với log (2026/05/18 12:02).</t>
        </is>
      </c>
    </row>
    <row r="324">
      <c r="A324" t="inlineStr">
        <is>
          <t xml:space="preserve">  - [Đối chiếu Testcase trong Log]:</t>
        </is>
      </c>
    </row>
    <row r="325">
      <c r="A325" t="inlineStr">
        <is>
          <t xml:space="preserve">  - [Đối chiếu テスト計画書兼結果報告書(個別)]: Tìm thấy 1 dòng (13)</t>
        </is>
      </c>
    </row>
    <row r="326">
      <c r="A326" s="2" t="inlineStr">
        <is>
          <t xml:space="preserve">      + Số lần test (Cột K): ✅ Tất cả 1 dòng đều khớp (Lần 7)</t>
        </is>
      </c>
    </row>
    <row r="327">
      <c r="A327" s="2" t="inlineStr">
        <is>
          <t xml:space="preserve">      + Ngày test (Cột I/G): ✅ Khớp ngày (2026/05/18) cho tất cả các dòng có dữ liệu</t>
        </is>
      </c>
    </row>
    <row r="328">
      <c r="A328" t="inlineStr"/>
    </row>
    <row r="329">
      <c r="A329" s="1" t="inlineStr">
        <is>
          <t>[Nhóm Test]: ■8回目正常系・列分割→行変換確認（レコードが複数件あり）</t>
        </is>
      </c>
    </row>
    <row r="330">
      <c r="A330" t="inlineStr">
        <is>
          <t xml:space="preserve">  - Tổng số dòng log: 53</t>
        </is>
      </c>
    </row>
    <row r="331">
      <c r="A331" s="2" t="inlineStr">
        <is>
          <t xml:space="preserve">  - Trạng thái Sort (行): ✅ Đã sắp xếp tăng dần hợp lệ.</t>
        </is>
      </c>
    </row>
    <row r="332">
      <c r="A332" t="inlineStr">
        <is>
          <t xml:space="preserve">  - Ngày chạy log: 2026/05/18</t>
        </is>
      </c>
    </row>
    <row r="333">
      <c r="A333" t="inlineStr">
        <is>
          <t xml:space="preserve">  - [Ảnh Status Panel]: Tìm thấy Jobnet ID: 'P1J0677@10677'</t>
        </is>
      </c>
    </row>
    <row r="334">
      <c r="A334" t="inlineStr">
        <is>
          <t xml:space="preserve">  - [Ảnh Status Panel]: Tìm thấy Interface ID: 'RFSH0677'</t>
        </is>
      </c>
    </row>
    <row r="335">
      <c r="A335" s="2" t="inlineStr">
        <is>
          <t xml:space="preserve">      ✅ OK: Interface ID 'RFSH0677' có tồn tại trong tên file Excel.</t>
        </is>
      </c>
    </row>
    <row r="336">
      <c r="A336" t="inlineStr">
        <is>
          <t xml:space="preserve">  - [Ảnh Status Panel]: Tìm thấy giờ bắt đầu là 12:04:15</t>
        </is>
      </c>
    </row>
    <row r="337">
      <c r="A337" s="2" t="inlineStr">
        <is>
          <t xml:space="preserve">      ✅ OK: Thời gian log (12:04:15) &gt;= Thời gian ảnh (12:04:15)</t>
        </is>
      </c>
    </row>
    <row r="338">
      <c r="A338" s="2" t="inlineStr">
        <is>
          <t xml:space="preserve">      ✅ OK: Duration Log Main (456ms) &lt; Duration Ảnh (639ms)</t>
        </is>
      </c>
    </row>
    <row r="339">
      <c r="A339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340">
      <c r="A340" s="2" t="inlineStr">
        <is>
          <t xml:space="preserve">      ✅ OK: Jobnet ID 'P1J0677@10677' khớp với dữ liệu trong Log.</t>
        </is>
      </c>
    </row>
    <row r="341">
      <c r="A341" t="inlineStr">
        <is>
          <t xml:space="preserve">  - [Kiểm tra File]: Log text báo có tạo ra file 'RFSH0677_output.tsv'.</t>
        </is>
      </c>
    </row>
    <row r="342">
      <c r="A342" s="2" t="inlineStr">
        <is>
          <t xml:space="preserve">      ✅ OK: Tên file trong ảnh File Explorer (RFSH0677_output.tsv) KHỚP với tên file trong Log text.</t>
        </is>
      </c>
    </row>
    <row r="343">
      <c r="A343" t="inlineStr">
        <is>
          <t xml:space="preserve">  - [Ảnh File Explorer]: Tìm thấy file 'RFSH0677_output.tsv' có Date modified là '2026/05/18 12:04'</t>
        </is>
      </c>
    </row>
    <row r="344">
      <c r="A344" s="2" t="inlineStr">
        <is>
          <t xml:space="preserve">      ✅ OK: Thời gian xuất file 'RFSH0677_output.tsv' (2026/05/18 12:04) KHỚP với log (2026/05/18 12:04).</t>
        </is>
      </c>
    </row>
    <row r="345">
      <c r="A345" t="inlineStr">
        <is>
          <t xml:space="preserve">  - [Đối chiếu Testcase trong Log]:</t>
        </is>
      </c>
    </row>
    <row r="346">
      <c r="A346" t="inlineStr">
        <is>
          <t xml:space="preserve">  - [Đối chiếu テスト計画書兼結果報告書(個別)]: Tìm thấy 1 dòng (15)</t>
        </is>
      </c>
    </row>
    <row r="347">
      <c r="A347" s="2" t="inlineStr">
        <is>
          <t xml:space="preserve">      + Số lần test (Cột K): ✅ Tất cả 1 dòng đều khớp (Lần 8)</t>
        </is>
      </c>
    </row>
    <row r="348">
      <c r="A348" s="2" t="inlineStr">
        <is>
          <t xml:space="preserve">      + Ngày test (Cột I/G): ✅ Khớp ngày (2026/05/18) cho tất cả các dòng có dữ liệu</t>
        </is>
      </c>
    </row>
    <row r="349">
      <c r="A349" t="inlineStr"/>
    </row>
    <row r="350">
      <c r="A350" s="1">
        <f>=============== TỔNG KẾT COVERAGE CHO SHEET エビデンス(共通) ================</f>
        <v/>
      </c>
    </row>
    <row r="351">
      <c r="A351" s="2" t="inlineStr">
        <is>
          <t xml:space="preserve">  - ✅ Nhóm 1 (gồm TC: 1-1-1, 1-2-1, 2-1-1, 2-2-1, 3-1-1, 3-2-1, 4-1-1, 4-2-1, 5-1-1, 5-3-1, 5-4-1, 6-1-1, 7-1-1): Đã có Log Evidence.</t>
        </is>
      </c>
    </row>
    <row r="352">
      <c r="A352" s="2" t="inlineStr">
        <is>
          <t xml:space="preserve">  - ✅ Nhóm 2 (gồm TC: 1-2-2, 2-2-2): Đã có Log Evidence.</t>
        </is>
      </c>
    </row>
    <row r="353">
      <c r="A353" s="2" t="inlineStr">
        <is>
          <t xml:space="preserve">  - ✅ Nhóm 3 (gồm TC: 3-2-2): Đã có Log Evidence.</t>
        </is>
      </c>
    </row>
    <row r="354">
      <c r="A354" s="2" t="inlineStr">
        <is>
          <t xml:space="preserve">  - ✅ Nhóm 4 (gồm TC: 3-2-3): Đã có Log Evidence.</t>
        </is>
      </c>
    </row>
    <row r="355">
      <c r="A355" s="2" t="inlineStr">
        <is>
          <t xml:space="preserve">  - ✅ Nhóm 5 (gồm TC: 4-1-2, 7-1-2): Đã có Log Evidence.</t>
        </is>
      </c>
    </row>
    <row r="356">
      <c r="A356" s="2" t="inlineStr">
        <is>
          <t xml:space="preserve">  - ✅ Nhóm 6 (gồm TC: 4-2-2): Đã có Log Evidence.</t>
        </is>
      </c>
    </row>
    <row r="357">
      <c r="A357" s="2" t="inlineStr">
        <is>
          <t xml:space="preserve">  - ✅ Nhóm 7 (gồm TC: 4-2-3, 5-2-1): Đã có Log Evidence.</t>
        </is>
      </c>
    </row>
    <row r="358">
      <c r="A358" t="inlineStr">
        <is>
          <t xml:space="preserve">  =&gt; TOÀN BỘ CÁC NHÓM TEST TRONG KẾ HOẠCH ĐỀU ĐÃ CÓ EVIDENCE!</t>
        </is>
      </c>
    </row>
    <row r="359">
      <c r="A359" t="inlineStr"/>
    </row>
    <row r="360">
      <c r="A360" t="inlineStr"/>
    </row>
    <row r="361">
      <c r="A361" s="1">
        <f>=============== TỔNG KẾT COVERAGE CHO SHEET エビデンス(個別) ================</f>
        <v/>
      </c>
    </row>
    <row r="362">
      <c r="A362" s="2" t="inlineStr">
        <is>
          <t xml:space="preserve">  - ✅ Nhóm 1 (gồm TC: 1-1-1): Đã có Log Evidence.</t>
        </is>
      </c>
    </row>
    <row r="363">
      <c r="A363" s="2" t="inlineStr">
        <is>
          <t xml:space="preserve">  - ✅ Nhóm 2 (gồm TC: 1-2-1): Đã có Log Evidence.</t>
        </is>
      </c>
    </row>
    <row r="364">
      <c r="A364" s="2" t="inlineStr">
        <is>
          <t xml:space="preserve">  - ✅ Nhóm 3 (gồm TC: 3-1-1, 3-1-2, 3-1-3, 3-1-4, 3-1-5, 3-1-6, 3-2-1, 3-2-2, 3-2-3, 3-2-4, 3-2-5, 3-2-6): Đã có Log Evidence.</t>
        </is>
      </c>
    </row>
    <row r="365">
      <c r="A365" s="2" t="inlineStr">
        <is>
          <t xml:space="preserve">  - ✅ Nhóm 4 (gồm TC: 2-1-1): Đã có Log Evidence.</t>
        </is>
      </c>
    </row>
    <row r="366">
      <c r="A366" s="2" t="inlineStr">
        <is>
          <t xml:space="preserve">  - ✅ Nhóm 5 (gồm TC: 2-1-2): Đã có Log Evidence.</t>
        </is>
      </c>
    </row>
    <row r="367">
      <c r="A367" s="2" t="inlineStr">
        <is>
          <t xml:space="preserve">  - ✅ Nhóm 6 (gồm TC: 2-1-4): Đã có Log Evidence.</t>
        </is>
      </c>
    </row>
    <row r="368">
      <c r="A368" s="2" t="inlineStr">
        <is>
          <t xml:space="preserve">  - ✅ Nhóm 7 (gồm TC: 2-1-3): Đã có Log Evidence.</t>
        </is>
      </c>
    </row>
    <row r="369">
      <c r="A369" s="2" t="inlineStr">
        <is>
          <t xml:space="preserve">  - ✅ Nhóm 8 (gồm TC: 2-1-5): Đã có Log Evidence.</t>
        </is>
      </c>
    </row>
    <row r="370">
      <c r="A370" t="inlineStr">
        <is>
          <t xml:space="preserve">  =&gt; TOÀN BỘ CÁC NHÓM TEST TRONG KẾ HOẠCH ĐỀU ĐÃ CÓ EVIDENCE!</t>
        </is>
      </c>
    </row>
    <row r="371">
      <c r="A371" t="inlineStr"/>
    </row>
    <row r="372">
      <c r="A37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5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" t="inlineStr">
        <is>
          <t>✅ Đã check xong file '単体テスト仕様書兼成績書_E304_RFSH0677.xlsx'. Nhấn Enter để tiếp tục sang file tiếp theo...</t>
        </is>
      </c>
    </row>
    <row r="2">
      <c r="A2" s="1">
        <f>======================== [14/16] ĐANG XỬ LÝ FILE: 単体テスト仕様書兼成績書_E304_WMSH0022.xlsx =========================</f>
        <v/>
      </c>
    </row>
    <row r="3">
      <c r="A3" t="inlineStr">
        <is>
          <t>Đang đọc dữ liệu từ file: 単体テスト仕様書兼成績書_E304_WMSH0022.xlsx ...</t>
        </is>
      </c>
    </row>
    <row r="4">
      <c r="A4" t="inlineStr"/>
    </row>
    <row r="5">
      <c r="A5" s="1">
        <f>=============== TRẠNG THÁI OCR ================</f>
        <v/>
      </c>
    </row>
    <row r="6">
      <c r="A6" s="2" t="inlineStr">
        <is>
          <t>✅ Đã bật (Sẵn sàng đọc ảnh)</t>
        </is>
      </c>
    </row>
    <row r="7">
      <c r="A7" t="inlineStr"/>
    </row>
    <row r="8">
      <c r="A8" s="1">
        <f>=============== KIỂM TRA TRẠNG THÁI MỞ FILE ================</f>
        <v/>
      </c>
    </row>
    <row r="9">
      <c r="A9" s="2" t="inlineStr">
        <is>
          <t>✅ File đang mở ở sheet đầu tiên '表紙 '.</t>
        </is>
      </c>
    </row>
    <row r="10">
      <c r="A10" s="2" t="inlineStr">
        <is>
          <t>✅ Con trỏ chuột đang nằm ở ô 'A1'.</t>
        </is>
      </c>
    </row>
    <row r="11">
      <c r="A11" t="inlineStr"/>
    </row>
    <row r="12">
      <c r="A12" s="1">
        <f>=============== SHEET: エビデンス(共通) ================</f>
        <v/>
      </c>
    </row>
    <row r="13">
      <c r="A13" t="inlineStr">
        <is>
          <t xml:space="preserve">  -&gt; Tìm thấy 47 ảnh trong sheet này.</t>
        </is>
      </c>
    </row>
    <row r="14">
      <c r="A14" s="1">
        <f>=============== SHEET: エビデンス(個別) ================</f>
        <v/>
      </c>
    </row>
    <row r="15">
      <c r="A15" t="inlineStr">
        <is>
          <t xml:space="preserve">  -&gt; Tìm thấy 31 ảnh trong sheet này.</t>
        </is>
      </c>
    </row>
    <row r="16">
      <c r="A16" t="inlineStr"/>
    </row>
    <row r="17">
      <c r="A17" s="1" t="inlineStr">
        <is>
          <t>[GEMINI MANUAL MODE] ♻️ Đã tìm thấy file JSON kết quả cũ tại:</t>
        </is>
      </c>
    </row>
    <row r="18">
      <c r="A18" t="inlineStr">
        <is>
          <t>D:\project\tool\New folder\Gemini_Upload_単体テスト仕様書兼成績書_E304_WMSH0022\gemini_result.json</t>
        </is>
      </c>
    </row>
    <row r="19">
      <c r="A19">
        <f>&gt; Sử dụng luôn kết quả này, bỏ qua bước xuất ảnh PDF và hỏi lại Gemini.</f>
        <v/>
      </c>
    </row>
    <row r="20">
      <c r="A20" t="inlineStr"/>
    </row>
    <row r="21">
      <c r="A21" s="1">
        <f>=============== ĐANG PHÂN TÍCH KẾT QUẢ SHEET: エビデンス(共通) ================</f>
        <v/>
      </c>
    </row>
    <row r="22">
      <c r="A22" t="inlineStr"/>
    </row>
    <row r="23">
      <c r="A23" s="1" t="inlineStr">
        <is>
          <t>[Kiểm tra Cấu hình Flow - Trước khi Test]:</t>
        </is>
      </c>
    </row>
    <row r="24">
      <c r="A24" s="2" t="inlineStr">
        <is>
          <t xml:space="preserve">  - [Ảnh Flow]: ✅ Tìm thấy P_JobnetID: 'P1J0022@10022'</t>
        </is>
      </c>
    </row>
    <row r="25">
      <c r="A25" s="2" t="inlineStr">
        <is>
          <t xml:space="preserve">      ✅ OK: P_JobnetID 'P1J0022@10022' có chứa mã '0022' của file.</t>
        </is>
      </c>
    </row>
    <row r="26">
      <c r="A26" s="2" t="inlineStr">
        <is>
          <t xml:space="preserve">  - [Ảnh Flow]: ✅ Tìm thấy P_InterfaceID: 'WMSH0022'</t>
        </is>
      </c>
    </row>
    <row r="27">
      <c r="A27" s="2" t="inlineStr">
        <is>
          <t xml:space="preserve">      ✅ OK: P_InterfaceID 'WMSH0022' có chứa mã '0022' của file.</t>
        </is>
      </c>
    </row>
    <row r="28">
      <c r="A28" t="inlineStr"/>
    </row>
    <row r="29">
      <c r="A29" s="1" t="inlineStr">
        <is>
          <t>[Nhóm Test]: ■1回目 正常系・1000件未満・ファイル送信前結合有無=false</t>
        </is>
      </c>
    </row>
    <row r="30">
      <c r="A30" t="inlineStr">
        <is>
          <t xml:space="preserve">  - Tổng số dòng log: 51</t>
        </is>
      </c>
    </row>
    <row r="31">
      <c r="A31" s="2" t="inlineStr">
        <is>
          <t xml:space="preserve">  - Trạng thái Sort (行): ✅ Đã sắp xếp tăng dần hợp lệ.</t>
        </is>
      </c>
    </row>
    <row r="32">
      <c r="A32" t="inlineStr">
        <is>
          <t xml:space="preserve">  - Ngày chạy log: 2026/05/18</t>
        </is>
      </c>
    </row>
    <row r="33">
      <c r="A33" t="inlineStr">
        <is>
          <t xml:space="preserve">  - [Ảnh Status Panel]: Tìm thấy Jobnet ID: 'P1J0022@10022'</t>
        </is>
      </c>
    </row>
    <row r="34">
      <c r="A34" t="inlineStr">
        <is>
          <t xml:space="preserve">  - [Ảnh Status Panel]: Tìm thấy Interface ID: 'WMSH0022'</t>
        </is>
      </c>
    </row>
    <row r="35">
      <c r="A35" s="2" t="inlineStr">
        <is>
          <t xml:space="preserve">      ✅ OK: Interface ID 'WMSH0022' có tồn tại trong tên file Excel.</t>
        </is>
      </c>
    </row>
    <row r="36">
      <c r="A36" t="inlineStr">
        <is>
          <t xml:space="preserve">  - [Ảnh Status Panel]: Tìm thấy giờ bắt đầu là 11:30:51</t>
        </is>
      </c>
    </row>
    <row r="37">
      <c r="A37" s="2" t="inlineStr">
        <is>
          <t xml:space="preserve">      ✅ OK: Thời gian log (11:30:51) &gt;= Thời gian ảnh (11:30:51)</t>
        </is>
      </c>
    </row>
    <row r="38">
      <c r="A38" s="2" t="inlineStr">
        <is>
          <t xml:space="preserve">      ✅ OK: Duration Log Main (421ms) &lt; Duration Ảnh (690ms)</t>
        </is>
      </c>
    </row>
    <row r="39">
      <c r="A39" t="inlineStr">
        <is>
          <t xml:space="preserve">  - [Ảnh Log Viewer]: Tìm thấy thời gian kết thúc trong ảnh log là '11:30:52'</t>
        </is>
      </c>
    </row>
    <row r="40">
      <c r="A40" s="2" t="inlineStr">
        <is>
          <t xml:space="preserve">      ✅ OK: Giờ kết thúc trong ảnh Log (11:30:52) KHỚP với log text (11:30:52).</t>
        </is>
      </c>
    </row>
    <row r="41">
      <c r="A41" s="2" t="inlineStr">
        <is>
          <t xml:space="preserve">      ✅ OK: Giờ ảnh Log (11:30:52) &gt;= Giờ bắt đầu (11:30:51).</t>
        </is>
      </c>
    </row>
    <row r="42">
      <c r="A42" s="2" t="inlineStr">
        <is>
          <t xml:space="preserve">      ✅ OK: Jobnet ID 'P1J0022@10022' khớp với dữ liệu trong Log.</t>
        </is>
      </c>
    </row>
    <row r="43">
      <c r="A43" t="inlineStr">
        <is>
          <t xml:space="preserve">  - [Kiểm tra File]: Log text báo có tạo ra file 'WMSH0022_output.tsv'.</t>
        </is>
      </c>
    </row>
    <row r="44">
      <c r="A44" s="2" t="inlineStr">
        <is>
          <t xml:space="preserve">      ✅ OK: Tên file trong ảnh File Explorer (WMSH0022_output.tsv) KHỚP với tên file trong Log text.</t>
        </is>
      </c>
    </row>
    <row r="45">
      <c r="A45" t="inlineStr">
        <is>
          <t xml:space="preserve">  - [Ảnh File Explorer]: Tìm thấy file 'WMSH0022_output.tsv' có Date modified là '2026/05/18 11:30'</t>
        </is>
      </c>
    </row>
    <row r="46">
      <c r="A46" s="2" t="inlineStr">
        <is>
          <t xml:space="preserve">      ✅ OK: Thời gian xuất file 'WMSH0022_output.tsv' (2026/05/18 11:30) KHỚP với log (2026/05/18 11:30).</t>
        </is>
      </c>
    </row>
    <row r="47">
      <c r="A47" t="inlineStr">
        <is>
          <t xml:space="preserve">  - [Đối chiếu Testcase trong Log]:</t>
        </is>
      </c>
    </row>
    <row r="48">
      <c r="A48" t="inlineStr">
        <is>
          <t xml:space="preserve">  - [Đối chiếu テスト計画書兼結果報告書(共通)]: Tìm thấy 13 dòng (6, 8, 12, 14, 18, 20, 25, 28, 33, 37, 39, 42, 45)</t>
        </is>
      </c>
    </row>
    <row r="49">
      <c r="A49" s="2" t="inlineStr">
        <is>
          <t xml:space="preserve">      + Số lần test (Cột K): ✅ Tất cả 13 dòng đều khớp (Lần 1)</t>
        </is>
      </c>
    </row>
    <row r="50">
      <c r="A50" s="2" t="inlineStr">
        <is>
          <t xml:space="preserve">      + Ngày test (Cột I/G): ✅ Khớp ngày (2026/05/18) cho tất cả các dòng có dữ liệu</t>
        </is>
      </c>
    </row>
    <row r="51">
      <c r="A51" t="inlineStr"/>
    </row>
    <row r="52">
      <c r="A52" s="1" t="inlineStr">
        <is>
          <t>[Nhóm Test]: ■2回目 異常系・起動パラメータ不正</t>
        </is>
      </c>
    </row>
    <row r="53">
      <c r="A53" t="inlineStr">
        <is>
          <t xml:space="preserve">  - Tổng số dòng log: 23</t>
        </is>
      </c>
    </row>
    <row r="54">
      <c r="A54" s="2" t="inlineStr">
        <is>
          <t xml:space="preserve">  - Trạng thái Sort (行): ✅ Đã sắp xếp tăng dần hợp lệ.</t>
        </is>
      </c>
    </row>
    <row r="55">
      <c r="A55" t="inlineStr">
        <is>
          <t xml:space="preserve">  - Ngày chạy log: 2026/05/18</t>
        </is>
      </c>
    </row>
    <row r="56">
      <c r="A56" t="inlineStr">
        <is>
          <t xml:space="preserve">  - [Ảnh Status Panel]: Tìm thấy Jobnet ID: ''</t>
        </is>
      </c>
    </row>
    <row r="57">
      <c r="A57" t="inlineStr">
        <is>
          <t xml:space="preserve">  - [Ảnh Status Panel]: Tìm thấy Interface ID: ''</t>
        </is>
      </c>
    </row>
    <row r="58">
      <c r="A58" s="3" t="inlineStr">
        <is>
          <t xml:space="preserve">      ⚠️ Interface ID là chuỗi rỗng nên bỏ qua kiểm tra với tên file.</t>
        </is>
      </c>
    </row>
    <row r="59">
      <c r="A59" t="inlineStr">
        <is>
          <t xml:space="preserve">  - [Ảnh Status Panel]: Tìm thấy giờ bắt đầu là 11:42:12</t>
        </is>
      </c>
    </row>
    <row r="60">
      <c r="A60" s="2" t="inlineStr">
        <is>
          <t xml:space="preserve">      ✅ OK: Thời gian log (11:42:12) &gt;= Thời gian ảnh (11:42:12)</t>
        </is>
      </c>
    </row>
    <row r="61">
      <c r="A61" s="2" t="inlineStr">
        <is>
          <t xml:space="preserve">      ✅ OK: Duration Log Main (96ms) &lt; Duration Ảnh (296ms)</t>
        </is>
      </c>
    </row>
    <row r="62">
      <c r="A62" t="inlineStr">
        <is>
          <t xml:space="preserve">  - [Ảnh Log Viewer]: Tìm thấy thời gian kết thúc trong ảnh log là '11:42:12'</t>
        </is>
      </c>
    </row>
    <row r="63">
      <c r="A63" s="2" t="inlineStr">
        <is>
          <t xml:space="preserve">      ✅ OK: Giờ kết thúc trong ảnh Log (11:42:12) KHỚP với log text (11:42:12).</t>
        </is>
      </c>
    </row>
    <row r="64">
      <c r="A64" s="2" t="inlineStr">
        <is>
          <t xml:space="preserve">      ✅ OK: Giờ ảnh Log (11:42:12) &gt;= Giờ bắt đầu (11:42:12).</t>
        </is>
      </c>
    </row>
    <row r="65">
      <c r="A65" s="2" t="inlineStr">
        <is>
          <t xml:space="preserve">      ✅ OK: Jobnet ID '' khớp với dữ liệu trong Log.</t>
        </is>
      </c>
    </row>
    <row r="66">
      <c r="A66" t="inlineStr">
        <is>
          <t xml:space="preserve">  - [Đối chiếu Testcase trong Log]:</t>
        </is>
      </c>
    </row>
    <row r="67">
      <c r="A67" t="inlineStr">
        <is>
          <t xml:space="preserve">  - [Đối chiếu テスト計画書兼結果報告書(共通)]: Tìm thấy 2 dòng (9, 15)</t>
        </is>
      </c>
    </row>
    <row r="68">
      <c r="A68" s="2" t="inlineStr">
        <is>
          <t xml:space="preserve">      + Số lần test (Cột K): ✅ Tất cả 2 dòng đều khớp (Lần 2)</t>
        </is>
      </c>
    </row>
    <row r="69">
      <c r="A69" s="2" t="inlineStr">
        <is>
          <t xml:space="preserve">      + Ngày test (Cột I/G): ✅ Khớp ngày (2026/05/18) cho tất cả các dòng có dữ liệu</t>
        </is>
      </c>
    </row>
    <row r="70">
      <c r="A70" t="inlineStr"/>
    </row>
    <row r="71">
      <c r="A71" s="1" t="inlineStr">
        <is>
          <t>[Nhóm Test]: ■3回目 正常系・ファイル送信前結合有無=true</t>
        </is>
      </c>
    </row>
    <row r="72">
      <c r="A72" t="inlineStr">
        <is>
          <t xml:space="preserve">  - Tổng số dòng log: 67</t>
        </is>
      </c>
    </row>
    <row r="73">
      <c r="A73" s="2" t="inlineStr">
        <is>
          <t xml:space="preserve">  - Trạng thái Sort (行): ✅ Đã sắp xếp tăng dần hợp lệ.</t>
        </is>
      </c>
    </row>
    <row r="74">
      <c r="A74" t="inlineStr">
        <is>
          <t xml:space="preserve">  - Ngày chạy log: 2026/05/18</t>
        </is>
      </c>
    </row>
    <row r="75">
      <c r="A75" t="inlineStr">
        <is>
          <t xml:space="preserve">  - [Ảnh Status Panel]: Tìm thấy Jobnet ID: 'P1J0022@10022'</t>
        </is>
      </c>
    </row>
    <row r="76">
      <c r="A76" t="inlineStr">
        <is>
          <t xml:space="preserve">  - [Ảnh Status Panel]: Tìm thấy Interface ID: 'WMSH0022'</t>
        </is>
      </c>
    </row>
    <row r="77">
      <c r="A77" s="2" t="inlineStr">
        <is>
          <t xml:space="preserve">      ✅ OK: Interface ID 'WMSH0022' có tồn tại trong tên file Excel.</t>
        </is>
      </c>
    </row>
    <row r="78">
      <c r="A78" t="inlineStr">
        <is>
          <t xml:space="preserve">  - [Ảnh Status Panel]: Tìm thấy giờ bắt đầu là 11:47:05</t>
        </is>
      </c>
    </row>
    <row r="79">
      <c r="A79" s="2" t="inlineStr">
        <is>
          <t xml:space="preserve">      ✅ OK: Thời gian log (11:47:06) &gt;= Thời gian ảnh (11:47:05)</t>
        </is>
      </c>
    </row>
    <row r="80">
      <c r="A80" s="2" t="inlineStr">
        <is>
          <t xml:space="preserve">      ✅ OK: Duration Log Main (356ms) &lt; Duration Ảnh (562ms)</t>
        </is>
      </c>
    </row>
    <row r="81">
      <c r="A81" t="inlineStr">
        <is>
          <t xml:space="preserve">  - [Ảnh Log Viewer]: Tìm thấy thời gian kết thúc trong ảnh log là '11:47:06'</t>
        </is>
      </c>
    </row>
    <row r="82">
      <c r="A82" s="2" t="inlineStr">
        <is>
          <t xml:space="preserve">      ✅ OK: Giờ kết thúc trong ảnh Log (11:47:06) KHỚP với log text (11:47:06).</t>
        </is>
      </c>
    </row>
    <row r="83">
      <c r="A83" s="2" t="inlineStr">
        <is>
          <t xml:space="preserve">      ✅ OK: Giờ ảnh Log (11:47:06) &gt;= Giờ bắt đầu (11:47:05).</t>
        </is>
      </c>
    </row>
    <row r="84">
      <c r="A84" s="2" t="inlineStr">
        <is>
          <t xml:space="preserve">      ✅ OK: Jobnet ID 'P1J0022@10022' khớp với dữ liệu trong Log.</t>
        </is>
      </c>
    </row>
    <row r="85">
      <c r="A85" t="inlineStr">
        <is>
          <t xml:space="preserve">  - [Kiểm tra File]: Log text báo có tạo ra file 'WMSH0022_output.tsv'.</t>
        </is>
      </c>
    </row>
    <row r="86">
      <c r="A86" s="2" t="inlineStr">
        <is>
          <t xml:space="preserve">      ✅ OK: Tên file trong ảnh File Explorer (WMSH0022_output.tsv) KHỚP với tên file trong Log text.</t>
        </is>
      </c>
    </row>
    <row r="87">
      <c r="A87" t="inlineStr">
        <is>
          <t xml:space="preserve">  - [Ảnh File Explorer]: Tìm thấy file 'WMSH0022_output.tsv' có Date modified là '2026/05/18 11:47'</t>
        </is>
      </c>
    </row>
    <row r="88">
      <c r="A88" s="2" t="inlineStr">
        <is>
          <t xml:space="preserve">      ✅ OK: Thời gian xuất file 'WMSH0022_output.tsv' (2026/05/18 11:47) KHỚP với log (2026/05/18 11:47).</t>
        </is>
      </c>
    </row>
    <row r="89">
      <c r="A89" t="inlineStr">
        <is>
          <t xml:space="preserve">  - [Đối chiếu Testcase trong Log]:</t>
        </is>
      </c>
    </row>
    <row r="90">
      <c r="A90" t="inlineStr">
        <is>
          <t xml:space="preserve">  - [Đối chiếu テスト計画書兼結果報告書(共通)]: Tìm thấy 1 dòng (21)</t>
        </is>
      </c>
    </row>
    <row r="91">
      <c r="A91" s="2" t="inlineStr">
        <is>
          <t xml:space="preserve">      + Số lần test (Cột K): ✅ Tất cả 1 dòng đều khớp (Lần 3)</t>
        </is>
      </c>
    </row>
    <row r="92">
      <c r="A92" s="2" t="inlineStr">
        <is>
          <t xml:space="preserve">      + Ngày test (Cột I/G): ✅ Khớp ngày (2026/05/18) cho tất cả các dòng có dữ liệu</t>
        </is>
      </c>
    </row>
    <row r="93">
      <c r="A93" t="inlineStr"/>
    </row>
    <row r="94">
      <c r="A94" s="1" t="inlineStr">
        <is>
          <t>[Nhóm Test]: ■4回目 異常系・すでにファイルが存在する場合</t>
        </is>
      </c>
    </row>
    <row r="95">
      <c r="A95" t="inlineStr">
        <is>
          <t xml:space="preserve">  - Tổng số dòng log: 55</t>
        </is>
      </c>
    </row>
    <row r="96">
      <c r="A96" s="2" t="inlineStr">
        <is>
          <t xml:space="preserve">  - Trạng thái Sort (行): ✅ Đã sắp xếp tăng dần hợp lệ.</t>
        </is>
      </c>
    </row>
    <row r="97">
      <c r="A97" t="inlineStr">
        <is>
          <t xml:space="preserve">  - Ngày chạy log: 2026/05/18</t>
        </is>
      </c>
    </row>
    <row r="98">
      <c r="A98" t="inlineStr">
        <is>
          <t xml:space="preserve">  - [Ảnh Status Panel]: Tìm thấy Jobnet ID: 'P1J0022@10022'</t>
        </is>
      </c>
    </row>
    <row r="99">
      <c r="A99" t="inlineStr">
        <is>
          <t xml:space="preserve">  - [Ảnh Status Panel]: Tìm thấy Interface ID: 'WMSH0022'</t>
        </is>
      </c>
    </row>
    <row r="100">
      <c r="A100" s="2" t="inlineStr">
        <is>
          <t xml:space="preserve">      ✅ OK: Interface ID 'WMSH0022' có tồn tại trong tên file Excel.</t>
        </is>
      </c>
    </row>
    <row r="101">
      <c r="A101" t="inlineStr">
        <is>
          <t xml:space="preserve">  - [Ảnh Status Panel]: Tìm thấy giờ bắt đầu là 11:51:13</t>
        </is>
      </c>
    </row>
    <row r="102">
      <c r="A102" s="2" t="inlineStr">
        <is>
          <t xml:space="preserve">      ✅ OK: Thời gian log (11:51:14) &gt;= Thời gian ảnh (11:51:13)</t>
        </is>
      </c>
    </row>
    <row r="103">
      <c r="A103" s="2" t="inlineStr">
        <is>
          <t xml:space="preserve">      ✅ OK: Duration Log Main (322ms) &lt; Duration Ảnh (538ms)</t>
        </is>
      </c>
    </row>
    <row r="104">
      <c r="A104" t="inlineStr">
        <is>
          <t xml:space="preserve">  - [Ảnh Log Viewer]: Tìm thấy thời gian kết thúc trong ảnh log là '11:51:14'</t>
        </is>
      </c>
    </row>
    <row r="105">
      <c r="A105" s="2" t="inlineStr">
        <is>
          <t xml:space="preserve">      ✅ OK: Giờ kết thúc trong ảnh Log (11:51:14) KHỚP với log text (11:51:14).</t>
        </is>
      </c>
    </row>
    <row r="106">
      <c r="A106" s="2" t="inlineStr">
        <is>
          <t xml:space="preserve">      ✅ OK: Giờ ảnh Log (11:51:14) &gt;= Giờ bắt đầu (11:51:13).</t>
        </is>
      </c>
    </row>
    <row r="107">
      <c r="A107" s="2" t="inlineStr">
        <is>
          <t xml:space="preserve">      ✅ OK: Jobnet ID 'P1J0022@10022' khớp với dữ liệu trong Log.</t>
        </is>
      </c>
    </row>
    <row r="108">
      <c r="A108" t="inlineStr">
        <is>
          <t xml:space="preserve">  - [Đối chiếu Testcase trong Log]:</t>
        </is>
      </c>
    </row>
    <row r="109">
      <c r="A109" t="inlineStr">
        <is>
          <t xml:space="preserve">  - [Đối chiếu テスト計画書兼結果報告書(共通)]: Tìm thấy 1 dòng (22)</t>
        </is>
      </c>
    </row>
    <row r="110">
      <c r="A110" s="2" t="inlineStr">
        <is>
          <t xml:space="preserve">      + Số lần test (Cột K): ✅ Tất cả 1 dòng đều khớp (Lần 4)</t>
        </is>
      </c>
    </row>
    <row r="111">
      <c r="A111" s="2" t="inlineStr">
        <is>
          <t xml:space="preserve">      + Ngày test (Cột I/G): ✅ Khớp ngày (2026/05/18) cho tất cả các dòng có dữ liệu</t>
        </is>
      </c>
    </row>
    <row r="112">
      <c r="A112" t="inlineStr"/>
    </row>
    <row r="113">
      <c r="A113" s="1" t="inlineStr">
        <is>
          <t>[Nhóm Test]: ■5回目 正常系・0byteファイル</t>
        </is>
      </c>
    </row>
    <row r="114">
      <c r="A114" t="inlineStr">
        <is>
          <t xml:space="preserve">  - Tổng số dòng log: 61</t>
        </is>
      </c>
    </row>
    <row r="115">
      <c r="A115" s="2" t="inlineStr">
        <is>
          <t xml:space="preserve">  - Trạng thái Sort (行): ✅ Đã sắp xếp tăng dần hợp lệ.</t>
        </is>
      </c>
    </row>
    <row r="116">
      <c r="A116" t="inlineStr">
        <is>
          <t xml:space="preserve">  - Ngày chạy log: 2026/05/18</t>
        </is>
      </c>
    </row>
    <row r="117">
      <c r="A117" t="inlineStr">
        <is>
          <t xml:space="preserve">  - [Ảnh Status Panel]: Tìm thấy Jobnet ID: 'P1J0022@10022'</t>
        </is>
      </c>
    </row>
    <row r="118">
      <c r="A118" t="inlineStr">
        <is>
          <t xml:space="preserve">  - [Ảnh Status Panel]: Tìm thấy Interface ID: 'WMSH0022'</t>
        </is>
      </c>
    </row>
    <row r="119">
      <c r="A119" s="2" t="inlineStr">
        <is>
          <t xml:space="preserve">      ✅ OK: Interface ID 'WMSH0022' có tồn tại trong tên file Excel.</t>
        </is>
      </c>
    </row>
    <row r="120">
      <c r="A120" t="inlineStr">
        <is>
          <t xml:space="preserve">  - [Ảnh Status Panel]: Tìm thấy giờ bắt đầu là 11:54:18</t>
        </is>
      </c>
    </row>
    <row r="121">
      <c r="A121" s="2" t="inlineStr">
        <is>
          <t xml:space="preserve">      ✅ OK: Thời gian log (11:54:18) &gt;= Thời gian ảnh (11:54:18)</t>
        </is>
      </c>
    </row>
    <row r="122">
      <c r="A122" s="2" t="inlineStr">
        <is>
          <t xml:space="preserve">      ✅ OK: Duration Log Main (234ms) &lt; Duration Ảnh (421ms)</t>
        </is>
      </c>
    </row>
    <row r="123">
      <c r="A123" t="inlineStr">
        <is>
          <t xml:space="preserve">  - [Ảnh Log Viewer]: Tìm thấy thời gian kết thúc trong ảnh log là '11:54:18'</t>
        </is>
      </c>
    </row>
    <row r="124">
      <c r="A124" s="2" t="inlineStr">
        <is>
          <t xml:space="preserve">      ✅ OK: Giờ kết thúc trong ảnh Log (11:54:18) KHỚP với log text (11:54:18).</t>
        </is>
      </c>
    </row>
    <row r="125">
      <c r="A125" s="2" t="inlineStr">
        <is>
          <t xml:space="preserve">      ✅ OK: Giờ ảnh Log (11:54:18) &gt;= Giờ bắt đầu (11:54:18).</t>
        </is>
      </c>
    </row>
    <row r="126">
      <c r="A126" s="2" t="inlineStr">
        <is>
          <t xml:space="preserve">      ✅ OK: Jobnet ID 'P1J0022@10022' khớp với dữ liệu trong Log.</t>
        </is>
      </c>
    </row>
    <row r="127">
      <c r="A127" t="inlineStr">
        <is>
          <t xml:space="preserve">  - [Kiểm tra File]: Log text báo có tạo ra file 'WMSH0022_output.tsv'.</t>
        </is>
      </c>
    </row>
    <row r="128">
      <c r="A128" s="2" t="inlineStr">
        <is>
          <t xml:space="preserve">      ✅ OK: Tên file trong ảnh File Explorer (WMSH0022_output.tsv) KHỚP với tên file trong Log text.</t>
        </is>
      </c>
    </row>
    <row r="129">
      <c r="A129" t="inlineStr">
        <is>
          <t xml:space="preserve">  - [Ảnh File Explorer]: Tìm thấy file 'WMSH0022_output.tsv' có Date modified là '2026/05/18 11:54'</t>
        </is>
      </c>
    </row>
    <row r="130">
      <c r="A130" s="2" t="inlineStr">
        <is>
          <t xml:space="preserve">      ✅ OK: Thời gian xuất file 'WMSH0022_output.tsv' (2026/05/18 11:54) KHỚP với log (2026/05/18 11:54).</t>
        </is>
      </c>
    </row>
    <row r="131">
      <c r="A131" t="inlineStr">
        <is>
          <t xml:space="preserve">  - [Đối chiếu Testcase trong Log]:</t>
        </is>
      </c>
    </row>
    <row r="132">
      <c r="A132" t="inlineStr">
        <is>
          <t xml:space="preserve">  - [Đối chiếu テスト計画書兼結果報告書(共通)]: Tìm thấy 2 dòng (26, 46)</t>
        </is>
      </c>
    </row>
    <row r="133">
      <c r="A133" s="2" t="inlineStr">
        <is>
          <t xml:space="preserve">      + Số lần test (Cột K): ✅ Tất cả 2 dòng đều khớp (Lần 5)</t>
        </is>
      </c>
    </row>
    <row r="134">
      <c r="A134" s="2" t="inlineStr">
        <is>
          <t xml:space="preserve">      + Ngày test (Cột I/G): ✅ Khớp ngày (2026/05/18) cho tất cả các dòng có dữ liệu</t>
        </is>
      </c>
    </row>
    <row r="135">
      <c r="A135" t="inlineStr"/>
    </row>
    <row r="136">
      <c r="A136" s="1" t="inlineStr">
        <is>
          <t>[Nhóm Test]: ■6回目 正常系・データ行1000行</t>
        </is>
      </c>
    </row>
    <row r="137">
      <c r="A137" t="inlineStr">
        <is>
          <t xml:space="preserve">  - Tổng số dòng log: 65</t>
        </is>
      </c>
    </row>
    <row r="138">
      <c r="A138" s="2" t="inlineStr">
        <is>
          <t xml:space="preserve">  - Trạng thái Sort (行): ✅ Đã sắp xếp tăng dần hợp lệ.</t>
        </is>
      </c>
    </row>
    <row r="139">
      <c r="A139" t="inlineStr">
        <is>
          <t xml:space="preserve">  - Ngày chạy log: 2026/05/18</t>
        </is>
      </c>
    </row>
    <row r="140">
      <c r="A140" t="inlineStr">
        <is>
          <t xml:space="preserve">  - [Ảnh Status Panel]: Tìm thấy Jobnet ID: 'P1J0022@10022'</t>
        </is>
      </c>
    </row>
    <row r="141">
      <c r="A141" t="inlineStr">
        <is>
          <t xml:space="preserve">  - [Ảnh Status Panel]: Tìm thấy Interface ID: 'WMSH0022'</t>
        </is>
      </c>
    </row>
    <row r="142">
      <c r="A142" s="2" t="inlineStr">
        <is>
          <t xml:space="preserve">      ✅ OK: Interface ID 'WMSH0022' có tồn tại trong tên file Excel.</t>
        </is>
      </c>
    </row>
    <row r="143">
      <c r="A143" t="inlineStr">
        <is>
          <t xml:space="preserve">  - [Ảnh Status Panel]: Tìm thấy giờ bắt đầu là 11:59:31</t>
        </is>
      </c>
    </row>
    <row r="144">
      <c r="A144" s="2" t="inlineStr">
        <is>
          <t xml:space="preserve">      ✅ OK: Thời gian log (11:59:31) &gt;= Thời gian ảnh (11:59:31)</t>
        </is>
      </c>
    </row>
    <row r="145">
      <c r="A145" s="2" t="inlineStr">
        <is>
          <t xml:space="preserve">      ✅ OK: Duration Log Main (721ms) &lt; Duration Ảnh (922ms)</t>
        </is>
      </c>
    </row>
    <row r="146">
      <c r="A146" t="inlineStr">
        <is>
          <t xml:space="preserve">  - [Ảnh Log Viewer]: Tìm thấy thời gian kết thúc trong ảnh log là '11:59:32'</t>
        </is>
      </c>
    </row>
    <row r="147">
      <c r="A147" s="2" t="inlineStr">
        <is>
          <t xml:space="preserve">      ✅ OK: Giờ kết thúc trong ảnh Log (11:59:32) KHỚP với log text (11:59:32).</t>
        </is>
      </c>
    </row>
    <row r="148">
      <c r="A148" s="2" t="inlineStr">
        <is>
          <t xml:space="preserve">      ✅ OK: Giờ ảnh Log (11:59:32) &gt;= Giờ bắt đầu (11:59:31).</t>
        </is>
      </c>
    </row>
    <row r="149">
      <c r="A149" s="2" t="inlineStr">
        <is>
          <t xml:space="preserve">      ✅ OK: Jobnet ID 'P1J0022@10022' khớp với dữ liệu trong Log.</t>
        </is>
      </c>
    </row>
    <row r="150">
      <c r="A150" t="inlineStr">
        <is>
          <t xml:space="preserve">  - [Kiểm tra File]: Log text báo có tạo ra file 'WMSH0022_output.tsv'.</t>
        </is>
      </c>
    </row>
    <row r="151">
      <c r="A151" s="2" t="inlineStr">
        <is>
          <t xml:space="preserve">      ✅ OK: Tên file trong ảnh File Explorer (WMSH0022_output.tsv) KHỚP với tên file trong Log text.</t>
        </is>
      </c>
    </row>
    <row r="152">
      <c r="A152" t="inlineStr">
        <is>
          <t xml:space="preserve">  - [Ảnh File Explorer]: Tìm thấy file 'WMSH0022_output.tsv' có Date modified là '2026/05/18 11:59'</t>
        </is>
      </c>
    </row>
    <row r="153">
      <c r="A153" s="2" t="inlineStr">
        <is>
          <t xml:space="preserve">      ✅ OK: Thời gian xuất file 'WMSH0022_output.tsv' (2026/05/18 11:59) KHỚP với log (2026/05/18 11:59).</t>
        </is>
      </c>
    </row>
    <row r="154">
      <c r="A154" t="inlineStr">
        <is>
          <t xml:space="preserve">  - [Đối chiếu Testcase trong Log]:</t>
        </is>
      </c>
    </row>
    <row r="155">
      <c r="A155" t="inlineStr">
        <is>
          <t xml:space="preserve">  - [Đối chiếu テスト計画書兼結果報告書(共通)]: Tìm thấy 1 dòng (29)</t>
        </is>
      </c>
    </row>
    <row r="156">
      <c r="A156" s="2" t="inlineStr">
        <is>
          <t xml:space="preserve">      + Số lần test (Cột K): ✅ Tất cả 1 dòng đều khớp (Lần 6)</t>
        </is>
      </c>
    </row>
    <row r="157">
      <c r="A157" s="2" t="inlineStr">
        <is>
          <t xml:space="preserve">      + Ngày test (Cột I/G): ✅ Khớp ngày (2026/05/18) cho tất cả các dòng có dữ liệu</t>
        </is>
      </c>
    </row>
    <row r="158">
      <c r="A158" t="inlineStr"/>
    </row>
    <row r="159">
      <c r="A159" s="1" t="inlineStr">
        <is>
          <t>[Nhóm Test]: ■7回目 正常系・データ行1000行以上</t>
        </is>
      </c>
    </row>
    <row r="160">
      <c r="A160" t="inlineStr">
        <is>
          <t xml:space="preserve">  - Tổng số dòng log: 77</t>
        </is>
      </c>
    </row>
    <row r="161">
      <c r="A161" s="2" t="inlineStr">
        <is>
          <t xml:space="preserve">  - Trạng thái Sort (行): ✅ Đã sắp xếp tăng dần hợp lệ.</t>
        </is>
      </c>
    </row>
    <row r="162">
      <c r="A162" t="inlineStr">
        <is>
          <t xml:space="preserve">  - Ngày chạy log: 2026/05/19</t>
        </is>
      </c>
    </row>
    <row r="163">
      <c r="A163" t="inlineStr">
        <is>
          <t xml:space="preserve">  - [Ảnh Status Panel]: Tìm thấy Jobnet ID: 'P1J0022@10022'</t>
        </is>
      </c>
    </row>
    <row r="164">
      <c r="A164" t="inlineStr">
        <is>
          <t xml:space="preserve">  - [Ảnh Status Panel]: Tìm thấy Interface ID: 'WMSH0022'</t>
        </is>
      </c>
    </row>
    <row r="165">
      <c r="A165" s="2" t="inlineStr">
        <is>
          <t xml:space="preserve">      ✅ OK: Interface ID 'WMSH0022' có tồn tại trong tên file Excel.</t>
        </is>
      </c>
    </row>
    <row r="166">
      <c r="A166" t="inlineStr">
        <is>
          <t xml:space="preserve">  - [Ảnh Status Panel]: Tìm thấy giờ bắt đầu là 17:39:01</t>
        </is>
      </c>
    </row>
    <row r="167">
      <c r="A167" s="2" t="inlineStr">
        <is>
          <t xml:space="preserve">      ✅ OK: Thời gian log (17:39:01) &gt;= Thời gian ảnh (17:39:01)</t>
        </is>
      </c>
    </row>
    <row r="168">
      <c r="A168" s="2" t="inlineStr">
        <is>
          <t xml:space="preserve">      ✅ OK: Duration Log Main (874ms) &lt; Duration Ảnh (1112ms)</t>
        </is>
      </c>
    </row>
    <row r="169">
      <c r="A169" t="inlineStr">
        <is>
          <t xml:space="preserve">  - [Ảnh Log Viewer]: Tìm thấy thời gian kết thúc trong ảnh log là '17:39:02'</t>
        </is>
      </c>
    </row>
    <row r="170">
      <c r="A170" s="2" t="inlineStr">
        <is>
          <t xml:space="preserve">      ✅ OK: Giờ kết thúc trong ảnh Log (17:39:02) KHỚP với log text (17:39:02).</t>
        </is>
      </c>
    </row>
    <row r="171">
      <c r="A171" s="2" t="inlineStr">
        <is>
          <t xml:space="preserve">      ✅ OK: Giờ ảnh Log (17:39:02) &gt;= Giờ bắt đầu (17:39:01).</t>
        </is>
      </c>
    </row>
    <row r="172">
      <c r="A172" s="2" t="inlineStr">
        <is>
          <t xml:space="preserve">      ✅ OK: Jobnet ID 'P1J0022@10022' khớp với dữ liệu trong Log.</t>
        </is>
      </c>
    </row>
    <row r="173">
      <c r="A173" t="inlineStr">
        <is>
          <t xml:space="preserve">  - [Kiểm tra File]: Log text báo có tạo ra file 'WMSH0022_output.tsv'.</t>
        </is>
      </c>
    </row>
    <row r="174">
      <c r="A174" s="2" t="inlineStr">
        <is>
          <t xml:space="preserve">      ✅ OK: Tên file trong ảnh File Explorer (WMSH0022_output.tsv) KHỚP với tên file trong Log text.</t>
        </is>
      </c>
    </row>
    <row r="175">
      <c r="A175" t="inlineStr">
        <is>
          <t xml:space="preserve">  - [Ảnh File Explorer]: Tìm thấy file 'WMSH0022_output.tsv' có Date modified là '2026/05/19 17:39'</t>
        </is>
      </c>
    </row>
    <row r="176">
      <c r="A176" s="2" t="inlineStr">
        <is>
          <t xml:space="preserve">      ✅ OK: Thời gian xuất file 'WMSH0022_output.tsv' (2026/05/19 17:39) KHỚP với log (2026/05/19 17:39).</t>
        </is>
      </c>
    </row>
    <row r="177">
      <c r="A177" t="inlineStr">
        <is>
          <t xml:space="preserve">  - [Đối chiếu Testcase trong Log]:</t>
        </is>
      </c>
    </row>
    <row r="178">
      <c r="A178" t="inlineStr">
        <is>
          <t xml:space="preserve">  - [Đối chiếu テスト計画書兼結果報告書(共通)]: Tìm thấy 2 dòng (30, 35)</t>
        </is>
      </c>
    </row>
    <row r="179">
      <c r="A179" s="2" t="inlineStr">
        <is>
          <t xml:space="preserve">      + Số lần test (Cột K): ✅ Tất cả 2 dòng đều khớp (Lần 7)</t>
        </is>
      </c>
    </row>
    <row r="180">
      <c r="A180" s="2" t="inlineStr">
        <is>
          <t xml:space="preserve">      + Ngày test (Cột I/G): ✅ Khớp ngày (2026/05/19) cho tất cả các dòng có dữ liệu</t>
        </is>
      </c>
    </row>
    <row r="181">
      <c r="A181" t="inlineStr"/>
    </row>
    <row r="182">
      <c r="A182" s="1">
        <f>=============== ĐANG PHÂN TÍCH KẾT QUẢ SHEET: エビデンス(個別) ================</f>
        <v/>
      </c>
    </row>
    <row r="183">
      <c r="A183" t="inlineStr"/>
    </row>
    <row r="184">
      <c r="A184" s="1" t="inlineStr">
        <is>
          <t>[Nhóm Test]: ■1回目 正常系・0byteファイル</t>
        </is>
      </c>
    </row>
    <row r="185">
      <c r="A185" t="inlineStr">
        <is>
          <t xml:space="preserve">  - Tổng số dòng log: 61</t>
        </is>
      </c>
    </row>
    <row r="186">
      <c r="A186" s="2" t="inlineStr">
        <is>
          <t xml:space="preserve">  - Trạng thái Sort (行): ✅ Đã sắp xếp tăng dần hợp lệ.</t>
        </is>
      </c>
    </row>
    <row r="187">
      <c r="A187" t="inlineStr">
        <is>
          <t xml:space="preserve">  - Ngày chạy log: 2026/05/18</t>
        </is>
      </c>
    </row>
    <row r="188">
      <c r="A188" t="inlineStr">
        <is>
          <t xml:space="preserve">  - [Ảnh Status Panel]: Tìm thấy Jobnet ID: 'P1J0022@10022'</t>
        </is>
      </c>
    </row>
    <row r="189">
      <c r="A189" t="inlineStr">
        <is>
          <t xml:space="preserve">  - [Ảnh Status Panel]: Tìm thấy Interface ID: 'WMSH0022'</t>
        </is>
      </c>
    </row>
    <row r="190">
      <c r="A190" s="2" t="inlineStr">
        <is>
          <t xml:space="preserve">      ✅ OK: Interface ID 'WMSH0022' có tồn tại trong tên file Excel.</t>
        </is>
      </c>
    </row>
    <row r="191">
      <c r="A191" t="inlineStr">
        <is>
          <t xml:space="preserve">  - [Ảnh Status Panel]: Tìm thấy giờ bắt đầu là 12:21:33</t>
        </is>
      </c>
    </row>
    <row r="192">
      <c r="A192" s="2" t="inlineStr">
        <is>
          <t xml:space="preserve">      ✅ OK: Thời gian log (12:21:33) &gt;= Thời gian ảnh (12:21:33)</t>
        </is>
      </c>
    </row>
    <row r="193">
      <c r="A193" s="2" t="inlineStr">
        <is>
          <t xml:space="preserve">      ✅ OK: Duration Log Main (363ms) &lt; Duration Ảnh (593ms)</t>
        </is>
      </c>
    </row>
    <row r="194">
      <c r="A194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95">
      <c r="A195" s="2" t="inlineStr">
        <is>
          <t xml:space="preserve">      ✅ OK: Jobnet ID 'P1J0022@10022' khớp với dữ liệu trong Log.</t>
        </is>
      </c>
    </row>
    <row r="196">
      <c r="A196" t="inlineStr">
        <is>
          <t xml:space="preserve">  - [Kiểm tra File]: Log text báo có tạo ra file 'WMSH0022_output.tsv'.</t>
        </is>
      </c>
    </row>
    <row r="197">
      <c r="A197" s="2" t="inlineStr">
        <is>
          <t xml:space="preserve">      ✅ OK: Tên file trong ảnh File Explorer (WMSH0022_output.tsv) KHỚP với tên file trong Log text.</t>
        </is>
      </c>
    </row>
    <row r="198">
      <c r="A198" t="inlineStr">
        <is>
          <t xml:space="preserve">  - [Ảnh File Explorer]: Tìm thấy file 'WMSH0022_output.tsv' có Date modified là '2026/05/18 12:21'</t>
        </is>
      </c>
    </row>
    <row r="199">
      <c r="A199" s="2" t="inlineStr">
        <is>
          <t xml:space="preserve">      ✅ OK: Thời gian xuất file 'WMSH0022_output.tsv' (2026/05/18 12:21) KHỚP với log (2026/05/18 12:21).</t>
        </is>
      </c>
    </row>
    <row r="200">
      <c r="A200" t="inlineStr">
        <is>
          <t xml:space="preserve">  - [Đối chiếu Testcase trong Log]:</t>
        </is>
      </c>
    </row>
    <row r="201">
      <c r="A201" t="inlineStr">
        <is>
          <t xml:space="preserve">  - [Đối chiếu テスト計画書兼結果報告書(個別)]: Tìm thấy 1 dòng (6)</t>
        </is>
      </c>
    </row>
    <row r="202">
      <c r="A202" s="2" t="inlineStr">
        <is>
          <t xml:space="preserve">      + Số lần test (Cột K): ✅ Tất cả 1 dòng đều khớp (Lần 1)</t>
        </is>
      </c>
    </row>
    <row r="203">
      <c r="A203" s="2" t="inlineStr">
        <is>
          <t xml:space="preserve">      + Ngày test (Cột I/G): ✅ Khớp ngày (2026/05/18) cho tất cả các dòng có dữ liệu</t>
        </is>
      </c>
    </row>
    <row r="204">
      <c r="A204" t="inlineStr"/>
    </row>
    <row r="205">
      <c r="A205" s="1" t="inlineStr">
        <is>
          <t>[Nhóm Test]: ■2回目 正常系・全項目空データファイル</t>
        </is>
      </c>
    </row>
    <row r="206">
      <c r="A206" t="inlineStr">
        <is>
          <t xml:space="preserve">  - Tổng số dòng log: 65</t>
        </is>
      </c>
    </row>
    <row r="207">
      <c r="A207" s="2" t="inlineStr">
        <is>
          <t xml:space="preserve">  - Trạng thái Sort (行): ✅ Đã sắp xếp tăng dần hợp lệ.</t>
        </is>
      </c>
    </row>
    <row r="208">
      <c r="A208" t="inlineStr">
        <is>
          <t xml:space="preserve">  - Ngày chạy log: 2026/05/18</t>
        </is>
      </c>
    </row>
    <row r="209">
      <c r="A209" t="inlineStr">
        <is>
          <t xml:space="preserve">  - [Ảnh Status Panel]: Tìm thấy Jobnet ID: 'P1J0022@10022'</t>
        </is>
      </c>
    </row>
    <row r="210">
      <c r="A210" t="inlineStr">
        <is>
          <t xml:space="preserve">  - [Ảnh Status Panel]: Tìm thấy Interface ID: 'WMSH0022'</t>
        </is>
      </c>
    </row>
    <row r="211">
      <c r="A211" s="2" t="inlineStr">
        <is>
          <t xml:space="preserve">      ✅ OK: Interface ID 'WMSH0022' có tồn tại trong tên file Excel.</t>
        </is>
      </c>
    </row>
    <row r="212">
      <c r="A212" t="inlineStr">
        <is>
          <t xml:space="preserve">  - [Ảnh Status Panel]: Tìm thấy giờ bắt đầu là 12:26:45</t>
        </is>
      </c>
    </row>
    <row r="213">
      <c r="A213" s="2" t="inlineStr">
        <is>
          <t xml:space="preserve">      ✅ OK: Thời gian log (12:26:45) &gt;= Thời gian ảnh (12:26:45)</t>
        </is>
      </c>
    </row>
    <row r="214">
      <c r="A214" s="2" t="inlineStr">
        <is>
          <t xml:space="preserve">      ✅ OK: Duration Log Main (388ms) &lt; Duration Ảnh (624ms)</t>
        </is>
      </c>
    </row>
    <row r="215">
      <c r="A215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16">
      <c r="A216" s="2" t="inlineStr">
        <is>
          <t xml:space="preserve">      ✅ OK: Jobnet ID 'P1J0022@10022' khớp với dữ liệu trong Log.</t>
        </is>
      </c>
    </row>
    <row r="217">
      <c r="A217" t="inlineStr">
        <is>
          <t xml:space="preserve">  - [Kiểm tra File]: Log text báo có tạo ra file 'WMSH0022_output.tsv'.</t>
        </is>
      </c>
    </row>
    <row r="218">
      <c r="A218" s="2" t="inlineStr">
        <is>
          <t xml:space="preserve">      ✅ OK: Tên file trong ảnh File Explorer (WMSH0022_output.tsv) KHỚP với tên file trong Log text.</t>
        </is>
      </c>
    </row>
    <row r="219">
      <c r="A219" t="inlineStr">
        <is>
          <t xml:space="preserve">  - [Ảnh File Explorer]: Tìm thấy file 'WMSH0022_output.tsv' có Date modified là '2026/05/18 12:26'</t>
        </is>
      </c>
    </row>
    <row r="220">
      <c r="A220" s="2" t="inlineStr">
        <is>
          <t xml:space="preserve">      ✅ OK: Thời gian xuất file 'WMSH0022_output.tsv' (2026/05/18 12:26) KHỚP với log (2026/05/18 12:26).</t>
        </is>
      </c>
    </row>
    <row r="221">
      <c r="A221" t="inlineStr">
        <is>
          <t xml:space="preserve">  - [Đối chiếu Testcase trong Log]:</t>
        </is>
      </c>
    </row>
    <row r="222">
      <c r="A222" t="inlineStr">
        <is>
          <t xml:space="preserve">  - [Đối chiếu テスト計画書兼結果報告書(個別)]: Tìm thấy 1 dòng (8)</t>
        </is>
      </c>
    </row>
    <row r="223">
      <c r="A223" s="2" t="inlineStr">
        <is>
          <t xml:space="preserve">      + Số lần test (Cột K): ✅ Tất cả 1 dòng đều khớp (Lần 2)</t>
        </is>
      </c>
    </row>
    <row r="224">
      <c r="A224" s="2" t="inlineStr">
        <is>
          <t xml:space="preserve">      + Ngày test (Cột I/G): ✅ Khớp ngày (2026/05/18) cho tất cả các dòng có dữ liệu</t>
        </is>
      </c>
    </row>
    <row r="225">
      <c r="A225" t="inlineStr"/>
    </row>
    <row r="226">
      <c r="A226" s="1" t="inlineStr">
        <is>
          <t>[Nhóm Test]: ■3回目 正常系・ファイル定義確認</t>
        </is>
      </c>
    </row>
    <row r="227">
      <c r="A227" t="inlineStr">
        <is>
          <t xml:space="preserve">  - Tổng số dòng log: 65</t>
        </is>
      </c>
    </row>
    <row r="228">
      <c r="A228" s="2" t="inlineStr">
        <is>
          <t xml:space="preserve">  - Trạng thái Sort (行): ✅ Đã sắp xếp tăng dần hợp lệ.</t>
        </is>
      </c>
    </row>
    <row r="229">
      <c r="A229" t="inlineStr">
        <is>
          <t xml:space="preserve">  - Ngày chạy log: 2026/05/18</t>
        </is>
      </c>
    </row>
    <row r="230">
      <c r="A230" t="inlineStr">
        <is>
          <t xml:space="preserve">  - [Ảnh Status Panel]: Tìm thấy Jobnet ID: 'P1J0022@10022'</t>
        </is>
      </c>
    </row>
    <row r="231">
      <c r="A231" t="inlineStr">
        <is>
          <t xml:space="preserve">  - [Ảnh Status Panel]: Tìm thấy Interface ID: 'WMSH0022'</t>
        </is>
      </c>
    </row>
    <row r="232">
      <c r="A232" s="2" t="inlineStr">
        <is>
          <t xml:space="preserve">      ✅ OK: Interface ID 'WMSH0022' có tồn tại trong tên file Excel.</t>
        </is>
      </c>
    </row>
    <row r="233">
      <c r="A233" t="inlineStr">
        <is>
          <t xml:space="preserve">  - [Ảnh Status Panel]: Tìm thấy giờ bắt đầu là 12:33:36</t>
        </is>
      </c>
    </row>
    <row r="234">
      <c r="A234" s="2" t="inlineStr">
        <is>
          <t xml:space="preserve">      ✅ OK: Thời gian log (12:33:36) &gt;= Thời gian ảnh (12:33:36)</t>
        </is>
      </c>
    </row>
    <row r="235">
      <c r="A235" s="2" t="inlineStr">
        <is>
          <t xml:space="preserve">      ✅ OK: Duration Log Main (369ms) &lt; Duration Ảnh (578ms)</t>
        </is>
      </c>
    </row>
    <row r="236">
      <c r="A236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37">
      <c r="A237" s="2" t="inlineStr">
        <is>
          <t xml:space="preserve">      ✅ OK: Jobnet ID 'P1J0022@10022' khớp với dữ liệu trong Log.</t>
        </is>
      </c>
    </row>
    <row r="238">
      <c r="A238" t="inlineStr">
        <is>
          <t xml:space="preserve">  - [Kiểm tra File]: Log text báo có tạo ra file 'WMSH0022_output.tsv'.</t>
        </is>
      </c>
    </row>
    <row r="239">
      <c r="A239" s="2" t="inlineStr">
        <is>
          <t xml:space="preserve">      ✅ OK: Tên file trong ảnh File Explorer (WMSH0022_output.tsv) KHỚP với tên file trong Log text.</t>
        </is>
      </c>
    </row>
    <row r="240">
      <c r="A240" t="inlineStr">
        <is>
          <t xml:space="preserve">  - [Ảnh File Explorer]: Tìm thấy file 'WMSH0022_output.tsv' có Date modified là '2026/05/18 12:33'</t>
        </is>
      </c>
    </row>
    <row r="241">
      <c r="A241" s="2" t="inlineStr">
        <is>
          <t xml:space="preserve">      ✅ OK: Thời gian xuất file 'WMSH0022_output.tsv' (2026/05/18 12:33) KHỚP với log (2026/05/18 12:33).</t>
        </is>
      </c>
    </row>
    <row r="242">
      <c r="A242" t="inlineStr">
        <is>
          <t xml:space="preserve">  - [Đối chiếu Testcase trong Log]:</t>
        </is>
      </c>
    </row>
    <row r="243">
      <c r="A243" t="inlineStr">
        <is>
          <t xml:space="preserve">  - [Đối chiếu テスト計画書兼結果報告書(個別)]: Tìm thấy 13 dòng (13, 18, 19, 20, 21, 22, 23, 25, 26, 27, 28, 29, 30)</t>
        </is>
      </c>
    </row>
    <row r="244">
      <c r="A244" s="2" t="inlineStr">
        <is>
          <t xml:space="preserve">      + Số lần test (Cột K): ✅ Tất cả 13 dòng đều khớp (Lần 3)</t>
        </is>
      </c>
    </row>
    <row r="245">
      <c r="A245" s="2" t="inlineStr">
        <is>
          <t xml:space="preserve">      + Ngày test (Cột I/G): ✅ Khớp ngày (2026/05/18) cho tất cả các dòng có dữ liệu</t>
        </is>
      </c>
    </row>
    <row r="246">
      <c r="A246" t="inlineStr"/>
    </row>
    <row r="247">
      <c r="A247" s="1" t="inlineStr">
        <is>
          <t>[Nhóm Test]: ■4回目正常系・列分割→行変換確認（明細0件）</t>
        </is>
      </c>
    </row>
    <row r="248">
      <c r="A248" t="inlineStr">
        <is>
          <t xml:space="preserve">  - Tổng số dòng log: 65</t>
        </is>
      </c>
    </row>
    <row r="249">
      <c r="A249" s="2" t="inlineStr">
        <is>
          <t xml:space="preserve">  - Trạng thái Sort (行): ✅ Đã sắp xếp tăng dần hợp lệ.</t>
        </is>
      </c>
    </row>
    <row r="250">
      <c r="A250" t="inlineStr">
        <is>
          <t xml:space="preserve">  - Ngày chạy log: 2026/05/18</t>
        </is>
      </c>
    </row>
    <row r="251">
      <c r="A251" t="inlineStr">
        <is>
          <t xml:space="preserve">  - [Ảnh Status Panel]: Tìm thấy Jobnet ID: 'P1J0022@10022'</t>
        </is>
      </c>
    </row>
    <row r="252">
      <c r="A252" t="inlineStr">
        <is>
          <t xml:space="preserve">  - [Ảnh Status Panel]: Tìm thấy Interface ID: 'WMSH0022'</t>
        </is>
      </c>
    </row>
    <row r="253">
      <c r="A253" s="2" t="inlineStr">
        <is>
          <t xml:space="preserve">      ✅ OK: Interface ID 'WMSH0022' có tồn tại trong tên file Excel.</t>
        </is>
      </c>
    </row>
    <row r="254">
      <c r="A254" t="inlineStr">
        <is>
          <t xml:space="preserve">  - [Ảnh Status Panel]: Tìm thấy giờ bắt đầu là 12:57:59</t>
        </is>
      </c>
    </row>
    <row r="255">
      <c r="A255" s="2" t="inlineStr">
        <is>
          <t xml:space="preserve">      ✅ OK: Thời gian log (12:57:59) &gt;= Thời gian ảnh (12:57:59)</t>
        </is>
      </c>
    </row>
    <row r="256">
      <c r="A256" s="2" t="inlineStr">
        <is>
          <t xml:space="preserve">      ✅ OK: Duration Log Main (389ms) &lt; Duration Ảnh (609ms)</t>
        </is>
      </c>
    </row>
    <row r="257">
      <c r="A257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58">
      <c r="A258" s="2" t="inlineStr">
        <is>
          <t xml:space="preserve">      ✅ OK: Jobnet ID 'P1J0022@10022' khớp với dữ liệu trong Log.</t>
        </is>
      </c>
    </row>
    <row r="259">
      <c r="A259" t="inlineStr">
        <is>
          <t xml:space="preserve">  - [Kiểm tra File]: Log text báo có tạo ra file 'WMSH0022_output.tsv'.</t>
        </is>
      </c>
    </row>
    <row r="260">
      <c r="A260" s="2" t="inlineStr">
        <is>
          <t xml:space="preserve">      ✅ OK: Tên file trong ảnh File Explorer (WMSH0022_output.tsv) KHỚP với tên file trong Log text.</t>
        </is>
      </c>
    </row>
    <row r="261">
      <c r="A261" t="inlineStr">
        <is>
          <t xml:space="preserve">  - [Ảnh File Explorer]: Tìm thấy file 'WMSH0022_output.tsv' có Date modified là '2026/05/18 12:57'</t>
        </is>
      </c>
    </row>
    <row r="262">
      <c r="A262" s="4" t="inlineStr">
        <is>
          <t xml:space="preserve">      ❌ LỖI: Thời gian xuất file 'WMSH0022_output.tsv' (2026/05/18 12:57) LỆCH với log (2026/05/18 12:58).</t>
        </is>
      </c>
    </row>
    <row r="263">
      <c r="A263" t="inlineStr">
        <is>
          <t xml:space="preserve">  - [Đối chiếu Testcase trong Log]:</t>
        </is>
      </c>
    </row>
    <row r="264">
      <c r="A264" t="inlineStr">
        <is>
          <t xml:space="preserve">  - [Đối chiếu テスト計画書兼結果報告書(個別)]: Tìm thấy 1 dòng (11)</t>
        </is>
      </c>
    </row>
    <row r="265">
      <c r="A265" s="2" t="inlineStr">
        <is>
          <t xml:space="preserve">      + Số lần test (Cột K): ✅ Tất cả 1 dòng đều khớp (Lần 4)</t>
        </is>
      </c>
    </row>
    <row r="266">
      <c r="A266" s="2" t="inlineStr">
        <is>
          <t xml:space="preserve">      + Ngày test (Cột I/G): ✅ Khớp ngày (2026/05/18) cho tất cả các dòng có dữ liệu</t>
        </is>
      </c>
    </row>
    <row r="267">
      <c r="A267" t="inlineStr"/>
    </row>
    <row r="268">
      <c r="A268" s="1" t="inlineStr">
        <is>
          <t>[Nhóm Test]: ■5回目正常系・列分割→行変換確認（明細1件）</t>
        </is>
      </c>
    </row>
    <row r="269">
      <c r="A269" t="inlineStr">
        <is>
          <t xml:space="preserve">  - Tổng số dòng log: 65</t>
        </is>
      </c>
    </row>
    <row r="270">
      <c r="A270" s="2" t="inlineStr">
        <is>
          <t xml:space="preserve">  - Trạng thái Sort (行): ✅ Đã sắp xếp tăng dần hợp lệ.</t>
        </is>
      </c>
    </row>
    <row r="271">
      <c r="A271" t="inlineStr">
        <is>
          <t xml:space="preserve">  - Ngày chạy log: 2026/05/18</t>
        </is>
      </c>
    </row>
    <row r="272">
      <c r="A272" t="inlineStr">
        <is>
          <t xml:space="preserve">  - [Ảnh Status Panel]: Tìm thấy Jobnet ID: 'P1J0022@10022'</t>
        </is>
      </c>
    </row>
    <row r="273">
      <c r="A273" t="inlineStr">
        <is>
          <t xml:space="preserve">  - [Ảnh Status Panel]: Tìm thấy Interface ID: 'WMSH0022'</t>
        </is>
      </c>
    </row>
    <row r="274">
      <c r="A274" s="2" t="inlineStr">
        <is>
          <t xml:space="preserve">      ✅ OK: Interface ID 'WMSH0022' có tồn tại trong tên file Excel.</t>
        </is>
      </c>
    </row>
    <row r="275">
      <c r="A275" t="inlineStr">
        <is>
          <t xml:space="preserve">  - [Ảnh Status Panel]: Tìm thấy giờ bắt đầu là 13:01:46</t>
        </is>
      </c>
    </row>
    <row r="276">
      <c r="A276" s="2" t="inlineStr">
        <is>
          <t xml:space="preserve">      ✅ OK: Thời gian log (13:01:47) &gt;= Thời gian ảnh (13:01:46)</t>
        </is>
      </c>
    </row>
    <row r="277">
      <c r="A277" s="2" t="inlineStr">
        <is>
          <t xml:space="preserve">      ✅ OK: Duration Log Main (209ms) &lt; Duration Ảnh (406ms)</t>
        </is>
      </c>
    </row>
    <row r="278">
      <c r="A278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79">
      <c r="A279" s="2" t="inlineStr">
        <is>
          <t xml:space="preserve">      ✅ OK: Jobnet ID 'P1J0022@10022' khớp với dữ liệu trong Log.</t>
        </is>
      </c>
    </row>
    <row r="280">
      <c r="A280" t="inlineStr">
        <is>
          <t xml:space="preserve">  - [Kiểm tra File]: Log text báo có tạo ra file 'WMSH0022_output.tsv'.</t>
        </is>
      </c>
    </row>
    <row r="281">
      <c r="A281" s="2" t="inlineStr">
        <is>
          <t xml:space="preserve">      ✅ OK: Tên file trong ảnh File Explorer (WMSH0022_output.tsv) KHỚP với tên file trong Log text.</t>
        </is>
      </c>
    </row>
    <row r="282">
      <c r="A282" t="inlineStr">
        <is>
          <t xml:space="preserve">  - [Ảnh File Explorer]: Tìm thấy file 'WMSH0022_output.tsv' có Date modified là '2026/05/18 13:01'</t>
        </is>
      </c>
    </row>
    <row r="283">
      <c r="A283" s="2" t="inlineStr">
        <is>
          <t xml:space="preserve">      ✅ OK: Thời gian xuất file 'WMSH0022_output.tsv' (2026/05/18 13:01) KHỚP với log (2026/05/18 13:01).</t>
        </is>
      </c>
    </row>
    <row r="284">
      <c r="A284" t="inlineStr">
        <is>
          <t xml:space="preserve">  - [Đối chiếu Testcase trong Log]:</t>
        </is>
      </c>
    </row>
    <row r="285">
      <c r="A285" t="inlineStr">
        <is>
          <t xml:space="preserve">  - [Đối chiếu テスト計画書兼結果報告書(個別)]: Tìm thấy 1 dòng (12)</t>
        </is>
      </c>
    </row>
    <row r="286">
      <c r="A286" s="2" t="inlineStr">
        <is>
          <t xml:space="preserve">      + Số lần test (Cột K): ✅ Tất cả 1 dòng đều khớp (Lần 5)</t>
        </is>
      </c>
    </row>
    <row r="287">
      <c r="A287" s="2" t="inlineStr">
        <is>
          <t xml:space="preserve">      + Ngày test (Cột I/G): ✅ Khớp ngày (2026/05/18) cho tất cả các dòng có dữ liệu</t>
        </is>
      </c>
    </row>
    <row r="288">
      <c r="A288" t="inlineStr"/>
    </row>
    <row r="289">
      <c r="A289" s="1" t="inlineStr">
        <is>
          <t>[Nhóm Test]: ■6回目正常系・列分割→行変換確認（明細4件）</t>
        </is>
      </c>
    </row>
    <row r="290">
      <c r="A290" t="inlineStr">
        <is>
          <t xml:space="preserve">  - Tổng số dòng log: 65</t>
        </is>
      </c>
    </row>
    <row r="291">
      <c r="A291" s="2" t="inlineStr">
        <is>
          <t xml:space="preserve">  - Trạng thái Sort (行): ✅ Đã sắp xếp tăng dần hợp lệ.</t>
        </is>
      </c>
    </row>
    <row r="292">
      <c r="A292" t="inlineStr">
        <is>
          <t xml:space="preserve">  - Ngày chạy log: 2026/05/18</t>
        </is>
      </c>
    </row>
    <row r="293">
      <c r="A293" t="inlineStr">
        <is>
          <t xml:space="preserve">  - [Ảnh Status Panel]: Tìm thấy Jobnet ID: 'P1J0022@10022'</t>
        </is>
      </c>
    </row>
    <row r="294">
      <c r="A294" t="inlineStr">
        <is>
          <t xml:space="preserve">  - [Ảnh Status Panel]: Tìm thấy Interface ID: 'WMSH0022'</t>
        </is>
      </c>
    </row>
    <row r="295">
      <c r="A295" s="2" t="inlineStr">
        <is>
          <t xml:space="preserve">      ✅ OK: Interface ID 'WMSH0022' có tồn tại trong tên file Excel.</t>
        </is>
      </c>
    </row>
    <row r="296">
      <c r="A296" t="inlineStr">
        <is>
          <t xml:space="preserve">  - [Ảnh Status Panel]: Tìm thấy giờ bắt đầu là 13:05:07</t>
        </is>
      </c>
    </row>
    <row r="297">
      <c r="A297" s="2" t="inlineStr">
        <is>
          <t xml:space="preserve">      ✅ OK: Thời gian log (13:05:07) &gt;= Thời gian ảnh (13:05:07)</t>
        </is>
      </c>
    </row>
    <row r="298">
      <c r="A298" s="2" t="inlineStr">
        <is>
          <t xml:space="preserve">      ✅ OK: Duration Log Main (401ms) &lt; Duration Ảnh (609ms)</t>
        </is>
      </c>
    </row>
    <row r="299">
      <c r="A299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300">
      <c r="A300" s="2" t="inlineStr">
        <is>
          <t xml:space="preserve">      ✅ OK: Jobnet ID 'P1J0022@10022' khớp với dữ liệu trong Log.</t>
        </is>
      </c>
    </row>
    <row r="301">
      <c r="A301" t="inlineStr">
        <is>
          <t xml:space="preserve">  - [Kiểm tra File]: Log text báo có tạo ra file 'WMSH0022_output.tsv'.</t>
        </is>
      </c>
    </row>
    <row r="302">
      <c r="A302" s="2" t="inlineStr">
        <is>
          <t xml:space="preserve">      ✅ OK: Tên file trong ảnh File Explorer (WMSH0022_output.tsv) KHỚP với tên file trong Log text.</t>
        </is>
      </c>
    </row>
    <row r="303">
      <c r="A303" t="inlineStr">
        <is>
          <t xml:space="preserve">  - [Ảnh File Explorer]: Tìm thấy file 'WMSH0022_output.tsv' có Date modified là '2026/05/18 13:05'</t>
        </is>
      </c>
    </row>
    <row r="304">
      <c r="A304" s="2" t="inlineStr">
        <is>
          <t xml:space="preserve">      ✅ OK: Thời gian xuất file 'WMSH0022_output.tsv' (2026/05/18 13:05) KHỚP với log (2026/05/18 13:05).</t>
        </is>
      </c>
    </row>
    <row r="305">
      <c r="A305" t="inlineStr">
        <is>
          <t xml:space="preserve">  - [Đối chiếu Testcase trong Log]:</t>
        </is>
      </c>
    </row>
    <row r="306">
      <c r="A306" t="inlineStr">
        <is>
          <t xml:space="preserve">  - [Đối chiếu テスト計画書兼結果報告書(個別)]: Tìm thấy 1 dòng (14)</t>
        </is>
      </c>
    </row>
    <row r="307">
      <c r="A307" s="2" t="inlineStr">
        <is>
          <t xml:space="preserve">      + Số lần test (Cột K): ✅ Tất cả 1 dòng đều khớp (Lần 6)</t>
        </is>
      </c>
    </row>
    <row r="308">
      <c r="A308" s="2" t="inlineStr">
        <is>
          <t xml:space="preserve">      + Ngày test (Cột I/G): ✅ Khớp ngày (2026/05/18) cho tất cả các dòng có dữ liệu</t>
        </is>
      </c>
    </row>
    <row r="309">
      <c r="A309" t="inlineStr"/>
    </row>
    <row r="310">
      <c r="A310" s="1" t="inlineStr">
        <is>
          <t>[Nhóm Test]: ■7回目正常系・列分割→行変換確認（レコードが複数件あり）</t>
        </is>
      </c>
    </row>
    <row r="311">
      <c r="A311" t="inlineStr">
        <is>
          <t xml:space="preserve">  - Tổng số dòng log: 65</t>
        </is>
      </c>
    </row>
    <row r="312">
      <c r="A312" s="2" t="inlineStr">
        <is>
          <t xml:space="preserve">  - Trạng thái Sort (行): ✅ Đã sắp xếp tăng dần hợp lệ.</t>
        </is>
      </c>
    </row>
    <row r="313">
      <c r="A313" t="inlineStr">
        <is>
          <t xml:space="preserve">  - Ngày chạy log: 2026/05/18</t>
        </is>
      </c>
    </row>
    <row r="314">
      <c r="A314" t="inlineStr">
        <is>
          <t xml:space="preserve">  - [Ảnh Status Panel]: Tìm thấy Jobnet ID: 'P1J0022@10022'</t>
        </is>
      </c>
    </row>
    <row r="315">
      <c r="A315" t="inlineStr">
        <is>
          <t xml:space="preserve">  - [Ảnh Status Panel]: Tìm thấy Interface ID: 'WMSH0022'</t>
        </is>
      </c>
    </row>
    <row r="316">
      <c r="A316" s="2" t="inlineStr">
        <is>
          <t xml:space="preserve">      ✅ OK: Interface ID 'WMSH0022' có tồn tại trong tên file Excel.</t>
        </is>
      </c>
    </row>
    <row r="317">
      <c r="A317" t="inlineStr">
        <is>
          <t xml:space="preserve">  - [Ảnh Status Panel]: Tìm thấy giờ bắt đầu là 13:19:28</t>
        </is>
      </c>
    </row>
    <row r="318">
      <c r="A318" s="2" t="inlineStr">
        <is>
          <t xml:space="preserve">      ✅ OK: Thời gian log (13:19:28) &gt;= Thời gian ảnh (13:19:28)</t>
        </is>
      </c>
    </row>
    <row r="319">
      <c r="A319" s="2" t="inlineStr">
        <is>
          <t xml:space="preserve">      ✅ OK: Duration Log Main (385ms) &lt; Duration Ảnh (578ms)</t>
        </is>
      </c>
    </row>
    <row r="320">
      <c r="A320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321">
      <c r="A321" s="2" t="inlineStr">
        <is>
          <t xml:space="preserve">      ✅ OK: Jobnet ID 'P1J0022@10022' khớp với dữ liệu trong Log.</t>
        </is>
      </c>
    </row>
    <row r="322">
      <c r="A322" t="inlineStr">
        <is>
          <t xml:space="preserve">  - [Kiểm tra File]: Log text báo có tạo ra file 'WMSH0022_output.tsv'.</t>
        </is>
      </c>
    </row>
    <row r="323">
      <c r="A323" s="2" t="inlineStr">
        <is>
          <t xml:space="preserve">      ✅ OK: Tên file trong ảnh File Explorer (WMSH0022_output.tsv) KHỚP với tên file trong Log text.</t>
        </is>
      </c>
    </row>
    <row r="324">
      <c r="A324" t="inlineStr">
        <is>
          <t xml:space="preserve">  - [Ảnh File Explorer]: Tìm thấy file 'WMSH0022_output.tsv' có Date modified là '2026/05/18 13:19'</t>
        </is>
      </c>
    </row>
    <row r="325">
      <c r="A325" s="2" t="inlineStr">
        <is>
          <t xml:space="preserve">      ✅ OK: Thời gian xuất file 'WMSH0022_output.tsv' (2026/05/18 13:19) KHỚP với log (2026/05/18 13:19).</t>
        </is>
      </c>
    </row>
    <row r="326">
      <c r="A326" t="inlineStr">
        <is>
          <t xml:space="preserve">  - [Đối chiếu Testcase trong Log]:</t>
        </is>
      </c>
    </row>
    <row r="327">
      <c r="A327" t="inlineStr">
        <is>
          <t xml:space="preserve">  - [Đối chiếu テスト計画書兼結果報告書(個別)]: Tìm thấy 1 dòng (15)</t>
        </is>
      </c>
    </row>
    <row r="328">
      <c r="A328" s="2" t="inlineStr">
        <is>
          <t xml:space="preserve">      + Số lần test (Cột K): ✅ Tất cả 1 dòng đều khớp (Lần 7)</t>
        </is>
      </c>
    </row>
    <row r="329">
      <c r="A329" s="2" t="inlineStr">
        <is>
          <t xml:space="preserve">      + Ngày test (Cột I/G): ✅ Khớp ngày (2026/05/18) cho tất cả các dòng có dữ liệu</t>
        </is>
      </c>
    </row>
    <row r="330">
      <c r="A330" t="inlineStr"/>
    </row>
    <row r="331">
      <c r="A331" s="1">
        <f>=============== TỔNG KẾT COVERAGE CHO SHEET エビデンス(共通) ================</f>
        <v/>
      </c>
    </row>
    <row r="332">
      <c r="A332" s="2" t="inlineStr">
        <is>
          <t xml:space="preserve">  - ✅ Nhóm 1 (gồm TC: 1-1-1, 1-2-1, 2-1-1, 2-2-1, 3-1-1, 3-2-1, 4-1-1, 4-2-1, 5-1-1, 5-3-1, 5-4-1, 6-1-1, 7-1-1): Đã có Log Evidence.</t>
        </is>
      </c>
    </row>
    <row r="333">
      <c r="A333" s="2" t="inlineStr">
        <is>
          <t xml:space="preserve">  - ✅ Nhóm 2 (gồm TC: 1-2-2, 2-2-2): Đã có Log Evidence.</t>
        </is>
      </c>
    </row>
    <row r="334">
      <c r="A334" s="2" t="inlineStr">
        <is>
          <t xml:space="preserve">  - ✅ Nhóm 3 (gồm TC: 3-2-2): Đã có Log Evidence.</t>
        </is>
      </c>
    </row>
    <row r="335">
      <c r="A335" s="2" t="inlineStr">
        <is>
          <t xml:space="preserve">  - ✅ Nhóm 4 (gồm TC: 3-2-3): Đã có Log Evidence.</t>
        </is>
      </c>
    </row>
    <row r="336">
      <c r="A336" s="2" t="inlineStr">
        <is>
          <t xml:space="preserve">  - ✅ Nhóm 5 (gồm TC: 4-1-2, 7-1-2): Đã có Log Evidence.</t>
        </is>
      </c>
    </row>
    <row r="337">
      <c r="A337" s="2" t="inlineStr">
        <is>
          <t xml:space="preserve">  - ✅ Nhóm 6 (gồm TC: 4-2-2): Đã có Log Evidence.</t>
        </is>
      </c>
    </row>
    <row r="338">
      <c r="A338" s="2" t="inlineStr">
        <is>
          <t xml:space="preserve">  - ✅ Nhóm 7 (gồm TC: 4-2-3, 5-2-1): Đã có Log Evidence.</t>
        </is>
      </c>
    </row>
    <row r="339">
      <c r="A339" t="inlineStr">
        <is>
          <t xml:space="preserve">  =&gt; TOÀN BỘ CÁC NHÓM TEST TRONG KẾ HOẠCH ĐỀU ĐÃ CÓ EVIDENCE!</t>
        </is>
      </c>
    </row>
    <row r="340">
      <c r="A340" t="inlineStr"/>
    </row>
    <row r="341">
      <c r="A341" t="inlineStr"/>
    </row>
    <row r="342">
      <c r="A342" s="1">
        <f>=============== TỔNG KẾT COVERAGE CHO SHEET エビデンス(個別) ================</f>
        <v/>
      </c>
    </row>
    <row r="343">
      <c r="A343" s="2" t="inlineStr">
        <is>
          <t xml:space="preserve">  - ✅ Nhóm 1 (gồm TC: 1-1-1): Đã có Log Evidence.</t>
        </is>
      </c>
    </row>
    <row r="344">
      <c r="A344" s="2" t="inlineStr">
        <is>
          <t xml:space="preserve">  - ✅ Nhóm 2 (gồm TC: 1-2-1): Đã có Log Evidence.</t>
        </is>
      </c>
    </row>
    <row r="345">
      <c r="A345" s="2" t="inlineStr">
        <is>
          <t xml:space="preserve">  - ✅ Nhóm 3 (gồm TC: 2-1-3, 3-1-1, 3-1-2, 3-1-3, 3-1-4, 3-1-5, 3-1-6, 3-2-1, 3-2-2, 3-2-3, 3-2-4, 3-2-5, 3-2-6): Đã có Log Evidence.</t>
        </is>
      </c>
    </row>
    <row r="346">
      <c r="A346" s="2" t="inlineStr">
        <is>
          <t xml:space="preserve">  - ✅ Nhóm 4 (gồm TC: 2-1-1): Đã có Log Evidence.</t>
        </is>
      </c>
    </row>
    <row r="347">
      <c r="A347" s="2" t="inlineStr">
        <is>
          <t xml:space="preserve">  - ✅ Nhóm 5 (gồm TC: 2-1-2): Đã có Log Evidence.</t>
        </is>
      </c>
    </row>
    <row r="348">
      <c r="A348" s="2" t="inlineStr">
        <is>
          <t xml:space="preserve">  - ✅ Nhóm 6 (gồm TC: 2-1-4): Đã có Log Evidence.</t>
        </is>
      </c>
    </row>
    <row r="349">
      <c r="A349" s="2" t="inlineStr">
        <is>
          <t xml:space="preserve">  - ✅ Nhóm 7 (gồm TC: 2-1-5): Đã có Log Evidence.</t>
        </is>
      </c>
    </row>
    <row r="350">
      <c r="A350" t="inlineStr">
        <is>
          <t xml:space="preserve">  =&gt; TOÀN BỘ CÁC NHÓM TEST TRONG KẾ HOẠCH ĐỀU ĐÃ CÓ EVIDENCE!</t>
        </is>
      </c>
    </row>
    <row r="351">
      <c r="A351" t="inlineStr"/>
    </row>
    <row r="352">
      <c r="A35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34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" t="inlineStr">
        <is>
          <t>✅ Đã check xong file '単体テスト仕様書兼成績書_E304_WMSH0022.xlsx'. Nhấn Enter để tiếp tục sang file tiếp theo...</t>
        </is>
      </c>
    </row>
    <row r="2">
      <c r="A2" s="1">
        <f>======================== [15/16] ĐANG XỬ LÝ FILE: 単体テスト仕様書兼成績書_E304_WMSH0029.xlsx =========================</f>
        <v/>
      </c>
    </row>
    <row r="3">
      <c r="A3" t="inlineStr">
        <is>
          <t>Đang đọc dữ liệu từ file: 単体テスト仕様書兼成績書_E304_WMSH0029.xlsx ...</t>
        </is>
      </c>
    </row>
    <row r="4">
      <c r="A4" t="inlineStr"/>
    </row>
    <row r="5">
      <c r="A5" s="1">
        <f>=============== TRẠNG THÁI OCR ================</f>
        <v/>
      </c>
    </row>
    <row r="6">
      <c r="A6" s="2" t="inlineStr">
        <is>
          <t>✅ Đã bật (Sẵn sàng đọc ảnh)</t>
        </is>
      </c>
    </row>
    <row r="7">
      <c r="A7" t="inlineStr"/>
    </row>
    <row r="8">
      <c r="A8" s="1">
        <f>=============== KIỂM TRA TRẠNG THÁI MỞ FILE ================</f>
        <v/>
      </c>
    </row>
    <row r="9">
      <c r="A9" s="2" t="inlineStr">
        <is>
          <t>✅ File đang mở ở sheet đầu tiên '表紙 '.</t>
        </is>
      </c>
    </row>
    <row r="10">
      <c r="A10" s="2" t="inlineStr">
        <is>
          <t>✅ Con trỏ chuột đang nằm ở ô 'A1'.</t>
        </is>
      </c>
    </row>
    <row r="11">
      <c r="A11" t="inlineStr"/>
    </row>
    <row r="12">
      <c r="A12" s="1">
        <f>=============== SHEET: エビデンス(共通) ================</f>
        <v/>
      </c>
    </row>
    <row r="13">
      <c r="A13" t="inlineStr">
        <is>
          <t xml:space="preserve">  -&gt; Tìm thấy 44 ảnh trong sheet này.</t>
        </is>
      </c>
    </row>
    <row r="14">
      <c r="A14" s="1">
        <f>=============== SHEET: エビデンス(個別) ================</f>
        <v/>
      </c>
    </row>
    <row r="15">
      <c r="A15" t="inlineStr">
        <is>
          <t xml:space="preserve">  -&gt; Tìm thấy 31 ảnh trong sheet này.</t>
        </is>
      </c>
    </row>
    <row r="16">
      <c r="A16" t="inlineStr"/>
    </row>
    <row r="17">
      <c r="A17" s="1" t="inlineStr">
        <is>
          <t>[GEMINI MANUAL MODE] ♻️ Đã tìm thấy file JSON kết quả cũ tại:</t>
        </is>
      </c>
    </row>
    <row r="18">
      <c r="A18" t="inlineStr">
        <is>
          <t>D:\project\tool\New folder\Gemini_Upload_単体テスト仕様書兼成績書_E304_WMSH0029\gemini_result.json</t>
        </is>
      </c>
    </row>
    <row r="19">
      <c r="A19">
        <f>&gt; Sử dụng luôn kết quả này, bỏ qua bước xuất ảnh PDF và hỏi lại Gemini.</f>
        <v/>
      </c>
    </row>
    <row r="20">
      <c r="A20" t="inlineStr"/>
    </row>
    <row r="21">
      <c r="A21" s="1">
        <f>=============== ĐANG PHÂN TÍCH KẾT QUẢ SHEET: エビデンス(共通) ================</f>
        <v/>
      </c>
    </row>
    <row r="22">
      <c r="A22" t="inlineStr"/>
    </row>
    <row r="23">
      <c r="A23" s="1" t="inlineStr">
        <is>
          <t>[Kiểm tra Cấu hình Flow - Trước khi Test]:</t>
        </is>
      </c>
    </row>
    <row r="24">
      <c r="A24" s="2" t="inlineStr">
        <is>
          <t xml:space="preserve">  - [Ảnh Flow]: ✅ Tìm thấy P_JobnetID: 'P1J0029@10029'</t>
        </is>
      </c>
    </row>
    <row r="25">
      <c r="A25" s="2" t="inlineStr">
        <is>
          <t xml:space="preserve">      ✅ OK: P_JobnetID 'P1J0029@10029' có chứa mã '0029' của file.</t>
        </is>
      </c>
    </row>
    <row r="26">
      <c r="A26" s="2" t="inlineStr">
        <is>
          <t xml:space="preserve">  - [Ảnh Flow]: ✅ Tìm thấy P_InterfaceID: 'WMSH0029'</t>
        </is>
      </c>
    </row>
    <row r="27">
      <c r="A27" s="2" t="inlineStr">
        <is>
          <t xml:space="preserve">      ✅ OK: P_InterfaceID 'WMSH0029' có chứa mã '0029' của file.</t>
        </is>
      </c>
    </row>
    <row r="28">
      <c r="A28" t="inlineStr"/>
    </row>
    <row r="29">
      <c r="A29" s="1" t="inlineStr">
        <is>
          <t>[Nhóm Test]: ■1回目 正常系・1000件未満・ファイル送信前結合有無=false</t>
        </is>
      </c>
    </row>
    <row r="30">
      <c r="A30" t="inlineStr">
        <is>
          <t xml:space="preserve">  - Tổng số dòng log: 51</t>
        </is>
      </c>
    </row>
    <row r="31">
      <c r="A31" s="2" t="inlineStr">
        <is>
          <t xml:space="preserve">  - Trạng thái Sort (行): ✅ Đã sắp xếp tăng dần hợp lệ.</t>
        </is>
      </c>
    </row>
    <row r="32">
      <c r="A32" t="inlineStr">
        <is>
          <t xml:space="preserve">  - Ngày chạy log: 2026/05/18</t>
        </is>
      </c>
    </row>
    <row r="33">
      <c r="A33" t="inlineStr">
        <is>
          <t xml:space="preserve">  - [Ảnh Status Panel]: Tìm thấy Jobnet ID: 'P1J0029@10029'</t>
        </is>
      </c>
    </row>
    <row r="34">
      <c r="A34" t="inlineStr">
        <is>
          <t xml:space="preserve">  - [Ảnh Status Panel]: Tìm thấy Interface ID: 'WMSH0029'</t>
        </is>
      </c>
    </row>
    <row r="35">
      <c r="A35" s="2" t="inlineStr">
        <is>
          <t xml:space="preserve">      ✅ OK: Interface ID 'WMSH0029' có tồn tại trong tên file Excel.</t>
        </is>
      </c>
    </row>
    <row r="36">
      <c r="A36" t="inlineStr">
        <is>
          <t xml:space="preserve">  - [Ảnh Status Panel]: Tìm thấy giờ bắt đầu là 13:37:06</t>
        </is>
      </c>
    </row>
    <row r="37">
      <c r="A37" s="2" t="inlineStr">
        <is>
          <t xml:space="preserve">      ✅ OK: Thời gian log (13:37:06) &gt;= Thời gian ảnh (13:37:06)</t>
        </is>
      </c>
    </row>
    <row r="38">
      <c r="A38" s="2" t="inlineStr">
        <is>
          <t xml:space="preserve">      ✅ OK: Duration Log Main (338ms) &lt; Duration Ảnh (547ms)</t>
        </is>
      </c>
    </row>
    <row r="39">
      <c r="A39" t="inlineStr">
        <is>
          <t xml:space="preserve">  - [Ảnh Log Viewer]: Tìm thấy thời gian kết thúc trong ảnh log là '13:37:06'</t>
        </is>
      </c>
    </row>
    <row r="40">
      <c r="A40" s="2" t="inlineStr">
        <is>
          <t xml:space="preserve">      ✅ OK: Giờ kết thúc trong ảnh Log (13:37:06) KHỚP với log text (13:37:06).</t>
        </is>
      </c>
    </row>
    <row r="41">
      <c r="A41" s="2" t="inlineStr">
        <is>
          <t xml:space="preserve">      ✅ OK: Giờ ảnh Log (13:37:06) &gt;= Giờ bắt đầu (13:37:06).</t>
        </is>
      </c>
    </row>
    <row r="42">
      <c r="A42" s="2" t="inlineStr">
        <is>
          <t xml:space="preserve">      ✅ OK: Jobnet ID 'P1J0029@10029' khớp với dữ liệu trong Log.</t>
        </is>
      </c>
    </row>
    <row r="43">
      <c r="A43" t="inlineStr">
        <is>
          <t xml:space="preserve">  - [Kiểm tra File]: Log text báo có tạo ra file 'WMSH0029_output.tsv'.</t>
        </is>
      </c>
    </row>
    <row r="44">
      <c r="A44" s="2" t="inlineStr">
        <is>
          <t xml:space="preserve">      ✅ OK: Tên file trong ảnh File Explorer (WMSH0029_output.tsv) KHỚP với tên file trong Log text.</t>
        </is>
      </c>
    </row>
    <row r="45">
      <c r="A45" t="inlineStr">
        <is>
          <t xml:space="preserve">  - [Ảnh File Explorer]: Tìm thấy file 'WMSH0029_output.tsv' có Date modified là '2026/05/18 13:37'</t>
        </is>
      </c>
    </row>
    <row r="46">
      <c r="A46" s="2" t="inlineStr">
        <is>
          <t xml:space="preserve">      ✅ OK: Thời gian xuất file 'WMSH0029_output.tsv' (2026/05/18 13:37) KHỚP với log (2026/05/18 13:37).</t>
        </is>
      </c>
    </row>
    <row r="47">
      <c r="A47" t="inlineStr">
        <is>
          <t xml:space="preserve">  - [Đối chiếu Testcase trong Log]:</t>
        </is>
      </c>
    </row>
    <row r="48">
      <c r="A48" t="inlineStr">
        <is>
          <t xml:space="preserve">  - [Đối chiếu テスト計画書兼結果報告書(共通)]: Tìm thấy 13 dòng (6, 8, 12, 14, 18, 20, 25, 28, 33, 37, 39, 42, 45)</t>
        </is>
      </c>
    </row>
    <row r="49">
      <c r="A49" s="2" t="inlineStr">
        <is>
          <t xml:space="preserve">      + Số lần test (Cột K): ✅ Tất cả 13 dòng đều khớp (Lần 1)</t>
        </is>
      </c>
    </row>
    <row r="50">
      <c r="A50" s="2" t="inlineStr">
        <is>
          <t xml:space="preserve">      + Ngày test (Cột I/G): ✅ Khớp ngày (2026/05/18) cho tất cả các dòng có dữ liệu</t>
        </is>
      </c>
    </row>
    <row r="51">
      <c r="A51" t="inlineStr"/>
    </row>
    <row r="52">
      <c r="A52" s="1" t="inlineStr">
        <is>
          <t>[Nhóm Test]: ■2回目 異常系・起動パラメータ不正</t>
        </is>
      </c>
    </row>
    <row r="53">
      <c r="A53" t="inlineStr">
        <is>
          <t xml:space="preserve">  - Tổng số dòng log: 23</t>
        </is>
      </c>
    </row>
    <row r="54">
      <c r="A54" s="2" t="inlineStr">
        <is>
          <t xml:space="preserve">  - Trạng thái Sort (行): ✅ Đã sắp xếp tăng dần hợp lệ.</t>
        </is>
      </c>
    </row>
    <row r="55">
      <c r="A55" t="inlineStr">
        <is>
          <t xml:space="preserve">  - Ngày chạy log: 2026/05/18</t>
        </is>
      </c>
    </row>
    <row r="56">
      <c r="A56" t="inlineStr">
        <is>
          <t xml:space="preserve">  - [Ảnh Status Panel]: Tìm thấy Jobnet ID: ''</t>
        </is>
      </c>
    </row>
    <row r="57">
      <c r="A57" t="inlineStr">
        <is>
          <t xml:space="preserve">  - [Ảnh Status Panel]: Tìm thấy Interface ID: ''</t>
        </is>
      </c>
    </row>
    <row r="58">
      <c r="A58" s="3" t="inlineStr">
        <is>
          <t xml:space="preserve">      ⚠️ Interface ID là chuỗi rỗng nên bỏ qua kiểm tra với tên file.</t>
        </is>
      </c>
    </row>
    <row r="59">
      <c r="A59" t="inlineStr">
        <is>
          <t xml:space="preserve">  - [Ảnh Status Panel]: Tìm thấy giờ bắt đầu là 15:18:03</t>
        </is>
      </c>
    </row>
    <row r="60">
      <c r="A60" s="2" t="inlineStr">
        <is>
          <t xml:space="preserve">      ✅ OK: Thời gian log (15:18:03) &gt;= Thời gian ảnh (15:18:03)</t>
        </is>
      </c>
    </row>
    <row r="61">
      <c r="A61" s="2" t="inlineStr">
        <is>
          <t xml:space="preserve">      ✅ OK: Duration Log Main (33ms) &lt; Duration Ảnh (234ms)</t>
        </is>
      </c>
    </row>
    <row r="62">
      <c r="A62" t="inlineStr">
        <is>
          <t xml:space="preserve">  - [Ảnh Log Viewer]: Tìm thấy thời gian kết thúc trong ảnh log là '15:18:03'</t>
        </is>
      </c>
    </row>
    <row r="63">
      <c r="A63" s="2" t="inlineStr">
        <is>
          <t xml:space="preserve">      ✅ OK: Giờ kết thúc trong ảnh Log (15:18:03) KHỚP với log text (15:18:03).</t>
        </is>
      </c>
    </row>
    <row r="64">
      <c r="A64" s="2" t="inlineStr">
        <is>
          <t xml:space="preserve">      ✅ OK: Giờ ảnh Log (15:18:03) &gt;= Giờ bắt đầu (15:18:03).</t>
        </is>
      </c>
    </row>
    <row r="65">
      <c r="A65" s="2" t="inlineStr">
        <is>
          <t xml:space="preserve">      ✅ OK: Jobnet ID '' khớp với dữ liệu trong Log.</t>
        </is>
      </c>
    </row>
    <row r="66">
      <c r="A66" t="inlineStr">
        <is>
          <t xml:space="preserve">  - [Đối chiếu Testcase trong Log]:</t>
        </is>
      </c>
    </row>
    <row r="67">
      <c r="A67" t="inlineStr">
        <is>
          <t xml:space="preserve">  - [Đối chiếu テスト計画書兼結果報告書(共通)]: Tìm thấy 2 dòng (9, 15)</t>
        </is>
      </c>
    </row>
    <row r="68">
      <c r="A68" s="2" t="inlineStr">
        <is>
          <t xml:space="preserve">      + Số lần test (Cột K): ✅ Tất cả 2 dòng đều khớp (Lần 2)</t>
        </is>
      </c>
    </row>
    <row r="69">
      <c r="A69" s="2" t="inlineStr">
        <is>
          <t xml:space="preserve">      + Ngày test (Cột I/G): ✅ Khớp ngày (2026/05/18) cho tất cả các dòng có dữ liệu</t>
        </is>
      </c>
    </row>
    <row r="70">
      <c r="A70" t="inlineStr"/>
    </row>
    <row r="71">
      <c r="A71" s="1" t="inlineStr">
        <is>
          <t>[Nhóm Test]: ■3回目 正常系・ファイル送信前結合有無=true</t>
        </is>
      </c>
    </row>
    <row r="72">
      <c r="A72" t="inlineStr">
        <is>
          <t xml:space="preserve">  - Tổng số dòng log: 67</t>
        </is>
      </c>
    </row>
    <row r="73">
      <c r="A73" s="2" t="inlineStr">
        <is>
          <t xml:space="preserve">  - Trạng thái Sort (行): ✅ Đã sắp xếp tăng dần hợp lệ.</t>
        </is>
      </c>
    </row>
    <row r="74">
      <c r="A74" t="inlineStr">
        <is>
          <t xml:space="preserve">  - Ngày chạy log: 2026/05/18</t>
        </is>
      </c>
    </row>
    <row r="75">
      <c r="A75" t="inlineStr">
        <is>
          <t xml:space="preserve">  - [Ảnh Status Panel]: Tìm thấy Jobnet ID: 'P1J0029@10029'</t>
        </is>
      </c>
    </row>
    <row r="76">
      <c r="A76" t="inlineStr">
        <is>
          <t xml:space="preserve">  - [Ảnh Status Panel]: Tìm thấy Interface ID: 'WMSH0029'</t>
        </is>
      </c>
    </row>
    <row r="77">
      <c r="A77" s="2" t="inlineStr">
        <is>
          <t xml:space="preserve">      ✅ OK: Interface ID 'WMSH0029' có tồn tại trong tên file Excel.</t>
        </is>
      </c>
    </row>
    <row r="78">
      <c r="A78" t="inlineStr">
        <is>
          <t xml:space="preserve">  - [Ảnh Status Panel]: Tìm thấy giờ bắt đầu là 15:22:14</t>
        </is>
      </c>
    </row>
    <row r="79">
      <c r="A79" s="2" t="inlineStr">
        <is>
          <t xml:space="preserve">      ✅ OK: Thời gian log (15:22:14) &gt;= Thời gian ảnh (15:22:14)</t>
        </is>
      </c>
    </row>
    <row r="80">
      <c r="A80" s="2" t="inlineStr">
        <is>
          <t xml:space="preserve">      ✅ OK: Duration Log Main (319ms) &lt; Duration Ảnh (515ms)</t>
        </is>
      </c>
    </row>
    <row r="81">
      <c r="A81" t="inlineStr">
        <is>
          <t xml:space="preserve">  - [Ảnh Log Viewer]: Tìm thấy thời gian kết thúc trong ảnh log là '15:22:14'</t>
        </is>
      </c>
    </row>
    <row r="82">
      <c r="A82" s="2" t="inlineStr">
        <is>
          <t xml:space="preserve">      ✅ OK: Giờ kết thúc trong ảnh Log (15:22:14) KHỚP với log text (15:22:14).</t>
        </is>
      </c>
    </row>
    <row r="83">
      <c r="A83" s="2" t="inlineStr">
        <is>
          <t xml:space="preserve">      ✅ OK: Giờ ảnh Log (15:22:14) &gt;= Giờ bắt đầu (15:22:14).</t>
        </is>
      </c>
    </row>
    <row r="84">
      <c r="A84" s="2" t="inlineStr">
        <is>
          <t xml:space="preserve">      ✅ OK: Jobnet ID 'P1J0029@10029' khớp với dữ liệu trong Log.</t>
        </is>
      </c>
    </row>
    <row r="85">
      <c r="A85" t="inlineStr">
        <is>
          <t xml:space="preserve">  - [Kiểm tra File]: Log text báo có tạo ra file 'WMSH0029_output.tsv'.</t>
        </is>
      </c>
    </row>
    <row r="86">
      <c r="A86" s="2" t="inlineStr">
        <is>
          <t xml:space="preserve">      ✅ OK: Tên file trong ảnh File Explorer (WMSH0029_output.tsv) KHỚP với tên file trong Log text.</t>
        </is>
      </c>
    </row>
    <row r="87">
      <c r="A87" t="inlineStr">
        <is>
          <t xml:space="preserve">  - [Ảnh File Explorer]: Tìm thấy file 'WMSH0029_output.tsv' có Date modified là '2026/05/18 15:22'</t>
        </is>
      </c>
    </row>
    <row r="88">
      <c r="A88" s="2" t="inlineStr">
        <is>
          <t xml:space="preserve">      ✅ OK: Thời gian xuất file 'WMSH0029_output.tsv' (2026/05/18 15:22) KHỚP với log (2026/05/18 15:22).</t>
        </is>
      </c>
    </row>
    <row r="89">
      <c r="A89" t="inlineStr">
        <is>
          <t xml:space="preserve">  - [Đối chiếu Testcase trong Log]:</t>
        </is>
      </c>
    </row>
    <row r="90">
      <c r="A90" t="inlineStr">
        <is>
          <t xml:space="preserve">  - [Đối chiếu テスト計画書兼結果報告書(共通)]: Tìm thấy 1 dòng (21)</t>
        </is>
      </c>
    </row>
    <row r="91">
      <c r="A91" s="2" t="inlineStr">
        <is>
          <t xml:space="preserve">      + Số lần test (Cột K): ✅ Tất cả 1 dòng đều khớp (Lần 3)</t>
        </is>
      </c>
    </row>
    <row r="92">
      <c r="A92" s="2" t="inlineStr">
        <is>
          <t xml:space="preserve">      + Ngày test (Cột I/G): ✅ Khớp ngày (2026/05/18) cho tất cả các dòng có dữ liệu</t>
        </is>
      </c>
    </row>
    <row r="93">
      <c r="A93" t="inlineStr"/>
    </row>
    <row r="94">
      <c r="A94" s="1" t="inlineStr">
        <is>
          <t>[Nhóm Test]: ■4回目 異常系・すでにファイルが存在する場合</t>
        </is>
      </c>
    </row>
    <row r="95">
      <c r="A95" t="inlineStr">
        <is>
          <t xml:space="preserve">  - Tổng số dòng log: 55</t>
        </is>
      </c>
    </row>
    <row r="96">
      <c r="A96" s="2" t="inlineStr">
        <is>
          <t xml:space="preserve">  - Trạng thái Sort (行): ✅ Đã sắp xếp tăng dần hợp lệ.</t>
        </is>
      </c>
    </row>
    <row r="97">
      <c r="A97" t="inlineStr">
        <is>
          <t xml:space="preserve">  - Ngày chạy log: 2026/05/18</t>
        </is>
      </c>
    </row>
    <row r="98">
      <c r="A98" t="inlineStr">
        <is>
          <t xml:space="preserve">  - [Ảnh Status Panel]: Tìm thấy Jobnet ID: 'P1J0029@10029'</t>
        </is>
      </c>
    </row>
    <row r="99">
      <c r="A99" t="inlineStr">
        <is>
          <t xml:space="preserve">  - [Ảnh Status Panel]: Tìm thấy Interface ID: 'WMSH0029'</t>
        </is>
      </c>
    </row>
    <row r="100">
      <c r="A100" s="2" t="inlineStr">
        <is>
          <t xml:space="preserve">      ✅ OK: Interface ID 'WMSH0029' có tồn tại trong tên file Excel.</t>
        </is>
      </c>
    </row>
    <row r="101">
      <c r="A101" t="inlineStr">
        <is>
          <t xml:space="preserve">  - [Ảnh Status Panel]: Tìm thấy giờ bắt đầu là 15:26:31</t>
        </is>
      </c>
    </row>
    <row r="102">
      <c r="A102" s="2" t="inlineStr">
        <is>
          <t xml:space="preserve">      ✅ OK: Thời gian log (15:26:31) &gt;= Thời gian ảnh (15:26:31)</t>
        </is>
      </c>
    </row>
    <row r="103">
      <c r="A103" s="2" t="inlineStr">
        <is>
          <t xml:space="preserve">      ✅ OK: Duration Log Main (327ms) &lt; Duration Ảnh (531ms)</t>
        </is>
      </c>
    </row>
    <row r="104">
      <c r="A104" t="inlineStr">
        <is>
          <t xml:space="preserve">  - [Ảnh Log Viewer]: Tìm thấy thời gian kết thúc trong ảnh log là '15:26:31'</t>
        </is>
      </c>
    </row>
    <row r="105">
      <c r="A105" s="2" t="inlineStr">
        <is>
          <t xml:space="preserve">      ✅ OK: Giờ kết thúc trong ảnh Log (15:26:31) KHỚP với log text (15:26:31).</t>
        </is>
      </c>
    </row>
    <row r="106">
      <c r="A106" s="2" t="inlineStr">
        <is>
          <t xml:space="preserve">      ✅ OK: Giờ ảnh Log (15:26:31) &gt;= Giờ bắt đầu (15:26:31).</t>
        </is>
      </c>
    </row>
    <row r="107">
      <c r="A107" s="2" t="inlineStr">
        <is>
          <t xml:space="preserve">      ✅ OK: Jobnet ID 'P1J0029@10029' khớp với dữ liệu trong Log.</t>
        </is>
      </c>
    </row>
    <row r="108">
      <c r="A108" t="inlineStr">
        <is>
          <t xml:space="preserve">  - [Đối chiếu Testcase trong Log]:</t>
        </is>
      </c>
    </row>
    <row r="109">
      <c r="A109" t="inlineStr">
        <is>
          <t xml:space="preserve">  - [Đối chiếu テスト計画書兼結果報告書(共通)]: Tìm thấy 1 dòng (22)</t>
        </is>
      </c>
    </row>
    <row r="110">
      <c r="A110" s="2" t="inlineStr">
        <is>
          <t xml:space="preserve">      + Số lần test (Cột K): ✅ Tất cả 1 dòng đều khớp (Lần 4)</t>
        </is>
      </c>
    </row>
    <row r="111">
      <c r="A111" s="2" t="inlineStr">
        <is>
          <t xml:space="preserve">      + Ngày test (Cột I/G): ✅ Khớp ngày (2026/05/18) cho tất cả các dòng có dữ liệu</t>
        </is>
      </c>
    </row>
    <row r="112">
      <c r="A112" t="inlineStr"/>
    </row>
    <row r="113">
      <c r="A113" s="1" t="inlineStr">
        <is>
          <t>[Nhóm Test]: ■5回目 正常系・0byteファイル</t>
        </is>
      </c>
    </row>
    <row r="114">
      <c r="A114" t="inlineStr">
        <is>
          <t xml:space="preserve">  - Tổng số dòng log: 61</t>
        </is>
      </c>
    </row>
    <row r="115">
      <c r="A115" s="2" t="inlineStr">
        <is>
          <t xml:space="preserve">  - Trạng thái Sort (行): ✅ Đã sắp xếp tăng dần hợp lệ.</t>
        </is>
      </c>
    </row>
    <row r="116">
      <c r="A116" t="inlineStr">
        <is>
          <t xml:space="preserve">  - Ngày chạy log: 2026/05/18</t>
        </is>
      </c>
    </row>
    <row r="117">
      <c r="A117" t="inlineStr">
        <is>
          <t xml:space="preserve">  - [Ảnh Status Panel]: Tìm thấy Jobnet ID: 'P1J0029@10029'</t>
        </is>
      </c>
    </row>
    <row r="118">
      <c r="A118" t="inlineStr">
        <is>
          <t xml:space="preserve">  - [Ảnh Status Panel]: Tìm thấy Interface ID: 'WMSH0029'</t>
        </is>
      </c>
    </row>
    <row r="119">
      <c r="A119" s="2" t="inlineStr">
        <is>
          <t xml:space="preserve">      ✅ OK: Interface ID 'WMSH0029' có tồn tại trong tên file Excel.</t>
        </is>
      </c>
    </row>
    <row r="120">
      <c r="A120" t="inlineStr">
        <is>
          <t xml:space="preserve">  - [Ảnh Status Panel]: Tìm thấy giờ bắt đầu là 15:29:27</t>
        </is>
      </c>
    </row>
    <row r="121">
      <c r="A121" s="2" t="inlineStr">
        <is>
          <t xml:space="preserve">      ✅ OK: Thời gian log (15:29:27) &gt;= Thời gian ảnh (15:29:27)</t>
        </is>
      </c>
    </row>
    <row r="122">
      <c r="A122" s="2" t="inlineStr">
        <is>
          <t xml:space="preserve">      ✅ OK: Duration Log Main (232ms) &lt; Duration Ảnh (421ms)</t>
        </is>
      </c>
    </row>
    <row r="123">
      <c r="A123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24">
      <c r="A124" s="2" t="inlineStr">
        <is>
          <t xml:space="preserve">      ✅ OK: Jobnet ID 'P1J0029@10029' khớp với dữ liệu trong Log.</t>
        </is>
      </c>
    </row>
    <row r="125">
      <c r="A125" t="inlineStr">
        <is>
          <t xml:space="preserve">  - [Kiểm tra File]: Log text báo có tạo ra file 'WMSH0029_output.tsv'.</t>
        </is>
      </c>
    </row>
    <row r="126">
      <c r="A126" s="2" t="inlineStr">
        <is>
          <t xml:space="preserve">      ✅ OK: Tên file trong ảnh File Explorer (WMSH0029_output.tsv) KHỚP với tên file trong Log text.</t>
        </is>
      </c>
    </row>
    <row r="127">
      <c r="A127" t="inlineStr">
        <is>
          <t xml:space="preserve">  - [Ảnh File Explorer]: Tìm thấy file 'WMSH0029_output.tsv' có Date modified là '2026/05/18 15:29'</t>
        </is>
      </c>
    </row>
    <row r="128">
      <c r="A128" s="2" t="inlineStr">
        <is>
          <t xml:space="preserve">      ✅ OK: Thời gian xuất file 'WMSH0029_output.tsv' (2026/05/18 15:29) KHỚP với log (2026/05/18 15:29).</t>
        </is>
      </c>
    </row>
    <row r="129">
      <c r="A129" t="inlineStr">
        <is>
          <t xml:space="preserve">  - [Đối chiếu Testcase trong Log]:</t>
        </is>
      </c>
    </row>
    <row r="130">
      <c r="A130" t="inlineStr">
        <is>
          <t xml:space="preserve">  - [Đối chiếu テスト計画書兼結果報告書(共通)]: Tìm thấy 2 dòng (26, 46)</t>
        </is>
      </c>
    </row>
    <row r="131">
      <c r="A131" s="2" t="inlineStr">
        <is>
          <t xml:space="preserve">      + Số lần test (Cột K): ✅ Tất cả 2 dòng đều khớp (Lần 5)</t>
        </is>
      </c>
    </row>
    <row r="132">
      <c r="A132" s="2" t="inlineStr">
        <is>
          <t xml:space="preserve">      + Ngày test (Cột I/G): ✅ Khớp ngày (2026/05/18) cho tất cả các dòng có dữ liệu</t>
        </is>
      </c>
    </row>
    <row r="133">
      <c r="A133" t="inlineStr"/>
    </row>
    <row r="134">
      <c r="A134" s="1" t="inlineStr">
        <is>
          <t>[Nhóm Test]: ■6回目 正常系・データ行1000行</t>
        </is>
      </c>
    </row>
    <row r="135">
      <c r="A135" t="inlineStr">
        <is>
          <t xml:space="preserve">  - Tổng số dòng log: 65</t>
        </is>
      </c>
    </row>
    <row r="136">
      <c r="A136" s="2" t="inlineStr">
        <is>
          <t xml:space="preserve">  - Trạng thái Sort (行): ✅ Đã sắp xếp tăng dần hợp lệ.</t>
        </is>
      </c>
    </row>
    <row r="137">
      <c r="A137" t="inlineStr">
        <is>
          <t xml:space="preserve">  - Ngày chạy log: 2026/05/18</t>
        </is>
      </c>
    </row>
    <row r="138">
      <c r="A138" t="inlineStr">
        <is>
          <t xml:space="preserve">  - [Ảnh Status Panel]: Tìm thấy Jobnet ID: 'P1J0029@10029'</t>
        </is>
      </c>
    </row>
    <row r="139">
      <c r="A139" t="inlineStr">
        <is>
          <t xml:space="preserve">  - [Ảnh Status Panel]: Tìm thấy Interface ID: 'WMSH0029'</t>
        </is>
      </c>
    </row>
    <row r="140">
      <c r="A140" s="2" t="inlineStr">
        <is>
          <t xml:space="preserve">      ✅ OK: Interface ID 'WMSH0029' có tồn tại trong tên file Excel.</t>
        </is>
      </c>
    </row>
    <row r="141">
      <c r="A141" t="inlineStr">
        <is>
          <t xml:space="preserve">  - [Ảnh Status Panel]: Tìm thấy giờ bắt đầu là 15:32:39</t>
        </is>
      </c>
    </row>
    <row r="142">
      <c r="A142" s="2" t="inlineStr">
        <is>
          <t xml:space="preserve">      ✅ OK: Thời gian log (15:32:39) &gt;= Thời gian ảnh (15:32:39)</t>
        </is>
      </c>
    </row>
    <row r="143">
      <c r="A143" s="2" t="inlineStr">
        <is>
          <t xml:space="preserve">      ✅ OK: Duration Log Main (361ms) &lt; Duration Ảnh (562ms)</t>
        </is>
      </c>
    </row>
    <row r="144">
      <c r="A144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45">
      <c r="A145" s="2" t="inlineStr">
        <is>
          <t xml:space="preserve">      ✅ OK: Jobnet ID 'P1J0029@10029' khớp với dữ liệu trong Log.</t>
        </is>
      </c>
    </row>
    <row r="146">
      <c r="A146" t="inlineStr">
        <is>
          <t xml:space="preserve">  - [Kiểm tra File]: Log text báo có tạo ra file 'WMSH0029_output.tsv'.</t>
        </is>
      </c>
    </row>
    <row r="147">
      <c r="A147" s="2" t="inlineStr">
        <is>
          <t xml:space="preserve">      ✅ OK: Tên file trong ảnh File Explorer (WMSH0029_output.tsv) KHỚP với tên file trong Log text.</t>
        </is>
      </c>
    </row>
    <row r="148">
      <c r="A148" t="inlineStr">
        <is>
          <t xml:space="preserve">  - [Ảnh File Explorer]: Tìm thấy file 'WMSH0029_output.tsv' có Date modified là '2026/05/18 15:32'</t>
        </is>
      </c>
    </row>
    <row r="149">
      <c r="A149" s="2" t="inlineStr">
        <is>
          <t xml:space="preserve">      ✅ OK: Thời gian xuất file 'WMSH0029_output.tsv' (2026/05/18 15:32) KHỚP với log (2026/05/18 15:32).</t>
        </is>
      </c>
    </row>
    <row r="150">
      <c r="A150" t="inlineStr">
        <is>
          <t xml:space="preserve">  - [Đối chiếu Testcase trong Log]:</t>
        </is>
      </c>
    </row>
    <row r="151">
      <c r="A151" t="inlineStr">
        <is>
          <t xml:space="preserve">  - [Đối chiếu テスト計画書兼結果報告書(共通)]: Tìm thấy 1 dòng (29)</t>
        </is>
      </c>
    </row>
    <row r="152">
      <c r="A152" s="2" t="inlineStr">
        <is>
          <t xml:space="preserve">      + Số lần test (Cột K): ✅ Tất cả 1 dòng đều khớp (Lần 6)</t>
        </is>
      </c>
    </row>
    <row r="153">
      <c r="A153" s="2" t="inlineStr">
        <is>
          <t xml:space="preserve">      + Ngày test (Cột I/G): ✅ Khớp ngày (2026/05/18) cho tất cả các dòng có dữ liệu</t>
        </is>
      </c>
    </row>
    <row r="154">
      <c r="A154" t="inlineStr"/>
    </row>
    <row r="155">
      <c r="A155" s="1" t="inlineStr">
        <is>
          <t>[Nhóm Test]: ■7回目 正常系・データ行1000行以上</t>
        </is>
      </c>
    </row>
    <row r="156">
      <c r="A156" t="inlineStr">
        <is>
          <t xml:space="preserve">  - Tổng số dòng log: 77</t>
        </is>
      </c>
    </row>
    <row r="157">
      <c r="A157" s="2" t="inlineStr">
        <is>
          <t xml:space="preserve">  - Trạng thái Sort (行): ✅ Đã sắp xếp tăng dần hợp lệ.</t>
        </is>
      </c>
    </row>
    <row r="158">
      <c r="A158" t="inlineStr">
        <is>
          <t xml:space="preserve">  - Ngày chạy log: 2026/05/19</t>
        </is>
      </c>
    </row>
    <row r="159">
      <c r="A159" t="inlineStr">
        <is>
          <t xml:space="preserve">  - [Ảnh Status Panel]: Tìm thấy Jobnet ID: 'P1J0029@10029'</t>
        </is>
      </c>
    </row>
    <row r="160">
      <c r="A160" t="inlineStr">
        <is>
          <t xml:space="preserve">  - [Ảnh Status Panel]: Tìm thấy Interface ID: 'WMSH0029'</t>
        </is>
      </c>
    </row>
    <row r="161">
      <c r="A161" s="2" t="inlineStr">
        <is>
          <t xml:space="preserve">      ✅ OK: Interface ID 'WMSH0029' có tồn tại trong tên file Excel.</t>
        </is>
      </c>
    </row>
    <row r="162">
      <c r="A162" t="inlineStr">
        <is>
          <t xml:space="preserve">  - [Ảnh Status Panel]: Tìm thấy giờ bắt đầu là 17:46:24</t>
        </is>
      </c>
    </row>
    <row r="163">
      <c r="A163" s="2" t="inlineStr">
        <is>
          <t xml:space="preserve">      ✅ OK: Thời gian log (17:46:24) &gt;= Thời gian ảnh (17:46:24)</t>
        </is>
      </c>
    </row>
    <row r="164">
      <c r="A164" s="2" t="inlineStr">
        <is>
          <t xml:space="preserve">      ✅ OK: Duration Log Main (652ms) &lt; Duration Ảnh (854ms)</t>
        </is>
      </c>
    </row>
    <row r="165">
      <c r="A165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66">
      <c r="A166" s="2" t="inlineStr">
        <is>
          <t xml:space="preserve">      ✅ OK: Jobnet ID 'P1J0029@10029' khớp với dữ liệu trong Log.</t>
        </is>
      </c>
    </row>
    <row r="167">
      <c r="A167" t="inlineStr">
        <is>
          <t xml:space="preserve">  - [Kiểm tra File]: Log text báo có tạo ra file 'WMSH0029_output.tsv'.</t>
        </is>
      </c>
    </row>
    <row r="168">
      <c r="A168" s="4" t="inlineStr">
        <is>
          <t xml:space="preserve">      ❌ LỖI: Log báo có tạo file nhưng không tìm thấy ảnh chụp File Explorer chứa file này!</t>
        </is>
      </c>
    </row>
    <row r="169">
      <c r="A169" t="inlineStr">
        <is>
          <t xml:space="preserve">  - [Đối chiếu Testcase trong Log]:</t>
        </is>
      </c>
    </row>
    <row r="170">
      <c r="A170" t="inlineStr">
        <is>
          <t xml:space="preserve">  - [Đối chiếu テスト計画書兼結果報告書(共通)]: Tìm thấy 2 dòng (30, 35)</t>
        </is>
      </c>
    </row>
    <row r="171">
      <c r="A171" s="2" t="inlineStr">
        <is>
          <t xml:space="preserve">      + Số lần test (Cột K): ✅ Tất cả 2 dòng đều khớp (Lần 7)</t>
        </is>
      </c>
    </row>
    <row r="172">
      <c r="A172" s="2" t="inlineStr">
        <is>
          <t xml:space="preserve">      + Ngày test (Cột I/G): ✅ Khớp ngày (2026/05/19) cho tất cả các dòng có dữ liệu</t>
        </is>
      </c>
    </row>
    <row r="173">
      <c r="A173" t="inlineStr"/>
    </row>
    <row r="174">
      <c r="A174" s="1">
        <f>=============== ĐANG PHÂN TÍCH KẾT QUẢ SHEET: エビデンス(個別) ================</f>
        <v/>
      </c>
    </row>
    <row r="175">
      <c r="A175" t="inlineStr"/>
    </row>
    <row r="176">
      <c r="A176" s="1" t="inlineStr">
        <is>
          <t>[Nhóm Test]: ■1回目 正常系・0byteファイル</t>
        </is>
      </c>
    </row>
    <row r="177">
      <c r="A177" t="inlineStr">
        <is>
          <t xml:space="preserve">  - Tổng số dòng log: 61</t>
        </is>
      </c>
    </row>
    <row r="178">
      <c r="A178" s="2" t="inlineStr">
        <is>
          <t xml:space="preserve">  - Trạng thái Sort (行): ✅ Đã sắp xếp tăng dần hợp lệ.</t>
        </is>
      </c>
    </row>
    <row r="179">
      <c r="A179" t="inlineStr">
        <is>
          <t xml:space="preserve">  - Ngày chạy log: 2026/05/18</t>
        </is>
      </c>
    </row>
    <row r="180">
      <c r="A180" t="inlineStr">
        <is>
          <t xml:space="preserve">  - [Ảnh Status Panel]: Tìm thấy Jobnet ID: 'P1J0029@10029'</t>
        </is>
      </c>
    </row>
    <row r="181">
      <c r="A181" t="inlineStr">
        <is>
          <t xml:space="preserve">  - [Ảnh Status Panel]: Tìm thấy Interface ID: 'WMSH0029'</t>
        </is>
      </c>
    </row>
    <row r="182">
      <c r="A182" s="2" t="inlineStr">
        <is>
          <t xml:space="preserve">      ✅ OK: Interface ID 'WMSH0029' có tồn tại trong tên file Excel.</t>
        </is>
      </c>
    </row>
    <row r="183">
      <c r="A183" t="inlineStr">
        <is>
          <t xml:space="preserve">  - [Ảnh Status Panel]: Tìm thấy giờ bắt đầu là 15:45:56</t>
        </is>
      </c>
    </row>
    <row r="184">
      <c r="A184" s="2" t="inlineStr">
        <is>
          <t xml:space="preserve">      ✅ OK: Thời gian log (15:45:56) &gt;= Thời gian ảnh (15:45:56)</t>
        </is>
      </c>
    </row>
    <row r="185">
      <c r="A185" s="2" t="inlineStr">
        <is>
          <t xml:space="preserve">      ✅ OK: Duration Log Main (373ms) &lt; Duration Ảnh (593ms)</t>
        </is>
      </c>
    </row>
    <row r="186">
      <c r="A186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87">
      <c r="A187" s="2" t="inlineStr">
        <is>
          <t xml:space="preserve">      ✅ OK: Jobnet ID 'P1J0029@10029' khớp với dữ liệu trong Log.</t>
        </is>
      </c>
    </row>
    <row r="188">
      <c r="A188" t="inlineStr">
        <is>
          <t xml:space="preserve">  - [Kiểm tra File]: Log text báo có tạo ra file 'WMSH0029_output.tsv'.</t>
        </is>
      </c>
    </row>
    <row r="189">
      <c r="A189" s="2" t="inlineStr">
        <is>
          <t xml:space="preserve">      ✅ OK: Tên file trong ảnh File Explorer (WMSH0029_output.tsv) KHỚP với tên file trong Log text.</t>
        </is>
      </c>
    </row>
    <row r="190">
      <c r="A190" t="inlineStr">
        <is>
          <t xml:space="preserve">  - [Ảnh File Explorer]: Tìm thấy file 'WMSH0029_output.tsv' có Date modified là '2026/05/18 15:45'</t>
        </is>
      </c>
    </row>
    <row r="191">
      <c r="A191" s="2" t="inlineStr">
        <is>
          <t xml:space="preserve">      ✅ OK: Thời gian xuất file 'WMSH0029_output.tsv' (2026/05/18 15:45) KHỚP với log (2026/05/18 15:45).</t>
        </is>
      </c>
    </row>
    <row r="192">
      <c r="A192" t="inlineStr">
        <is>
          <t xml:space="preserve">  - [Đối chiếu Testcase trong Log]:</t>
        </is>
      </c>
    </row>
    <row r="193">
      <c r="A193" t="inlineStr">
        <is>
          <t xml:space="preserve">  - [Đối chiếu テスト計画書兼結果報告書(個別)]: Tìm thấy 1 dòng (6)</t>
        </is>
      </c>
    </row>
    <row r="194">
      <c r="A194" s="2" t="inlineStr">
        <is>
          <t xml:space="preserve">      + Số lần test (Cột K): ✅ Tất cả 1 dòng đều khớp (Lần 1)</t>
        </is>
      </c>
    </row>
    <row r="195">
      <c r="A195" s="2" t="inlineStr">
        <is>
          <t xml:space="preserve">      + Ngày test (Cột I/G): ✅ Khớp ngày (2026/05/18) cho tất cả các dòng có dữ liệu</t>
        </is>
      </c>
    </row>
    <row r="196">
      <c r="A196" t="inlineStr"/>
    </row>
    <row r="197">
      <c r="A197" s="1" t="inlineStr">
        <is>
          <t>[Nhóm Test]: ■2回目 正常系・全項目空データファイル</t>
        </is>
      </c>
    </row>
    <row r="198">
      <c r="A198" t="inlineStr">
        <is>
          <t xml:space="preserve">  - Tổng số dòng log: 65</t>
        </is>
      </c>
    </row>
    <row r="199">
      <c r="A199" s="2" t="inlineStr">
        <is>
          <t xml:space="preserve">  - Trạng thái Sort (行): ✅ Đã sắp xếp tăng dần hợp lệ.</t>
        </is>
      </c>
    </row>
    <row r="200">
      <c r="A200" t="inlineStr">
        <is>
          <t xml:space="preserve">  - Ngày chạy log: 2026/05/18</t>
        </is>
      </c>
    </row>
    <row r="201">
      <c r="A201" t="inlineStr">
        <is>
          <t xml:space="preserve">  - [Ảnh Status Panel]: Tìm thấy Jobnet ID: 'P1J0029@10029'</t>
        </is>
      </c>
    </row>
    <row r="202">
      <c r="A202" t="inlineStr">
        <is>
          <t xml:space="preserve">  - [Ảnh Status Panel]: Tìm thấy Interface ID: 'WMSH0029'</t>
        </is>
      </c>
    </row>
    <row r="203">
      <c r="A203" s="2" t="inlineStr">
        <is>
          <t xml:space="preserve">      ✅ OK: Interface ID 'WMSH0029' có tồn tại trong tên file Excel.</t>
        </is>
      </c>
    </row>
    <row r="204">
      <c r="A204" t="inlineStr">
        <is>
          <t xml:space="preserve">  - [Ảnh Status Panel]: Tìm thấy giờ bắt đầu là 15:52:44</t>
        </is>
      </c>
    </row>
    <row r="205">
      <c r="A205" s="2" t="inlineStr">
        <is>
          <t xml:space="preserve">      ✅ OK: Thời gian log (15:52:45) &gt;= Thời gian ảnh (15:52:44)</t>
        </is>
      </c>
    </row>
    <row r="206">
      <c r="A206" s="2" t="inlineStr">
        <is>
          <t xml:space="preserve">      ✅ OK: Duration Log Main (373ms) &lt; Duration Ảnh (593ms)</t>
        </is>
      </c>
    </row>
    <row r="207">
      <c r="A207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08">
      <c r="A208" s="2" t="inlineStr">
        <is>
          <t xml:space="preserve">      ✅ OK: Jobnet ID 'P1J0029@10029' khớp với dữ liệu trong Log.</t>
        </is>
      </c>
    </row>
    <row r="209">
      <c r="A209" t="inlineStr">
        <is>
          <t xml:space="preserve">  - [Kiểm tra File]: Log text báo có tạo ra file 'WMSH0029_output.tsv'.</t>
        </is>
      </c>
    </row>
    <row r="210">
      <c r="A210" s="2" t="inlineStr">
        <is>
          <t xml:space="preserve">      ✅ OK: Tên file trong ảnh File Explorer (WMSH0029_output.tsv) KHỚP với tên file trong Log text.</t>
        </is>
      </c>
    </row>
    <row r="211">
      <c r="A211" t="inlineStr">
        <is>
          <t xml:space="preserve">  - [Ảnh File Explorer]: Tìm thấy file 'WMSH0029_output.tsv' có Date modified là '2026/05/18 15:52'</t>
        </is>
      </c>
    </row>
    <row r="212">
      <c r="A212" s="2" t="inlineStr">
        <is>
          <t xml:space="preserve">      ✅ OK: Thời gian xuất file 'WMSH0029_output.tsv' (2026/05/18 15:52) KHỚP với log (2026/05/18 15:52).</t>
        </is>
      </c>
    </row>
    <row r="213">
      <c r="A213" t="inlineStr">
        <is>
          <t xml:space="preserve">  - [Đối chiếu Testcase trong Log]:</t>
        </is>
      </c>
    </row>
    <row r="214">
      <c r="A214" t="inlineStr">
        <is>
          <t xml:space="preserve">  - [Đối chiếu テスト計画書兼結果報告書(個別)]: Tìm thấy 1 dòng (8)</t>
        </is>
      </c>
    </row>
    <row r="215">
      <c r="A215" s="2" t="inlineStr">
        <is>
          <t xml:space="preserve">      + Số lần test (Cột K): ✅ Tất cả 1 dòng đều khớp (Lần 2)</t>
        </is>
      </c>
    </row>
    <row r="216">
      <c r="A216" s="2" t="inlineStr">
        <is>
          <t xml:space="preserve">      + Ngày test (Cột I/G): ✅ Khớp ngày (2026/05/18) cho tất cả các dòng có dữ liệu</t>
        </is>
      </c>
    </row>
    <row r="217">
      <c r="A217" t="inlineStr"/>
    </row>
    <row r="218">
      <c r="A218" s="1" t="inlineStr">
        <is>
          <t>[Nhóm Test]: ■3回目 正常系・ファイル定義確認</t>
        </is>
      </c>
    </row>
    <row r="219">
      <c r="A219" t="inlineStr">
        <is>
          <t xml:space="preserve">  - Tổng số dòng log: 65</t>
        </is>
      </c>
    </row>
    <row r="220">
      <c r="A220" s="2" t="inlineStr">
        <is>
          <t xml:space="preserve">  - Trạng thái Sort (行): ✅ Đã sắp xếp tăng dần hợp lệ.</t>
        </is>
      </c>
    </row>
    <row r="221">
      <c r="A221" t="inlineStr">
        <is>
          <t xml:space="preserve">  - Ngày chạy log: 2026/05/18</t>
        </is>
      </c>
    </row>
    <row r="222">
      <c r="A222" t="inlineStr">
        <is>
          <t xml:space="preserve">  - [Ảnh Status Panel]: Tìm thấy Jobnet ID: 'P1J0029@10029'</t>
        </is>
      </c>
    </row>
    <row r="223">
      <c r="A223" t="inlineStr">
        <is>
          <t xml:space="preserve">  - [Ảnh Status Panel]: Tìm thấy Interface ID: 'WMSH0029'</t>
        </is>
      </c>
    </row>
    <row r="224">
      <c r="A224" s="2" t="inlineStr">
        <is>
          <t xml:space="preserve">      ✅ OK: Interface ID 'WMSH0029' có tồn tại trong tên file Excel.</t>
        </is>
      </c>
    </row>
    <row r="225">
      <c r="A225" t="inlineStr">
        <is>
          <t xml:space="preserve">  - [Ảnh Status Panel]: Tìm thấy giờ bắt đầu là 15:56:10</t>
        </is>
      </c>
    </row>
    <row r="226">
      <c r="A226" s="2" t="inlineStr">
        <is>
          <t xml:space="preserve">      ✅ OK: Thời gian log (15:56:10) &gt;= Thời gian ảnh (15:56:10)</t>
        </is>
      </c>
    </row>
    <row r="227">
      <c r="A227" s="2" t="inlineStr">
        <is>
          <t xml:space="preserve">      ✅ OK: Duration Log Main (537ms) &lt; Duration Ảnh (718ms)</t>
        </is>
      </c>
    </row>
    <row r="228">
      <c r="A228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29">
      <c r="A229" s="2" t="inlineStr">
        <is>
          <t xml:space="preserve">      ✅ OK: Jobnet ID 'P1J0029@10029' khớp với dữ liệu trong Log.</t>
        </is>
      </c>
    </row>
    <row r="230">
      <c r="A230" t="inlineStr">
        <is>
          <t xml:space="preserve">  - [Kiểm tra File]: Log text báo có tạo ra file 'WMSH0029_output.tsv'.</t>
        </is>
      </c>
    </row>
    <row r="231">
      <c r="A231" s="2" t="inlineStr">
        <is>
          <t xml:space="preserve">      ✅ OK: Tên file trong ảnh File Explorer (WMSH0029_output.tsv) KHỚP với tên file trong Log text.</t>
        </is>
      </c>
    </row>
    <row r="232">
      <c r="A232" t="inlineStr">
        <is>
          <t xml:space="preserve">  - [Ảnh File Explorer]: Tìm thấy file 'WMSH0029_output.tsv' có Date modified là '2026/05/18 15:56'</t>
        </is>
      </c>
    </row>
    <row r="233">
      <c r="A233" s="2" t="inlineStr">
        <is>
          <t xml:space="preserve">      ✅ OK: Thời gian xuất file 'WMSH0029_output.tsv' (2026/05/18 15:56) KHỚP với log (2026/05/18 15:56).</t>
        </is>
      </c>
    </row>
    <row r="234">
      <c r="A234" t="inlineStr">
        <is>
          <t xml:space="preserve">  - [Đối chiếu Testcase trong Log]:</t>
        </is>
      </c>
    </row>
    <row r="235">
      <c r="A235" t="inlineStr">
        <is>
          <t xml:space="preserve">  - [Đối chiếu テスト計画書兼結果報告書(個別)]: Tìm thấy 13 dòng (13, 18, 19, 20, 21, 22, 23, 25, 26, 27, 28, 29, 30)</t>
        </is>
      </c>
    </row>
    <row r="236">
      <c r="A236" s="2" t="inlineStr">
        <is>
          <t xml:space="preserve">      + Số lần test (Cột K): ✅ Tất cả 13 dòng đều khớp (Lần 3)</t>
        </is>
      </c>
    </row>
    <row r="237">
      <c r="A237" s="2" t="inlineStr">
        <is>
          <t xml:space="preserve">      + Ngày test (Cột I/G): ✅ Khớp ngày (2026/05/18) cho tất cả các dòng có dữ liệu</t>
        </is>
      </c>
    </row>
    <row r="238">
      <c r="A238" t="inlineStr"/>
    </row>
    <row r="239">
      <c r="A239" s="1" t="inlineStr">
        <is>
          <t>[Nhóm Test]: ■4回目正常系・列分割→行変換確認（明細0件）</t>
        </is>
      </c>
    </row>
    <row r="240">
      <c r="A240" t="inlineStr">
        <is>
          <t xml:space="preserve">  - Tổng số dòng log: 65</t>
        </is>
      </c>
    </row>
    <row r="241">
      <c r="A241" s="2" t="inlineStr">
        <is>
          <t xml:space="preserve">  - Trạng thái Sort (行): ✅ Đã sắp xếp tăng dần hợp lệ.</t>
        </is>
      </c>
    </row>
    <row r="242">
      <c r="A242" t="inlineStr">
        <is>
          <t xml:space="preserve">  - Ngày chạy log: 2026/05/18</t>
        </is>
      </c>
    </row>
    <row r="243">
      <c r="A243" t="inlineStr">
        <is>
          <t xml:space="preserve">  - [Ảnh Status Panel]: Tìm thấy Jobnet ID: 'P1J0029@10029'</t>
        </is>
      </c>
    </row>
    <row r="244">
      <c r="A244" t="inlineStr">
        <is>
          <t xml:space="preserve">  - [Ảnh Status Panel]: Tìm thấy Interface ID: 'WMSH0029'</t>
        </is>
      </c>
    </row>
    <row r="245">
      <c r="A245" s="2" t="inlineStr">
        <is>
          <t xml:space="preserve">      ✅ OK: Interface ID 'WMSH0029' có tồn tại trong tên file Excel.</t>
        </is>
      </c>
    </row>
    <row r="246">
      <c r="A246" t="inlineStr">
        <is>
          <t xml:space="preserve">  - [Ảnh Status Panel]: Tìm thấy giờ bắt đầu là 15:59:27</t>
        </is>
      </c>
    </row>
    <row r="247">
      <c r="A247" s="2" t="inlineStr">
        <is>
          <t xml:space="preserve">      ✅ OK: Thời gian log (15:59:27) &gt;= Thời gian ảnh (15:59:27)</t>
        </is>
      </c>
    </row>
    <row r="248">
      <c r="A248" s="2" t="inlineStr">
        <is>
          <t xml:space="preserve">      ✅ OK: Duration Log Main (524ms) &lt; Duration Ảnh (734ms)</t>
        </is>
      </c>
    </row>
    <row r="249">
      <c r="A249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50">
      <c r="A250" s="2" t="inlineStr">
        <is>
          <t xml:space="preserve">      ✅ OK: Jobnet ID 'P1J0029@10029' khớp với dữ liệu trong Log.</t>
        </is>
      </c>
    </row>
    <row r="251">
      <c r="A251" t="inlineStr">
        <is>
          <t xml:space="preserve">  - [Kiểm tra File]: Log text báo có tạo ra file 'WMSH0029_output.tsv'.</t>
        </is>
      </c>
    </row>
    <row r="252">
      <c r="A252" s="4" t="inlineStr">
        <is>
          <t xml:space="preserve">      ❌ LỖI: Log báo có tạo file nhưng không tìm thấy ảnh chụp File Explorer chứa file này!</t>
        </is>
      </c>
    </row>
    <row r="253">
      <c r="A253" t="inlineStr">
        <is>
          <t xml:space="preserve">  - [Đối chiếu Testcase trong Log]:</t>
        </is>
      </c>
    </row>
    <row r="254">
      <c r="A254" t="inlineStr">
        <is>
          <t xml:space="preserve">  - [Đối chiếu テスト計画書兼結果報告書(個別)]: Tìm thấy 1 dòng (11)</t>
        </is>
      </c>
    </row>
    <row r="255">
      <c r="A255" s="2" t="inlineStr">
        <is>
          <t xml:space="preserve">      + Số lần test (Cột K): ✅ Tất cả 1 dòng đều khớp (Lần 4)</t>
        </is>
      </c>
    </row>
    <row r="256">
      <c r="A256" s="2" t="inlineStr">
        <is>
          <t xml:space="preserve">      + Ngày test (Cột I/G): ✅ Khớp ngày (2026/05/18) cho tất cả các dòng có dữ liệu</t>
        </is>
      </c>
    </row>
    <row r="257">
      <c r="A257" t="inlineStr"/>
    </row>
    <row r="258">
      <c r="A258" s="1" t="inlineStr">
        <is>
          <t>[Nhóm Test]: ■5回目正常系・列分割→行変換確認（明細1件）</t>
        </is>
      </c>
    </row>
    <row r="259">
      <c r="A259" t="inlineStr">
        <is>
          <t xml:space="preserve">  - Tổng số dòng log: 65</t>
        </is>
      </c>
    </row>
    <row r="260">
      <c r="A260" s="2" t="inlineStr">
        <is>
          <t xml:space="preserve">  - Trạng thái Sort (行): ✅ Đã sắp xếp tăng dần hợp lệ.</t>
        </is>
      </c>
    </row>
    <row r="261">
      <c r="A261" t="inlineStr">
        <is>
          <t xml:space="preserve">  - Ngày chạy log: 2026/05/18</t>
        </is>
      </c>
    </row>
    <row r="262">
      <c r="A262" t="inlineStr">
        <is>
          <t xml:space="preserve">  - [Ảnh Status Panel]: Tìm thấy Jobnet ID: 'P1J0029@10029'</t>
        </is>
      </c>
    </row>
    <row r="263">
      <c r="A263" t="inlineStr">
        <is>
          <t xml:space="preserve">  - [Ảnh Status Panel]: Tìm thấy Interface ID: 'WMSH0029'</t>
        </is>
      </c>
    </row>
    <row r="264">
      <c r="A264" s="2" t="inlineStr">
        <is>
          <t xml:space="preserve">      ✅ OK: Interface ID 'WMSH0029' có tồn tại trong tên file Excel.</t>
        </is>
      </c>
    </row>
    <row r="265">
      <c r="A265" t="inlineStr">
        <is>
          <t xml:space="preserve">  - [Ảnh Status Panel]: Tìm thấy giờ bắt đầu là 16:03:24</t>
        </is>
      </c>
    </row>
    <row r="266">
      <c r="A266" s="2" t="inlineStr">
        <is>
          <t xml:space="preserve">      ✅ OK: Thời gian log (16:03:24) &gt;= Thời gian ảnh (16:03:24)</t>
        </is>
      </c>
    </row>
    <row r="267">
      <c r="A267" s="2" t="inlineStr">
        <is>
          <t xml:space="preserve">      ✅ OK: Duration Log Main (389ms) &lt; Duration Ảnh (593ms)</t>
        </is>
      </c>
    </row>
    <row r="268">
      <c r="A268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69">
      <c r="A269" s="2" t="inlineStr">
        <is>
          <t xml:space="preserve">      ✅ OK: Jobnet ID 'P1J0029@10029' khớp với dữ liệu trong Log.</t>
        </is>
      </c>
    </row>
    <row r="270">
      <c r="A270" t="inlineStr">
        <is>
          <t xml:space="preserve">  - [Kiểm tra File]: Log text báo có tạo ra file 'WMSH0029_output.tsv'.</t>
        </is>
      </c>
    </row>
    <row r="271">
      <c r="A271" s="2" t="inlineStr">
        <is>
          <t xml:space="preserve">      ✅ OK: Tên file trong ảnh File Explorer (WMSH0029_output.tsv) KHỚP với tên file trong Log text.</t>
        </is>
      </c>
    </row>
    <row r="272">
      <c r="A272" t="inlineStr">
        <is>
          <t xml:space="preserve">  - [Ảnh File Explorer]: Tìm thấy file 'WMSH0029_output.tsv' có Date modified là '2026/05/18 16:03'</t>
        </is>
      </c>
    </row>
    <row r="273">
      <c r="A273" s="2" t="inlineStr">
        <is>
          <t xml:space="preserve">      ✅ OK: Thời gian xuất file 'WMSH0029_output.tsv' (2026/05/18 16:03) KHỚP với log (2026/05/18 16:03).</t>
        </is>
      </c>
    </row>
    <row r="274">
      <c r="A274" t="inlineStr">
        <is>
          <t xml:space="preserve">  - [Đối chiếu Testcase trong Log]:</t>
        </is>
      </c>
    </row>
    <row r="275">
      <c r="A275" t="inlineStr">
        <is>
          <t xml:space="preserve">  - [Đối chiếu テスト計画書兼結果報告書(個別)]: Tìm thấy 1 dòng (12)</t>
        </is>
      </c>
    </row>
    <row r="276">
      <c r="A276" s="2" t="inlineStr">
        <is>
          <t xml:space="preserve">      + Số lần test (Cột K): ✅ Tất cả 1 dòng đều khớp (Lần 5)</t>
        </is>
      </c>
    </row>
    <row r="277">
      <c r="A277" s="2" t="inlineStr">
        <is>
          <t xml:space="preserve">      + Ngày test (Cột I/G): ✅ Khớp ngày (2026/05/18) cho tất cả các dòng có dữ liệu</t>
        </is>
      </c>
    </row>
    <row r="278">
      <c r="A278" t="inlineStr"/>
    </row>
    <row r="279">
      <c r="A279" s="1" t="inlineStr">
        <is>
          <t>[Nhóm Test]: ■6回目正常系・列分割→行変換確認（明細4件）</t>
        </is>
      </c>
    </row>
    <row r="280">
      <c r="A280" t="inlineStr">
        <is>
          <t xml:space="preserve">  - Tổng số dòng log: 65</t>
        </is>
      </c>
    </row>
    <row r="281">
      <c r="A281" s="2" t="inlineStr">
        <is>
          <t xml:space="preserve">  - Trạng thái Sort (行): ✅ Đã sắp xếp tăng dần hợp lệ.</t>
        </is>
      </c>
    </row>
    <row r="282">
      <c r="A282" t="inlineStr">
        <is>
          <t xml:space="preserve">  - Ngày chạy log: 2026/05/18</t>
        </is>
      </c>
    </row>
    <row r="283">
      <c r="A283" t="inlineStr">
        <is>
          <t xml:space="preserve">  - [Ảnh Status Panel]: Tìm thấy Jobnet ID: 'P1J0029@10029'</t>
        </is>
      </c>
    </row>
    <row r="284">
      <c r="A284" t="inlineStr">
        <is>
          <t xml:space="preserve">  - [Ảnh Status Panel]: Tìm thấy Interface ID: 'WMSH0029'</t>
        </is>
      </c>
    </row>
    <row r="285">
      <c r="A285" s="2" t="inlineStr">
        <is>
          <t xml:space="preserve">      ✅ OK: Interface ID 'WMSH0029' có tồn tại trong tên file Excel.</t>
        </is>
      </c>
    </row>
    <row r="286">
      <c r="A286" t="inlineStr">
        <is>
          <t xml:space="preserve">  - [Ảnh Status Panel]: Tìm thấy giờ bắt đầu là 16:07:26</t>
        </is>
      </c>
    </row>
    <row r="287">
      <c r="A287" s="2" t="inlineStr">
        <is>
          <t xml:space="preserve">      ✅ OK: Thời gian log (16:07:26) &gt;= Thời gian ảnh (16:07:26)</t>
        </is>
      </c>
    </row>
    <row r="288">
      <c r="A288" s="2" t="inlineStr">
        <is>
          <t xml:space="preserve">      ✅ OK: Duration Log Main (397ms) &lt; Duration Ảnh (609ms)</t>
        </is>
      </c>
    </row>
    <row r="289">
      <c r="A289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90">
      <c r="A290" s="2" t="inlineStr">
        <is>
          <t xml:space="preserve">      ✅ OK: Jobnet ID 'P1J0029@10029' khớp với dữ liệu trong Log.</t>
        </is>
      </c>
    </row>
    <row r="291">
      <c r="A291" t="inlineStr">
        <is>
          <t xml:space="preserve">  - [Kiểm tra File]: Log text báo có tạo ra file 'WMSH0029_output.tsv'.</t>
        </is>
      </c>
    </row>
    <row r="292">
      <c r="A292" s="2" t="inlineStr">
        <is>
          <t xml:space="preserve">      ✅ OK: Tên file trong ảnh File Explorer (WMSH0029_output.tsv) KHỚP với tên file trong Log text.</t>
        </is>
      </c>
    </row>
    <row r="293">
      <c r="A293" t="inlineStr">
        <is>
          <t xml:space="preserve">  - [Ảnh File Explorer]: Tìm thấy file 'WMSH0029_output.tsv' có Date modified là '2026/05/18 16:07'</t>
        </is>
      </c>
    </row>
    <row r="294">
      <c r="A294" s="2" t="inlineStr">
        <is>
          <t xml:space="preserve">      ✅ OK: Thời gian xuất file 'WMSH0029_output.tsv' (2026/05/18 16:07) KHỚP với log (2026/05/18 16:07).</t>
        </is>
      </c>
    </row>
    <row r="295">
      <c r="A295" t="inlineStr">
        <is>
          <t xml:space="preserve">  - [Đối chiếu Testcase trong Log]:</t>
        </is>
      </c>
    </row>
    <row r="296">
      <c r="A296" t="inlineStr">
        <is>
          <t xml:space="preserve">  - [Đối chiếu テスト計画書兼結果報告書(個別)]: Tìm thấy 1 dòng (14)</t>
        </is>
      </c>
    </row>
    <row r="297">
      <c r="A297" s="2" t="inlineStr">
        <is>
          <t xml:space="preserve">      + Số lần test (Cột K): ✅ Tất cả 1 dòng đều khớp (Lần 6)</t>
        </is>
      </c>
    </row>
    <row r="298">
      <c r="A298" s="2" t="inlineStr">
        <is>
          <t xml:space="preserve">      + Ngày test (Cột I/G): ✅ Khớp ngày (2026/05/18) cho tất cả các dòng có dữ liệu</t>
        </is>
      </c>
    </row>
    <row r="299">
      <c r="A299" t="inlineStr"/>
    </row>
    <row r="300">
      <c r="A300" s="1" t="inlineStr">
        <is>
          <t>[Nhóm Test]: ■7回目正常系・列分割→行変換確認（レコードが複数件あり）</t>
        </is>
      </c>
    </row>
    <row r="301">
      <c r="A301" t="inlineStr">
        <is>
          <t xml:space="preserve">  - Tổng số dòng log: 65</t>
        </is>
      </c>
    </row>
    <row r="302">
      <c r="A302" s="2" t="inlineStr">
        <is>
          <t xml:space="preserve">  - Trạng thái Sort (行): ✅ Đã sắp xếp tăng dần hợp lệ.</t>
        </is>
      </c>
    </row>
    <row r="303">
      <c r="A303" t="inlineStr">
        <is>
          <t xml:space="preserve">  - Ngày chạy log: 2026/05/18</t>
        </is>
      </c>
    </row>
    <row r="304">
      <c r="A304" t="inlineStr">
        <is>
          <t xml:space="preserve">  - [Ảnh Status Panel]: Tìm thấy Jobnet ID: 'P1J0029@10029'</t>
        </is>
      </c>
    </row>
    <row r="305">
      <c r="A305" t="inlineStr">
        <is>
          <t xml:space="preserve">  - [Ảnh Status Panel]: Tìm thấy Interface ID: 'WMSH0029'</t>
        </is>
      </c>
    </row>
    <row r="306">
      <c r="A306" s="2" t="inlineStr">
        <is>
          <t xml:space="preserve">      ✅ OK: Interface ID 'WMSH0029' có tồn tại trong tên file Excel.</t>
        </is>
      </c>
    </row>
    <row r="307">
      <c r="A307" t="inlineStr">
        <is>
          <t xml:space="preserve">  - [Ảnh Status Panel]: Tìm thấy giờ bắt đầu là 16:12:02</t>
        </is>
      </c>
    </row>
    <row r="308">
      <c r="A308" s="2" t="inlineStr">
        <is>
          <t xml:space="preserve">      ✅ OK: Thời gian log (16:12:02) &gt;= Thời gian ảnh (16:12:02)</t>
        </is>
      </c>
    </row>
    <row r="309">
      <c r="A309" s="2" t="inlineStr">
        <is>
          <t xml:space="preserve">      ✅ OK: Duration Log Main (221ms) &lt; Duration Ảnh (421ms)</t>
        </is>
      </c>
    </row>
    <row r="310">
      <c r="A310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311">
      <c r="A311" s="2" t="inlineStr">
        <is>
          <t xml:space="preserve">      ✅ OK: Jobnet ID 'P1J0029@10029' khớp với dữ liệu trong Log.</t>
        </is>
      </c>
    </row>
    <row r="312">
      <c r="A312" t="inlineStr">
        <is>
          <t xml:space="preserve">  - [Kiểm tra File]: Log text báo có tạo ra file 'WMSH0029_output.tsv'.</t>
        </is>
      </c>
    </row>
    <row r="313">
      <c r="A313" s="2" t="inlineStr">
        <is>
          <t xml:space="preserve">      ✅ OK: Tên file trong ảnh File Explorer (WMSH0029_output.tsv) KHỚP với tên file trong Log text.</t>
        </is>
      </c>
    </row>
    <row r="314">
      <c r="A314" t="inlineStr">
        <is>
          <t xml:space="preserve">  - [Ảnh File Explorer]: Tìm thấy file 'WMSH0029_output.tsv' có Date modified là '2026/05/18 16:12'</t>
        </is>
      </c>
    </row>
    <row r="315">
      <c r="A315" s="2" t="inlineStr">
        <is>
          <t xml:space="preserve">      ✅ OK: Thời gian xuất file 'WMSH0029_output.tsv' (2026/05/18 16:12) KHỚP với log (2026/05/18 16:12).</t>
        </is>
      </c>
    </row>
    <row r="316">
      <c r="A316" t="inlineStr">
        <is>
          <t xml:space="preserve">  - [Đối chiếu Testcase trong Log]:</t>
        </is>
      </c>
    </row>
    <row r="317">
      <c r="A317" t="inlineStr">
        <is>
          <t xml:space="preserve">  - [Đối chiếu テスト計画書兼結果報告書(個別)]: Tìm thấy 1 dòng (15)</t>
        </is>
      </c>
    </row>
    <row r="318">
      <c r="A318" s="2" t="inlineStr">
        <is>
          <t xml:space="preserve">      + Số lần test (Cột K): ✅ Tất cả 1 dòng đều khớp (Lần 7)</t>
        </is>
      </c>
    </row>
    <row r="319">
      <c r="A319" s="2" t="inlineStr">
        <is>
          <t xml:space="preserve">      + Ngày test (Cột I/G): ✅ Khớp ngày (2026/05/18) cho tất cả các dòng có dữ liệu</t>
        </is>
      </c>
    </row>
    <row r="320">
      <c r="A320" t="inlineStr"/>
    </row>
    <row r="321">
      <c r="A321" s="1">
        <f>=============== TỔNG KẾT COVERAGE CHO SHEET エビデンス(共通) ================</f>
        <v/>
      </c>
    </row>
    <row r="322">
      <c r="A322" s="2" t="inlineStr">
        <is>
          <t xml:space="preserve">  - ✅ Nhóm 1 (gồm TC: 1-1-1, 1-2-1, 2-1-1, 2-2-1, 3-1-1, 3-2-1, 4-1-1, 4-2-1, 5-1-1, 5-3-1, 5-4-1, 6-1-1, 7-1-1): Đã có Log Evidence.</t>
        </is>
      </c>
    </row>
    <row r="323">
      <c r="A323" s="2" t="inlineStr">
        <is>
          <t xml:space="preserve">  - ✅ Nhóm 2 (gồm TC: 1-2-2, 2-2-2): Đã có Log Evidence.</t>
        </is>
      </c>
    </row>
    <row r="324">
      <c r="A324" s="2" t="inlineStr">
        <is>
          <t xml:space="preserve">  - ✅ Nhóm 3 (gồm TC: 3-2-2): Đã có Log Evidence.</t>
        </is>
      </c>
    </row>
    <row r="325">
      <c r="A325" s="2" t="inlineStr">
        <is>
          <t xml:space="preserve">  - ✅ Nhóm 4 (gồm TC: 3-2-3): Đã có Log Evidence.</t>
        </is>
      </c>
    </row>
    <row r="326">
      <c r="A326" s="2" t="inlineStr">
        <is>
          <t xml:space="preserve">  - ✅ Nhóm 5 (gồm TC: 4-1-2, 7-1-2): Đã có Log Evidence.</t>
        </is>
      </c>
    </row>
    <row r="327">
      <c r="A327" s="2" t="inlineStr">
        <is>
          <t xml:space="preserve">  - ✅ Nhóm 6 (gồm TC: 4-2-2): Đã có Log Evidence.</t>
        </is>
      </c>
    </row>
    <row r="328">
      <c r="A328" s="2" t="inlineStr">
        <is>
          <t xml:space="preserve">  - ✅ Nhóm 7 (gồm TC: 4-2-3, 5-2-1): Đã có Log Evidence.</t>
        </is>
      </c>
    </row>
    <row r="329">
      <c r="A329" t="inlineStr">
        <is>
          <t xml:space="preserve">  =&gt; TOÀN BỘ CÁC NHÓM TEST TRONG KẾ HOẠCH ĐỀU ĐÃ CÓ EVIDENCE!</t>
        </is>
      </c>
    </row>
    <row r="330">
      <c r="A330" t="inlineStr"/>
    </row>
    <row r="331">
      <c r="A331" t="inlineStr"/>
    </row>
    <row r="332">
      <c r="A332" s="1">
        <f>=============== TỔNG KẾT COVERAGE CHO SHEET エビデンス(個別) ================</f>
        <v/>
      </c>
    </row>
    <row r="333">
      <c r="A333" s="2" t="inlineStr">
        <is>
          <t xml:space="preserve">  - ✅ Nhóm 1 (gồm TC: 1-1-1): Đã có Log Evidence.</t>
        </is>
      </c>
    </row>
    <row r="334">
      <c r="A334" s="2" t="inlineStr">
        <is>
          <t xml:space="preserve">  - ✅ Nhóm 2 (gồm TC: 1-2-1): Đã có Log Evidence.</t>
        </is>
      </c>
    </row>
    <row r="335">
      <c r="A335" s="2" t="inlineStr">
        <is>
          <t xml:space="preserve">  - ✅ Nhóm 3 (gồm TC: 2-1-3, 3-1-1, 3-1-2, 3-1-3, 3-1-4, 3-1-5, 3-1-6, 3-2-1, 3-2-2, 3-2-3, 3-2-4, 3-2-5, 3-2-6): Đã có Log Evidence.</t>
        </is>
      </c>
    </row>
    <row r="336">
      <c r="A336" s="2" t="inlineStr">
        <is>
          <t xml:space="preserve">  - ✅ Nhóm 4 (gồm TC: 2-1-1): Đã có Log Evidence.</t>
        </is>
      </c>
    </row>
    <row r="337">
      <c r="A337" s="2" t="inlineStr">
        <is>
          <t xml:space="preserve">  - ✅ Nhóm 5 (gồm TC: 2-1-2): Đã có Log Evidence.</t>
        </is>
      </c>
    </row>
    <row r="338">
      <c r="A338" s="2" t="inlineStr">
        <is>
          <t xml:space="preserve">  - ✅ Nhóm 6 (gồm TC: 2-1-4): Đã có Log Evidence.</t>
        </is>
      </c>
    </row>
    <row r="339">
      <c r="A339" s="2" t="inlineStr">
        <is>
          <t xml:space="preserve">  - ✅ Nhóm 7 (gồm TC: 2-1-5): Đã có Log Evidence.</t>
        </is>
      </c>
    </row>
    <row r="340">
      <c r="A340" t="inlineStr">
        <is>
          <t xml:space="preserve">  =&gt; TOÀN BỘ CÁC NHÓM TEST TRONG KẾ HOẠCH ĐỀU ĐÃ CÓ EVIDENCE!</t>
        </is>
      </c>
    </row>
    <row r="341">
      <c r="A341" t="inlineStr"/>
    </row>
    <row r="342">
      <c r="A34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34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" t="inlineStr">
        <is>
          <t>✅ Đã check xong file '単体テスト仕様書兼成績書_E304_WMSH0029.xlsx'. Nhấn Enter để tiếp tục sang file tiếp theo...</t>
        </is>
      </c>
    </row>
    <row r="2">
      <c r="A2" s="1">
        <f>======================== [16/16] ĐANG XỬ LÝ FILE: 単体テスト仕様書兼成績書_E304_WMSH0065.xlsx =========================</f>
        <v/>
      </c>
    </row>
    <row r="3">
      <c r="A3" t="inlineStr">
        <is>
          <t>Đang đọc dữ liệu từ file: 単体テスト仕様書兼成績書_E304_WMSH0065.xlsx ...</t>
        </is>
      </c>
    </row>
    <row r="4">
      <c r="A4" t="inlineStr"/>
    </row>
    <row r="5">
      <c r="A5" s="1">
        <f>=============== TRẠNG THÁI OCR ================</f>
        <v/>
      </c>
    </row>
    <row r="6">
      <c r="A6" s="2" t="inlineStr">
        <is>
          <t>✅ Đã bật (Sẵn sàng đọc ảnh)</t>
        </is>
      </c>
    </row>
    <row r="7">
      <c r="A7" t="inlineStr"/>
    </row>
    <row r="8">
      <c r="A8" s="1">
        <f>=============== KIỂM TRA TRẠNG THÁI MỞ FILE ================</f>
        <v/>
      </c>
    </row>
    <row r="9">
      <c r="A9" s="2" t="inlineStr">
        <is>
          <t>✅ File đang mở ở sheet đầu tiên '表紙 '.</t>
        </is>
      </c>
    </row>
    <row r="10">
      <c r="A10" s="2" t="inlineStr">
        <is>
          <t>✅ Con trỏ chuột đang nằm ở ô 'A1'.</t>
        </is>
      </c>
    </row>
    <row r="11">
      <c r="A11" t="inlineStr"/>
    </row>
    <row r="12">
      <c r="A12" s="1">
        <f>=============== SHEET: エビデンス(共通) ================</f>
        <v/>
      </c>
    </row>
    <row r="13">
      <c r="A13" t="inlineStr">
        <is>
          <t xml:space="preserve">  -&gt; Tìm thấy 43 ảnh trong sheet này.</t>
        </is>
      </c>
    </row>
    <row r="14">
      <c r="A14" s="1">
        <f>=============== SHEET: エビデンス(個別) ================</f>
        <v/>
      </c>
    </row>
    <row r="15">
      <c r="A15" t="inlineStr">
        <is>
          <t xml:space="preserve">  -&gt; Tìm thấy 31 ảnh trong sheet này.</t>
        </is>
      </c>
    </row>
    <row r="16">
      <c r="A16" t="inlineStr"/>
    </row>
    <row r="17">
      <c r="A17" s="1" t="inlineStr">
        <is>
          <t>[GEMINI MANUAL MODE] ♻️ Đã tìm thấy file JSON kết quả cũ tại:</t>
        </is>
      </c>
    </row>
    <row r="18">
      <c r="A18" t="inlineStr">
        <is>
          <t>D:\project\tool\New folder\Gemini_Upload_単体テスト仕様書兼成績書_E304_WMSH0065\gemini_result.json</t>
        </is>
      </c>
    </row>
    <row r="19">
      <c r="A19">
        <f>&gt; Sử dụng luôn kết quả này, bỏ qua bước xuất ảnh PDF và hỏi lại Gemini.</f>
        <v/>
      </c>
    </row>
    <row r="20">
      <c r="A20" t="inlineStr"/>
    </row>
    <row r="21">
      <c r="A21" s="1">
        <f>=============== ĐANG PHÂN TÍCH KẾT QUẢ SHEET: エビデンス(共通) ================</f>
        <v/>
      </c>
    </row>
    <row r="22">
      <c r="A22" t="inlineStr"/>
    </row>
    <row r="23">
      <c r="A23" s="1" t="inlineStr">
        <is>
          <t>[Kiểm tra Cấu hình Flow - Trước khi Test]:</t>
        </is>
      </c>
    </row>
    <row r="24">
      <c r="A24" s="2" t="inlineStr">
        <is>
          <t xml:space="preserve">  - [Ảnh Flow]: ✅ Tìm thấy P_JobnetID: 'P1J0065@10065'</t>
        </is>
      </c>
    </row>
    <row r="25">
      <c r="A25" s="2" t="inlineStr">
        <is>
          <t xml:space="preserve">      ✅ OK: P_JobnetID 'P1J0065@10065' có chứa mã '0065' của file.</t>
        </is>
      </c>
    </row>
    <row r="26">
      <c r="A26" s="2" t="inlineStr">
        <is>
          <t xml:space="preserve">  - [Ảnh Flow]: ✅ Tìm thấy P_InterfaceID: 'WMSH0065'</t>
        </is>
      </c>
    </row>
    <row r="27">
      <c r="A27" s="2" t="inlineStr">
        <is>
          <t xml:space="preserve">      ✅ OK: P_InterfaceID 'WMSH0065' có chứa mã '0065' của file.</t>
        </is>
      </c>
    </row>
    <row r="28">
      <c r="A28" t="inlineStr"/>
    </row>
    <row r="29">
      <c r="A29" s="1" t="inlineStr">
        <is>
          <t>[Nhóm Test]: ■1回目 正常系・1000件未満・ファイル送信前結合有無=false</t>
        </is>
      </c>
    </row>
    <row r="30">
      <c r="A30" t="inlineStr">
        <is>
          <t xml:space="preserve">  - Tổng số dòng log: 51</t>
        </is>
      </c>
    </row>
    <row r="31">
      <c r="A31" s="2" t="inlineStr">
        <is>
          <t xml:space="preserve">  - Trạng thái Sort (行): ✅ Đã sắp xếp tăng dần hợp lệ.</t>
        </is>
      </c>
    </row>
    <row r="32">
      <c r="A32" t="inlineStr">
        <is>
          <t xml:space="preserve">  - Ngày chạy log: 2026/05/18</t>
        </is>
      </c>
    </row>
    <row r="33">
      <c r="A33" t="inlineStr">
        <is>
          <t xml:space="preserve">  - [Ảnh Status Panel]: Tìm thấy Jobnet ID: 'P1J0065@10065'</t>
        </is>
      </c>
    </row>
    <row r="34">
      <c r="A34" t="inlineStr">
        <is>
          <t xml:space="preserve">  - [Ảnh Status Panel]: Tìm thấy Interface ID: 'WMSH0065'</t>
        </is>
      </c>
    </row>
    <row r="35">
      <c r="A35" s="2" t="inlineStr">
        <is>
          <t xml:space="preserve">      ✅ OK: Interface ID 'WMSH0065' có tồn tại trong tên file Excel.</t>
        </is>
      </c>
    </row>
    <row r="36">
      <c r="A36" t="inlineStr">
        <is>
          <t xml:space="preserve">  - [Ảnh Status Panel]: Tìm thấy giờ bắt đầu là 16:33:50</t>
        </is>
      </c>
    </row>
    <row r="37">
      <c r="A37" s="2" t="inlineStr">
        <is>
          <t xml:space="preserve">      ✅ OK: Thời gian log (16:33:50) &gt;= Thời gian ảnh (16:33:50)</t>
        </is>
      </c>
    </row>
    <row r="38">
      <c r="A38" s="2" t="inlineStr">
        <is>
          <t xml:space="preserve">      ✅ OK: Duration Log Main (378ms) &lt; Duration Ảnh (609ms)</t>
        </is>
      </c>
    </row>
    <row r="39">
      <c r="A39" t="inlineStr">
        <is>
          <t xml:space="preserve">  - [Ảnh Log Viewer]: Tìm thấy thời gian kết thúc trong ảnh log là '16:33:51'</t>
        </is>
      </c>
    </row>
    <row r="40">
      <c r="A40" s="2" t="inlineStr">
        <is>
          <t xml:space="preserve">      ✅ OK: Giờ kết thúc trong ảnh Log (16:33:51) KHỚP với log text (16:33:51).</t>
        </is>
      </c>
    </row>
    <row r="41">
      <c r="A41" s="2" t="inlineStr">
        <is>
          <t xml:space="preserve">      ✅ OK: Giờ ảnh Log (16:33:51) &gt;= Giờ bắt đầu (16:33:50).</t>
        </is>
      </c>
    </row>
    <row r="42">
      <c r="A42" s="2" t="inlineStr">
        <is>
          <t xml:space="preserve">      ✅ OK: Jobnet ID 'P1J0065@10065' khớp với dữ liệu trong Log.</t>
        </is>
      </c>
    </row>
    <row r="43">
      <c r="A43" t="inlineStr">
        <is>
          <t xml:space="preserve">  - [Kiểm tra File]: Log text báo có tạo ra file 'WMSH0065_output.tsv'.</t>
        </is>
      </c>
    </row>
    <row r="44">
      <c r="A44" s="2" t="inlineStr">
        <is>
          <t xml:space="preserve">      ✅ OK: Tên file trong ảnh File Explorer (WMSH0065_output.tsv) KHỚP với tên file trong Log text.</t>
        </is>
      </c>
    </row>
    <row r="45">
      <c r="A45" t="inlineStr">
        <is>
          <t xml:space="preserve">  - [Ảnh File Explorer]: Tìm thấy file 'WMSH0065_output.tsv' có Date modified là '2026/05/18 16:33'</t>
        </is>
      </c>
    </row>
    <row r="46">
      <c r="A46" s="2" t="inlineStr">
        <is>
          <t xml:space="preserve">      ✅ OK: Thời gian xuất file 'WMSH0065_output.tsv' (2026/05/18 16:33) KHỚP với log (2026/05/18 16:33).</t>
        </is>
      </c>
    </row>
    <row r="47">
      <c r="A47" t="inlineStr">
        <is>
          <t xml:space="preserve">  - [Đối chiếu Testcase trong Log]:</t>
        </is>
      </c>
    </row>
    <row r="48">
      <c r="A48" t="inlineStr">
        <is>
          <t xml:space="preserve">  - [Đối chiếu テスト計画書兼結果報告書(共通)]: Tìm thấy 13 dòng (6, 8, 12, 14, 18, 20, 25, 28, 33, 37, 39, 42, 45)</t>
        </is>
      </c>
    </row>
    <row r="49">
      <c r="A49" s="2" t="inlineStr">
        <is>
          <t xml:space="preserve">      + Số lần test (Cột K): ✅ Tất cả 13 dòng đều khớp (Lần 1)</t>
        </is>
      </c>
    </row>
    <row r="50">
      <c r="A50" s="2" t="inlineStr">
        <is>
          <t xml:space="preserve">      + Ngày test (Cột I/G): ✅ Khớp ngày (2026/05/18) cho tất cả các dòng có dữ liệu</t>
        </is>
      </c>
    </row>
    <row r="51">
      <c r="A51" t="inlineStr"/>
    </row>
    <row r="52">
      <c r="A52" s="1" t="inlineStr">
        <is>
          <t>[Nhóm Test]: ■2回目 異常系・起動パラメータ不正</t>
        </is>
      </c>
    </row>
    <row r="53">
      <c r="A53" t="inlineStr">
        <is>
          <t xml:space="preserve">  - Tổng số dòng log: 23</t>
        </is>
      </c>
    </row>
    <row r="54">
      <c r="A54" s="2" t="inlineStr">
        <is>
          <t xml:space="preserve">  - Trạng thái Sort (行): ✅ Đã sắp xếp tăng dần hợp lệ.</t>
        </is>
      </c>
    </row>
    <row r="55">
      <c r="A55" t="inlineStr">
        <is>
          <t xml:space="preserve">  - Ngày chạy log: 2026/05/18</t>
        </is>
      </c>
    </row>
    <row r="56">
      <c r="A56" t="inlineStr">
        <is>
          <t xml:space="preserve">  - [Ảnh Status Panel]: Tìm thấy Jobnet ID: ''</t>
        </is>
      </c>
    </row>
    <row r="57">
      <c r="A57" t="inlineStr">
        <is>
          <t xml:space="preserve">  - [Ảnh Status Panel]: Tìm thấy Interface ID: ''</t>
        </is>
      </c>
    </row>
    <row r="58">
      <c r="A58" s="3" t="inlineStr">
        <is>
          <t xml:space="preserve">      ⚠️ Interface ID là chuỗi rỗng nên bỏ qua kiểm tra với tên file.</t>
        </is>
      </c>
    </row>
    <row r="59">
      <c r="A59" t="inlineStr">
        <is>
          <t xml:space="preserve">  - [Ảnh Status Panel]: Tìm thấy giờ bắt đầu là 16:40:48</t>
        </is>
      </c>
    </row>
    <row r="60">
      <c r="A60" s="2" t="inlineStr">
        <is>
          <t xml:space="preserve">      ✅ OK: Thời gian log (16:40:48) &gt;= Thời gian ảnh (16:40:48)</t>
        </is>
      </c>
    </row>
    <row r="61">
      <c r="A61" s="2" t="inlineStr">
        <is>
          <t xml:space="preserve">      ✅ OK: Duration Log Main (94ms) &lt; Duration Ảnh (319ms)</t>
        </is>
      </c>
    </row>
    <row r="62">
      <c r="A62" t="inlineStr">
        <is>
          <t xml:space="preserve">  - [Ảnh Log Viewer]: Tìm thấy thời gian kết thúc trong ảnh log là '16:40:48'</t>
        </is>
      </c>
    </row>
    <row r="63">
      <c r="A63" s="2" t="inlineStr">
        <is>
          <t xml:space="preserve">      ✅ OK: Giờ kết thúc trong ảnh Log (16:40:48) KHỚP với log text (16:40:48).</t>
        </is>
      </c>
    </row>
    <row r="64">
      <c r="A64" s="2" t="inlineStr">
        <is>
          <t xml:space="preserve">      ✅ OK: Giờ ảnh Log (16:40:48) &gt;= Giờ bắt đầu (16:40:48).</t>
        </is>
      </c>
    </row>
    <row r="65">
      <c r="A65" s="2" t="inlineStr">
        <is>
          <t xml:space="preserve">      ✅ OK: Jobnet ID '' khớp với dữ liệu trong Log.</t>
        </is>
      </c>
    </row>
    <row r="66">
      <c r="A66" t="inlineStr">
        <is>
          <t xml:space="preserve">  - [Đối chiếu Testcase trong Log]:</t>
        </is>
      </c>
    </row>
    <row r="67">
      <c r="A67" t="inlineStr">
        <is>
          <t xml:space="preserve">  - [Đối chiếu テスト計画書兼結果報告書(共通)]: Tìm thấy 2 dòng (9, 15)</t>
        </is>
      </c>
    </row>
    <row r="68">
      <c r="A68" s="2" t="inlineStr">
        <is>
          <t xml:space="preserve">      + Số lần test (Cột K): ✅ Tất cả 2 dòng đều khớp (Lần 2)</t>
        </is>
      </c>
    </row>
    <row r="69">
      <c r="A69" s="2" t="inlineStr">
        <is>
          <t xml:space="preserve">      + Ngày test (Cột I/G): ✅ Khớp ngày (2026/05/18) cho tất cả các dòng có dữ liệu</t>
        </is>
      </c>
    </row>
    <row r="70">
      <c r="A70" t="inlineStr"/>
    </row>
    <row r="71">
      <c r="A71" s="1" t="inlineStr">
        <is>
          <t>[Nhóm Test]: ■3回目 正常系・ファイル送信前結合有無=true</t>
        </is>
      </c>
    </row>
    <row r="72">
      <c r="A72" t="inlineStr">
        <is>
          <t xml:space="preserve">  - Tổng số dòng log: 67</t>
        </is>
      </c>
    </row>
    <row r="73">
      <c r="A73" s="2" t="inlineStr">
        <is>
          <t xml:space="preserve">  - Trạng thái Sort (行): ✅ Đã sắp xếp tăng dần hợp lệ.</t>
        </is>
      </c>
    </row>
    <row r="74">
      <c r="A74" t="inlineStr">
        <is>
          <t xml:space="preserve">  - Ngày chạy log: 2026/05/18</t>
        </is>
      </c>
    </row>
    <row r="75">
      <c r="A75" t="inlineStr">
        <is>
          <t xml:space="preserve">  - [Ảnh Status Panel]: Tìm thấy Jobnet ID: 'P1J0065@10065'</t>
        </is>
      </c>
    </row>
    <row r="76">
      <c r="A76" t="inlineStr">
        <is>
          <t xml:space="preserve">  - [Ảnh Status Panel]: Tìm thấy Interface ID: 'WMSH0065'</t>
        </is>
      </c>
    </row>
    <row r="77">
      <c r="A77" s="2" t="inlineStr">
        <is>
          <t xml:space="preserve">      ✅ OK: Interface ID 'WMSH0065' có tồn tại trong tên file Excel.</t>
        </is>
      </c>
    </row>
    <row r="78">
      <c r="A78" t="inlineStr">
        <is>
          <t xml:space="preserve">  - [Ảnh Status Panel]: Tìm thấy giờ bắt đầu là 16:44:38</t>
        </is>
      </c>
    </row>
    <row r="79">
      <c r="A79" s="2" t="inlineStr">
        <is>
          <t xml:space="preserve">      ✅ OK: Thời gian log (16:44:38) &gt;= Thời gian ảnh (16:44:38)</t>
        </is>
      </c>
    </row>
    <row r="80">
      <c r="A80" s="2" t="inlineStr">
        <is>
          <t xml:space="preserve">      ✅ OK: Duration Log Main (402ms) &lt; Duration Ảnh (629ms)</t>
        </is>
      </c>
    </row>
    <row r="81">
      <c r="A81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82">
      <c r="A82" s="2" t="inlineStr">
        <is>
          <t xml:space="preserve">      ✅ OK: Jobnet ID 'P1J0065@10065' khớp với dữ liệu trong Log.</t>
        </is>
      </c>
    </row>
    <row r="83">
      <c r="A83" t="inlineStr">
        <is>
          <t xml:space="preserve">  - [Kiểm tra File]: Log text báo có tạo ra file 'WMSH0065_output.tsv'.</t>
        </is>
      </c>
    </row>
    <row r="84">
      <c r="A84" s="2" t="inlineStr">
        <is>
          <t xml:space="preserve">      ✅ OK: Tên file trong ảnh File Explorer (WMSH0065_output.tsv) KHỚP với tên file trong Log text.</t>
        </is>
      </c>
    </row>
    <row r="85">
      <c r="A85" t="inlineStr">
        <is>
          <t xml:space="preserve">  - [Ảnh File Explorer]: Tìm thấy file 'WMSH0065_output.tsv' có Date modified là '2026/05/18 16:44'</t>
        </is>
      </c>
    </row>
    <row r="86">
      <c r="A86" s="2" t="inlineStr">
        <is>
          <t xml:space="preserve">      ✅ OK: Thời gian xuất file 'WMSH0065_output.tsv' (2026/05/18 16:44) KHỚP với log (2026/05/18 16:44).</t>
        </is>
      </c>
    </row>
    <row r="87">
      <c r="A87" t="inlineStr">
        <is>
          <t xml:space="preserve">  - [Đối chiếu Testcase trong Log]:</t>
        </is>
      </c>
    </row>
    <row r="88">
      <c r="A88" t="inlineStr">
        <is>
          <t xml:space="preserve">  - [Đối chiếu テスト計画書兼結果報告書(共通)]: Tìm thấy 1 dòng (21)</t>
        </is>
      </c>
    </row>
    <row r="89">
      <c r="A89" s="2" t="inlineStr">
        <is>
          <t xml:space="preserve">      + Số lần test (Cột K): ✅ Tất cả 1 dòng đều khớp (Lần 3)</t>
        </is>
      </c>
    </row>
    <row r="90">
      <c r="A90" s="2" t="inlineStr">
        <is>
          <t xml:space="preserve">      + Ngày test (Cột I/G): ✅ Khớp ngày (2026/05/18) cho tất cả các dòng có dữ liệu</t>
        </is>
      </c>
    </row>
    <row r="91">
      <c r="A91" t="inlineStr"/>
    </row>
    <row r="92">
      <c r="A92" s="1" t="inlineStr">
        <is>
          <t>[Nhóm Test]: ■4回目 異常系・すでにファイルが存在する場合</t>
        </is>
      </c>
    </row>
    <row r="93">
      <c r="A93" t="inlineStr">
        <is>
          <t xml:space="preserve">  - Tổng số dòng log: 55</t>
        </is>
      </c>
    </row>
    <row r="94">
      <c r="A94" s="2" t="inlineStr">
        <is>
          <t xml:space="preserve">  - Trạng thái Sort (行): ✅ Đã sắp xếp tăng dần hợp lệ.</t>
        </is>
      </c>
    </row>
    <row r="95">
      <c r="A95" t="inlineStr">
        <is>
          <t xml:space="preserve">  - Ngày chạy log: 2026/05/18</t>
        </is>
      </c>
    </row>
    <row r="96">
      <c r="A96" t="inlineStr">
        <is>
          <t xml:space="preserve">  - [Ảnh Status Panel]: Tìm thấy Jobnet ID: 'P1J0065@10065'</t>
        </is>
      </c>
    </row>
    <row r="97">
      <c r="A97" t="inlineStr">
        <is>
          <t xml:space="preserve">  - [Ảnh Status Panel]: Tìm thấy Interface ID: 'WMSH0065'</t>
        </is>
      </c>
    </row>
    <row r="98">
      <c r="A98" s="2" t="inlineStr">
        <is>
          <t xml:space="preserve">      ✅ OK: Interface ID 'WMSH0065' có tồn tại trong tên file Excel.</t>
        </is>
      </c>
    </row>
    <row r="99">
      <c r="A99" t="inlineStr">
        <is>
          <t xml:space="preserve">  - [Ảnh Status Panel]: Tìm thấy giờ bắt đầu là 16:47:02</t>
        </is>
      </c>
    </row>
    <row r="100">
      <c r="A100" s="2" t="inlineStr">
        <is>
          <t xml:space="preserve">      ✅ OK: Thời gian log (16:47:02) &gt;= Thời gian ảnh (16:47:02)</t>
        </is>
      </c>
    </row>
    <row r="101">
      <c r="A101" s="2" t="inlineStr">
        <is>
          <t xml:space="preserve">      ✅ OK: Duration Log Main (175ms) &lt; Duration Ảnh (370ms)</t>
        </is>
      </c>
    </row>
    <row r="102">
      <c r="A102" t="inlineStr">
        <is>
          <t xml:space="preserve">  - [Ảnh Log Viewer]: Tìm thấy thời gian kết thúc trong ảnh log là '16:47:02'</t>
        </is>
      </c>
    </row>
    <row r="103">
      <c r="A103" s="2" t="inlineStr">
        <is>
          <t xml:space="preserve">      ✅ OK: Giờ kết thúc trong ảnh Log (16:47:02) KHỚP với log text (16:47:02).</t>
        </is>
      </c>
    </row>
    <row r="104">
      <c r="A104" s="2" t="inlineStr">
        <is>
          <t xml:space="preserve">      ✅ OK: Giờ ảnh Log (16:47:02) &gt;= Giờ bắt đầu (16:47:02).</t>
        </is>
      </c>
    </row>
    <row r="105">
      <c r="A105" s="2" t="inlineStr">
        <is>
          <t xml:space="preserve">      ✅ OK: Jobnet ID 'P1J0065@10065' khớp với dữ liệu trong Log.</t>
        </is>
      </c>
    </row>
    <row r="106">
      <c r="A106" t="inlineStr">
        <is>
          <t xml:space="preserve">  - [Đối chiếu Testcase trong Log]:</t>
        </is>
      </c>
    </row>
    <row r="107">
      <c r="A107" t="inlineStr">
        <is>
          <t xml:space="preserve">  - [Đối chiếu テスト計画書兼結果報告書(共通)]: Tìm thấy 1 dòng (22)</t>
        </is>
      </c>
    </row>
    <row r="108">
      <c r="A108" s="2" t="inlineStr">
        <is>
          <t xml:space="preserve">      + Số lần test (Cột K): ✅ Tất cả 1 dòng đều khớp (Lần 4)</t>
        </is>
      </c>
    </row>
    <row r="109">
      <c r="A109" s="2" t="inlineStr">
        <is>
          <t xml:space="preserve">      + Ngày test (Cột I/G): ✅ Khớp ngày (2026/05/18) cho tất cả các dòng có dữ liệu</t>
        </is>
      </c>
    </row>
    <row r="110">
      <c r="A110" t="inlineStr"/>
    </row>
    <row r="111">
      <c r="A111" s="1" t="inlineStr">
        <is>
          <t>[Nhóm Test]: ■5回目 正常系・0byteファイル</t>
        </is>
      </c>
    </row>
    <row r="112">
      <c r="A112" t="inlineStr">
        <is>
          <t xml:space="preserve">  - Tổng số dòng log: 61</t>
        </is>
      </c>
    </row>
    <row r="113">
      <c r="A113" s="2" t="inlineStr">
        <is>
          <t xml:space="preserve">  - Trạng thái Sort (行): ✅ Đã sắp xếp tăng dần hợp lệ.</t>
        </is>
      </c>
    </row>
    <row r="114">
      <c r="A114" t="inlineStr">
        <is>
          <t xml:space="preserve">  - Ngày chạy log: 2026/05/18</t>
        </is>
      </c>
    </row>
    <row r="115">
      <c r="A115" t="inlineStr">
        <is>
          <t xml:space="preserve">  - [Ảnh Status Panel]: Tìm thấy Jobnet ID: 'P1J0065@10065'</t>
        </is>
      </c>
    </row>
    <row r="116">
      <c r="A116" t="inlineStr">
        <is>
          <t xml:space="preserve">  - [Ảnh Status Panel]: Tìm thấy Interface ID: 'WMSH0065'</t>
        </is>
      </c>
    </row>
    <row r="117">
      <c r="A117" s="2" t="inlineStr">
        <is>
          <t xml:space="preserve">      ✅ OK: Interface ID 'WMSH0065' có tồn tại trong tên file Excel.</t>
        </is>
      </c>
    </row>
    <row r="118">
      <c r="A118" t="inlineStr">
        <is>
          <t xml:space="preserve">  - [Ảnh Status Panel]: Tìm thấy giờ bắt đầu là 16:51:18</t>
        </is>
      </c>
    </row>
    <row r="119">
      <c r="A119" s="2" t="inlineStr">
        <is>
          <t xml:space="preserve">      ✅ OK: Thời gian log (16:51:18) &gt;= Thời gian ảnh (16:51:18)</t>
        </is>
      </c>
    </row>
    <row r="120">
      <c r="A120" s="2" t="inlineStr">
        <is>
          <t xml:space="preserve">      ✅ OK: Duration Log Main (239ms) &lt; Duration Ảnh (430ms)</t>
        </is>
      </c>
    </row>
    <row r="121">
      <c r="A121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22">
      <c r="A122" s="2" t="inlineStr">
        <is>
          <t xml:space="preserve">      ✅ OK: Jobnet ID 'P1J0065@10065' khớp với dữ liệu trong Log.</t>
        </is>
      </c>
    </row>
    <row r="123">
      <c r="A123" t="inlineStr">
        <is>
          <t xml:space="preserve">  - [Kiểm tra File]: Log text báo có tạo ra file 'WMSH0065_output.tsv'.</t>
        </is>
      </c>
    </row>
    <row r="124">
      <c r="A124" s="2" t="inlineStr">
        <is>
          <t xml:space="preserve">      ✅ OK: Tên file trong ảnh File Explorer (WMSH0065_output.tsv) KHỚP với tên file trong Log text.</t>
        </is>
      </c>
    </row>
    <row r="125">
      <c r="A125" t="inlineStr">
        <is>
          <t xml:space="preserve">  - [Ảnh File Explorer]: Tìm thấy file 'WMSH0065_output.tsv' có Date modified là '2026/05/18 16:51'</t>
        </is>
      </c>
    </row>
    <row r="126">
      <c r="A126" s="2" t="inlineStr">
        <is>
          <t xml:space="preserve">      ✅ OK: Thời gian xuất file 'WMSH0065_output.tsv' (2026/05/18 16:51) KHỚP với log (2026/05/18 16:51).</t>
        </is>
      </c>
    </row>
    <row r="127">
      <c r="A127" t="inlineStr">
        <is>
          <t xml:space="preserve">  - [Đối chiếu Testcase trong Log]:</t>
        </is>
      </c>
    </row>
    <row r="128">
      <c r="A128" t="inlineStr">
        <is>
          <t xml:space="preserve">  - [Đối chiếu テスト計画書兼結果報告書(共通)]: Tìm thấy 2 dòng (26, 46)</t>
        </is>
      </c>
    </row>
    <row r="129">
      <c r="A129" s="2" t="inlineStr">
        <is>
          <t xml:space="preserve">      + Số lần test (Cột K): ✅ Tất cả 2 dòng đều khớp (Lần 5)</t>
        </is>
      </c>
    </row>
    <row r="130">
      <c r="A130" s="2" t="inlineStr">
        <is>
          <t xml:space="preserve">      + Ngày test (Cột I/G): ✅ Khớp ngày (2026/05/18) cho tất cả các dòng có dữ liệu</t>
        </is>
      </c>
    </row>
    <row r="131">
      <c r="A131" t="inlineStr"/>
    </row>
    <row r="132">
      <c r="A132" s="1" t="inlineStr">
        <is>
          <t>[Nhóm Test]: ■6回目 正常系・データ行1000行</t>
        </is>
      </c>
    </row>
    <row r="133">
      <c r="A133" t="inlineStr">
        <is>
          <t xml:space="preserve">  - Tổng số dòng log: 65</t>
        </is>
      </c>
    </row>
    <row r="134">
      <c r="A134" s="2" t="inlineStr">
        <is>
          <t xml:space="preserve">  - Trạng thái Sort (行): ✅ Đã sắp xếp tăng dần hợp lệ.</t>
        </is>
      </c>
    </row>
    <row r="135">
      <c r="A135" t="inlineStr">
        <is>
          <t xml:space="preserve">  - Ngày chạy log: 2026/05/18</t>
        </is>
      </c>
    </row>
    <row r="136">
      <c r="A136" t="inlineStr">
        <is>
          <t xml:space="preserve">  - [Ảnh Status Panel]: Tìm thấy Jobnet ID: 'P1J0065@10065'</t>
        </is>
      </c>
    </row>
    <row r="137">
      <c r="A137" t="inlineStr">
        <is>
          <t xml:space="preserve">  - [Ảnh Status Panel]: Tìm thấy Interface ID: 'WMSH0065'</t>
        </is>
      </c>
    </row>
    <row r="138">
      <c r="A138" s="2" t="inlineStr">
        <is>
          <t xml:space="preserve">      ✅ OK: Interface ID 'WMSH0065' có tồn tại trong tên file Excel.</t>
        </is>
      </c>
    </row>
    <row r="139">
      <c r="A139" t="inlineStr">
        <is>
          <t xml:space="preserve">  - [Ảnh Status Panel]: Tìm thấy giờ bắt đầu là 16:54:46</t>
        </is>
      </c>
    </row>
    <row r="140">
      <c r="A140" s="2" t="inlineStr">
        <is>
          <t xml:space="preserve">      ✅ OK: Thời gian log (16:54:46) &gt;= Thời gian ảnh (16:54:46)</t>
        </is>
      </c>
    </row>
    <row r="141">
      <c r="A141" s="2" t="inlineStr">
        <is>
          <t xml:space="preserve">      ✅ OK: Duration Log Main (524ms) &lt; Duration Ảnh (1117ms)</t>
        </is>
      </c>
    </row>
    <row r="142">
      <c r="A142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43">
      <c r="A143" s="2" t="inlineStr">
        <is>
          <t xml:space="preserve">      ✅ OK: Jobnet ID 'P1J0065@10065' khớp với dữ liệu trong Log.</t>
        </is>
      </c>
    </row>
    <row r="144">
      <c r="A144" t="inlineStr">
        <is>
          <t xml:space="preserve">  - [Kiểm tra File]: Log text báo có tạo ra file 'WMSH0065_output.tsv'.</t>
        </is>
      </c>
    </row>
    <row r="145">
      <c r="A145" s="2" t="inlineStr">
        <is>
          <t xml:space="preserve">      ✅ OK: Tên file trong ảnh File Explorer (WMSH0065_output.tsv) KHỚP với tên file trong Log text.</t>
        </is>
      </c>
    </row>
    <row r="146">
      <c r="A146" t="inlineStr">
        <is>
          <t xml:space="preserve">  - [Ảnh File Explorer]: Tìm thấy file 'WMSH0065_output.tsv' có Date modified là '2026/05/18 16:54'</t>
        </is>
      </c>
    </row>
    <row r="147">
      <c r="A147" s="2" t="inlineStr">
        <is>
          <t xml:space="preserve">      ✅ OK: Thời gian xuất file 'WMSH0065_output.tsv' (2026/05/18 16:54) KHỚP với log (2026/05/18 16:54).</t>
        </is>
      </c>
    </row>
    <row r="148">
      <c r="A148" t="inlineStr">
        <is>
          <t xml:space="preserve">  - [Đối chiếu Testcase trong Log]:</t>
        </is>
      </c>
    </row>
    <row r="149">
      <c r="A149" t="inlineStr">
        <is>
          <t xml:space="preserve">  - [Đối chiếu テスト計画書兼結果報告書(共通)]: Tìm thấy 1 dòng (29)</t>
        </is>
      </c>
    </row>
    <row r="150">
      <c r="A150" s="2" t="inlineStr">
        <is>
          <t xml:space="preserve">      + Số lần test (Cột K): ✅ Tất cả 1 dòng đều khớp (Lần 6)</t>
        </is>
      </c>
    </row>
    <row r="151">
      <c r="A151" s="2" t="inlineStr">
        <is>
          <t xml:space="preserve">      + Ngày test (Cột I/G): ✅ Khớp ngày (2026/05/18) cho tất cả các dòng có dữ liệu</t>
        </is>
      </c>
    </row>
    <row r="152">
      <c r="A152" t="inlineStr"/>
    </row>
    <row r="153">
      <c r="A153" s="1" t="inlineStr">
        <is>
          <t>[Nhóm Test]: ■7回目 正常系・データ行1000行以上</t>
        </is>
      </c>
    </row>
    <row r="154">
      <c r="A154" t="inlineStr">
        <is>
          <t xml:space="preserve">  - Tổng số dòng log: 77</t>
        </is>
      </c>
    </row>
    <row r="155">
      <c r="A155" s="2" t="inlineStr">
        <is>
          <t xml:space="preserve">  - Trạng thái Sort (行): ✅ Đã sắp xếp tăng dần hợp lệ.</t>
        </is>
      </c>
    </row>
    <row r="156">
      <c r="A156" t="inlineStr">
        <is>
          <t xml:space="preserve">  - Ngày chạy log: 2026/05/19</t>
        </is>
      </c>
    </row>
    <row r="157">
      <c r="A157" t="inlineStr">
        <is>
          <t xml:space="preserve">  - [Ảnh Status Panel]: Tìm thấy Jobnet ID: 'P1J0065@10065'</t>
        </is>
      </c>
    </row>
    <row r="158">
      <c r="A158" t="inlineStr">
        <is>
          <t xml:space="preserve">  - [Ảnh Status Panel]: Tìm thấy Interface ID: 'WMSH0065'</t>
        </is>
      </c>
    </row>
    <row r="159">
      <c r="A159" s="2" t="inlineStr">
        <is>
          <t xml:space="preserve">      ✅ OK: Interface ID 'WMSH0065' có tồn tại trong tên file Excel.</t>
        </is>
      </c>
    </row>
    <row r="160">
      <c r="A160" t="inlineStr">
        <is>
          <t xml:space="preserve">  - [Ảnh Status Panel]: Tìm thấy giờ bắt đầu là 17:50:54</t>
        </is>
      </c>
    </row>
    <row r="161">
      <c r="A161" s="2" t="inlineStr">
        <is>
          <t xml:space="preserve">      ✅ OK: Thời gian log (17:50:54) &gt;= Thời gian ảnh (17:50:54)</t>
        </is>
      </c>
    </row>
    <row r="162">
      <c r="A162" s="2" t="inlineStr">
        <is>
          <t xml:space="preserve">      ✅ OK: Duration Log Main (670ms) &lt; Duration Ảnh (940ms)</t>
        </is>
      </c>
    </row>
    <row r="163">
      <c r="A163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64">
      <c r="A164" s="2" t="inlineStr">
        <is>
          <t xml:space="preserve">      ✅ OK: Jobnet ID 'P1J0065@10065' khớp với dữ liệu trong Log.</t>
        </is>
      </c>
    </row>
    <row r="165">
      <c r="A165" t="inlineStr">
        <is>
          <t xml:space="preserve">  - [Kiểm tra File]: Log text báo có tạo ra file 'WMSH0065_output.tsv'.</t>
        </is>
      </c>
    </row>
    <row r="166">
      <c r="A166" s="2" t="inlineStr">
        <is>
          <t xml:space="preserve">      ✅ OK: Tên file trong ảnh File Explorer (WMSH0065_output.tsv) KHỚP với tên file trong Log text.</t>
        </is>
      </c>
    </row>
    <row r="167">
      <c r="A167" t="inlineStr">
        <is>
          <t xml:space="preserve">  - [Ảnh File Explorer]: Tìm thấy file 'WMSH0065_output.tsv' có Date modified là '2026/05/19 17:50'</t>
        </is>
      </c>
    </row>
    <row r="168">
      <c r="A168" s="2" t="inlineStr">
        <is>
          <t xml:space="preserve">      ✅ OK: Thời gian xuất file 'WMSH0065_output.tsv' (2026/05/19 17:50) KHỚP với log (2026/05/19 17:50).</t>
        </is>
      </c>
    </row>
    <row r="169">
      <c r="A169" t="inlineStr">
        <is>
          <t xml:space="preserve">  - [Đối chiếu Testcase trong Log]:</t>
        </is>
      </c>
    </row>
    <row r="170">
      <c r="A170" t="inlineStr">
        <is>
          <t xml:space="preserve">  - [Đối chiếu テスト計画書兼結果報告書(共通)]: Tìm thấy 2 dòng (30, 35)</t>
        </is>
      </c>
    </row>
    <row r="171">
      <c r="A171" s="2" t="inlineStr">
        <is>
          <t xml:space="preserve">      + Số lần test (Cột K): ✅ Tất cả 2 dòng đều khớp (Lần 7)</t>
        </is>
      </c>
    </row>
    <row r="172">
      <c r="A172" s="2" t="inlineStr">
        <is>
          <t xml:space="preserve">      + Ngày test (Cột I/G): ✅ Khớp ngày (2026/05/19) cho tất cả các dòng có dữ liệu</t>
        </is>
      </c>
    </row>
    <row r="173">
      <c r="A173" t="inlineStr"/>
    </row>
    <row r="174">
      <c r="A174" s="1">
        <f>=============== ĐANG PHÂN TÍCH KẾT QUẢ SHEET: エビデンス(個別) ================</f>
        <v/>
      </c>
    </row>
    <row r="175">
      <c r="A175" t="inlineStr"/>
    </row>
    <row r="176">
      <c r="A176" s="1" t="inlineStr">
        <is>
          <t>[Nhóm Test]: ■1回目 正常系・0byteファイル</t>
        </is>
      </c>
    </row>
    <row r="177">
      <c r="A177" t="inlineStr">
        <is>
          <t xml:space="preserve">  - Tổng số dòng log: 61</t>
        </is>
      </c>
    </row>
    <row r="178">
      <c r="A178" s="2" t="inlineStr">
        <is>
          <t xml:space="preserve">  - Trạng thái Sort (行): ✅ Đã sắp xếp tăng dần hợp lệ.</t>
        </is>
      </c>
    </row>
    <row r="179">
      <c r="A179" t="inlineStr">
        <is>
          <t xml:space="preserve">  - Ngày chạy log: 2026/05/18</t>
        </is>
      </c>
    </row>
    <row r="180">
      <c r="A180" t="inlineStr">
        <is>
          <t xml:space="preserve">  - [Ảnh Status Panel]: Tìm thấy Jobnet ID: 'P1J0065@10065'</t>
        </is>
      </c>
    </row>
    <row r="181">
      <c r="A181" t="inlineStr">
        <is>
          <t xml:space="preserve">  - [Ảnh Status Panel]: Tìm thấy Interface ID: 'WMSH0065'</t>
        </is>
      </c>
    </row>
    <row r="182">
      <c r="A182" s="2" t="inlineStr">
        <is>
          <t xml:space="preserve">      ✅ OK: Interface ID 'WMSH0065' có tồn tại trong tên file Excel.</t>
        </is>
      </c>
    </row>
    <row r="183">
      <c r="A183" t="inlineStr">
        <is>
          <t xml:space="preserve">  - [Ảnh Status Panel]: Tìm thấy giờ bắt đầu là 17:03:20</t>
        </is>
      </c>
    </row>
    <row r="184">
      <c r="A184" s="2" t="inlineStr">
        <is>
          <t xml:space="preserve">      ✅ OK: Thời gian log (17:03:20) &gt;= Thời gian ảnh (17:03:20)</t>
        </is>
      </c>
    </row>
    <row r="185">
      <c r="A185" s="2" t="inlineStr">
        <is>
          <t xml:space="preserve">      ✅ OK: Duration Log Main (399ms) &lt; Duration Ảnh (650ms)</t>
        </is>
      </c>
    </row>
    <row r="186">
      <c r="A186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187">
      <c r="A187" s="2" t="inlineStr">
        <is>
          <t xml:space="preserve">      ✅ OK: Jobnet ID 'P1J0065@10065' khớp với dữ liệu trong Log.</t>
        </is>
      </c>
    </row>
    <row r="188">
      <c r="A188" t="inlineStr">
        <is>
          <t xml:space="preserve">  - [Kiểm tra File]: Log text báo có tạo ra file 'WMSH0065_output.tsv'.</t>
        </is>
      </c>
    </row>
    <row r="189">
      <c r="A189" s="2" t="inlineStr">
        <is>
          <t xml:space="preserve">      ✅ OK: Tên file trong ảnh File Explorer (WMSH0065_output.tsv) KHỚP với tên file trong Log text.</t>
        </is>
      </c>
    </row>
    <row r="190">
      <c r="A190" t="inlineStr">
        <is>
          <t xml:space="preserve">  - [Ảnh File Explorer]: Tìm thấy file 'WMSH0065_output.tsv' có Date modified là '2026/05/18 17:03'</t>
        </is>
      </c>
    </row>
    <row r="191">
      <c r="A191" s="2" t="inlineStr">
        <is>
          <t xml:space="preserve">      ✅ OK: Thời gian xuất file 'WMSH0065_output.tsv' (2026/05/18 17:03) KHỚP với log (2026/05/18 17:03).</t>
        </is>
      </c>
    </row>
    <row r="192">
      <c r="A192" t="inlineStr">
        <is>
          <t xml:space="preserve">  - [Đối chiếu Testcase trong Log]:</t>
        </is>
      </c>
    </row>
    <row r="193">
      <c r="A193" t="inlineStr">
        <is>
          <t xml:space="preserve">  - [Đối chiếu テスト計画書兼結果報告書(個別)]: Tìm thấy 1 dòng (6)</t>
        </is>
      </c>
    </row>
    <row r="194">
      <c r="A194" s="2" t="inlineStr">
        <is>
          <t xml:space="preserve">      + Số lần test (Cột K): ✅ Tất cả 1 dòng đều khớp (Lần 1)</t>
        </is>
      </c>
    </row>
    <row r="195">
      <c r="A195" s="2" t="inlineStr">
        <is>
          <t xml:space="preserve">      + Ngày test (Cột I/G): ✅ Khớp ngày (2026/05/18) cho tất cả các dòng có dữ liệu</t>
        </is>
      </c>
    </row>
    <row r="196">
      <c r="A196" t="inlineStr"/>
    </row>
    <row r="197">
      <c r="A197" s="1" t="inlineStr">
        <is>
          <t>[Nhóm Test]: ■2回目 正常系・全項目空データファイル</t>
        </is>
      </c>
    </row>
    <row r="198">
      <c r="A198" t="inlineStr">
        <is>
          <t xml:space="preserve">  - Tổng số dòng log: 65</t>
        </is>
      </c>
    </row>
    <row r="199">
      <c r="A199" s="2" t="inlineStr">
        <is>
          <t xml:space="preserve">  - Trạng thái Sort (行): ✅ Đã sắp xếp tăng dần hợp lệ.</t>
        </is>
      </c>
    </row>
    <row r="200">
      <c r="A200" t="inlineStr">
        <is>
          <t xml:space="preserve">  - Ngày chạy log: 2026/05/18</t>
        </is>
      </c>
    </row>
    <row r="201">
      <c r="A201" t="inlineStr">
        <is>
          <t xml:space="preserve">  - [Ảnh Status Panel]: Tìm thấy Jobnet ID: 'P1J0065@10065'</t>
        </is>
      </c>
    </row>
    <row r="202">
      <c r="A202" t="inlineStr">
        <is>
          <t xml:space="preserve">  - [Ảnh Status Panel]: Tìm thấy Interface ID: 'WMSH0065'</t>
        </is>
      </c>
    </row>
    <row r="203">
      <c r="A203" s="2" t="inlineStr">
        <is>
          <t xml:space="preserve">      ✅ OK: Interface ID 'WMSH0065' có tồn tại trong tên file Excel.</t>
        </is>
      </c>
    </row>
    <row r="204">
      <c r="A204" t="inlineStr">
        <is>
          <t xml:space="preserve">  - [Ảnh Status Panel]: Tìm thấy giờ bắt đầu là 17:06:50</t>
        </is>
      </c>
    </row>
    <row r="205">
      <c r="A205" s="2" t="inlineStr">
        <is>
          <t xml:space="preserve">      ✅ OK: Thời gian log (17:06:50) &gt;= Thời gian ảnh (17:06:50)</t>
        </is>
      </c>
    </row>
    <row r="206">
      <c r="A206" s="2" t="inlineStr">
        <is>
          <t xml:space="preserve">      ✅ OK: Duration Log Main (544ms) &lt; Duration Ảnh (750ms)</t>
        </is>
      </c>
    </row>
    <row r="207">
      <c r="A207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08">
      <c r="A208" s="2" t="inlineStr">
        <is>
          <t xml:space="preserve">      ✅ OK: Jobnet ID 'P1J0065@10065' khớp với dữ liệu trong Log.</t>
        </is>
      </c>
    </row>
    <row r="209">
      <c r="A209" t="inlineStr">
        <is>
          <t xml:space="preserve">  - [Kiểm tra File]: Log text báo có tạo ra file 'WMSH0065_output.tsv'.</t>
        </is>
      </c>
    </row>
    <row r="210">
      <c r="A210" s="2" t="inlineStr">
        <is>
          <t xml:space="preserve">      ✅ OK: Tên file trong ảnh File Explorer (WMSH0065_output.tsv) KHỚP với tên file trong Log text.</t>
        </is>
      </c>
    </row>
    <row r="211">
      <c r="A211" t="inlineStr">
        <is>
          <t xml:space="preserve">  - [Ảnh File Explorer]: Tìm thấy file 'WMSH0065_output.tsv' có Date modified là '2026/05/18 17:06'</t>
        </is>
      </c>
    </row>
    <row r="212">
      <c r="A212" s="2" t="inlineStr">
        <is>
          <t xml:space="preserve">      ✅ OK: Thời gian xuất file 'WMSH0065_output.tsv' (2026/05/18 17:06) KHỚP với log (2026/05/18 17:06).</t>
        </is>
      </c>
    </row>
    <row r="213">
      <c r="A213" t="inlineStr">
        <is>
          <t xml:space="preserve">  - [Đối chiếu Testcase trong Log]:</t>
        </is>
      </c>
    </row>
    <row r="214">
      <c r="A214" t="inlineStr">
        <is>
          <t xml:space="preserve">  - [Đối chiếu テスト計画書兼結果報告書(個別)]: Tìm thấy 1 dòng (8)</t>
        </is>
      </c>
    </row>
    <row r="215">
      <c r="A215" s="2" t="inlineStr">
        <is>
          <t xml:space="preserve">      + Số lần test (Cột K): ✅ Tất cả 1 dòng đều khớp (Lần 2)</t>
        </is>
      </c>
    </row>
    <row r="216">
      <c r="A216" s="2" t="inlineStr">
        <is>
          <t xml:space="preserve">      + Ngày test (Cột I/G): ✅ Khớp ngày (2026/05/18) cho tất cả các dòng có dữ liệu</t>
        </is>
      </c>
    </row>
    <row r="217">
      <c r="A217" t="inlineStr"/>
    </row>
    <row r="218">
      <c r="A218" s="1" t="inlineStr">
        <is>
          <t>[Nhóm Test]: ■3回目 正常系・ファイル定義確認</t>
        </is>
      </c>
    </row>
    <row r="219">
      <c r="A219" t="inlineStr">
        <is>
          <t xml:space="preserve">  - Tổng số dòng log: 65</t>
        </is>
      </c>
    </row>
    <row r="220">
      <c r="A220" s="2" t="inlineStr">
        <is>
          <t xml:space="preserve">  - Trạng thái Sort (行): ✅ Đã sắp xếp tăng dần hợp lệ.</t>
        </is>
      </c>
    </row>
    <row r="221">
      <c r="A221" t="inlineStr">
        <is>
          <t xml:space="preserve">  - Ngày chạy log: 2026/05/18</t>
        </is>
      </c>
    </row>
    <row r="222">
      <c r="A222" t="inlineStr">
        <is>
          <t xml:space="preserve">  - [Ảnh Status Panel]: Tìm thấy Jobnet ID: 'P1J0065@10065'</t>
        </is>
      </c>
    </row>
    <row r="223">
      <c r="A223" t="inlineStr">
        <is>
          <t xml:space="preserve">  - [Ảnh Status Panel]: Tìm thấy Interface ID: 'WMSH0065'</t>
        </is>
      </c>
    </row>
    <row r="224">
      <c r="A224" s="2" t="inlineStr">
        <is>
          <t xml:space="preserve">      ✅ OK: Interface ID 'WMSH0065' có tồn tại trong tên file Excel.</t>
        </is>
      </c>
    </row>
    <row r="225">
      <c r="A225" t="inlineStr">
        <is>
          <t xml:space="preserve">  - [Ảnh Status Panel]: Tìm thấy giờ bắt đầu là 17:10:48</t>
        </is>
      </c>
    </row>
    <row r="226">
      <c r="A226" s="2" t="inlineStr">
        <is>
          <t xml:space="preserve">      ✅ OK: Thời gian log (17:10:49) &gt;= Thời gian ảnh (17:10:48)</t>
        </is>
      </c>
    </row>
    <row r="227">
      <c r="A227" s="2" t="inlineStr">
        <is>
          <t xml:space="preserve">      ✅ OK: Duration Log Main (398ms) &lt; Duration Ảnh (619ms)</t>
        </is>
      </c>
    </row>
    <row r="228">
      <c r="A228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29">
      <c r="A229" s="2" t="inlineStr">
        <is>
          <t xml:space="preserve">      ✅ OK: Jobnet ID 'P1J0065@10065' khớp với dữ liệu trong Log.</t>
        </is>
      </c>
    </row>
    <row r="230">
      <c r="A230" t="inlineStr">
        <is>
          <t xml:space="preserve">  - [Kiểm tra File]: Log text báo có tạo ra file 'WMSH0065_output.tsv'.</t>
        </is>
      </c>
    </row>
    <row r="231">
      <c r="A231" s="2" t="inlineStr">
        <is>
          <t xml:space="preserve">      ✅ OK: Tên file trong ảnh File Explorer (WMSH0065_output.tsv) KHỚP với tên file trong Log text.</t>
        </is>
      </c>
    </row>
    <row r="232">
      <c r="A232" t="inlineStr">
        <is>
          <t xml:space="preserve">  - [Ảnh File Explorer]: Tìm thấy file 'WMSH0065_output.tsv' có Date modified là '2026/05/18 17:10'</t>
        </is>
      </c>
    </row>
    <row r="233">
      <c r="A233" s="2" t="inlineStr">
        <is>
          <t xml:space="preserve">      ✅ OK: Thời gian xuất file 'WMSH0065_output.tsv' (2026/05/18 17:10) KHỚP với log (2026/05/18 17:10).</t>
        </is>
      </c>
    </row>
    <row r="234">
      <c r="A234" t="inlineStr">
        <is>
          <t xml:space="preserve">  - [Đối chiếu Testcase trong Log]:</t>
        </is>
      </c>
    </row>
    <row r="235">
      <c r="A235" t="inlineStr">
        <is>
          <t xml:space="preserve">  - [Đối chiếu テスト計画書兼結果報告書(個別)]: Tìm thấy 13 dòng (13, 18, 19, 20, 21, 22, 23, 25, 26, 27, 28, 29, 30)</t>
        </is>
      </c>
    </row>
    <row r="236">
      <c r="A236" s="2" t="inlineStr">
        <is>
          <t xml:space="preserve">      + Số lần test (Cột K): ✅ Tất cả 13 dòng đều khớp (Lần 3)</t>
        </is>
      </c>
    </row>
    <row r="237">
      <c r="A237" s="2" t="inlineStr">
        <is>
          <t xml:space="preserve">      + Ngày test (Cột I/G): ✅ Khớp ngày (2026/05/18) cho tất cả các dòng có dữ liệu</t>
        </is>
      </c>
    </row>
    <row r="238">
      <c r="A238" t="inlineStr"/>
    </row>
    <row r="239">
      <c r="A239" s="1" t="inlineStr">
        <is>
          <t>[Nhóm Test]: ■4回目正常系・列分割→行変換確認（明細0件）</t>
        </is>
      </c>
    </row>
    <row r="240">
      <c r="A240" t="inlineStr">
        <is>
          <t xml:space="preserve">  - Tổng số dòng log: 65</t>
        </is>
      </c>
    </row>
    <row r="241">
      <c r="A241" s="2" t="inlineStr">
        <is>
          <t xml:space="preserve">  - Trạng thái Sort (行): ✅ Đã sắp xếp tăng dần hợp lệ.</t>
        </is>
      </c>
    </row>
    <row r="242">
      <c r="A242" t="inlineStr">
        <is>
          <t xml:space="preserve">  - Ngày chạy log: 2026/05/18</t>
        </is>
      </c>
    </row>
    <row r="243">
      <c r="A243" t="inlineStr">
        <is>
          <t xml:space="preserve">  - [Ảnh Status Panel]: Tìm thấy Jobnet ID: 'P1J0065@10065'</t>
        </is>
      </c>
    </row>
    <row r="244">
      <c r="A244" t="inlineStr">
        <is>
          <t xml:space="preserve">  - [Ảnh Status Panel]: Tìm thấy Interface ID: 'WMSH0065'</t>
        </is>
      </c>
    </row>
    <row r="245">
      <c r="A245" s="2" t="inlineStr">
        <is>
          <t xml:space="preserve">      ✅ OK: Interface ID 'WMSH0065' có tồn tại trong tên file Excel.</t>
        </is>
      </c>
    </row>
    <row r="246">
      <c r="A246" t="inlineStr">
        <is>
          <t xml:space="preserve">  - [Ảnh Status Panel]: Tìm thấy giờ bắt đầu là 17:14:00</t>
        </is>
      </c>
    </row>
    <row r="247">
      <c r="A247" s="2" t="inlineStr">
        <is>
          <t xml:space="preserve">      ✅ OK: Thời gian log (17:14:00) &gt;= Thời gian ảnh (17:14:00)</t>
        </is>
      </c>
    </row>
    <row r="248">
      <c r="A248" s="2" t="inlineStr">
        <is>
          <t xml:space="preserve">      ✅ OK: Duration Log Main (517ms) &lt; Duration Ảnh (749ms)</t>
        </is>
      </c>
    </row>
    <row r="249">
      <c r="A249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50">
      <c r="A250" s="2" t="inlineStr">
        <is>
          <t xml:space="preserve">      ✅ OK: Jobnet ID 'P1J0065@10065' khớp với dữ liệu trong Log.</t>
        </is>
      </c>
    </row>
    <row r="251">
      <c r="A251" t="inlineStr">
        <is>
          <t xml:space="preserve">  - [Kiểm tra File]: Log text báo có tạo ra file 'WMSH0065_output.tsv'.</t>
        </is>
      </c>
    </row>
    <row r="252">
      <c r="A252" s="4" t="inlineStr">
        <is>
          <t xml:space="preserve">      ❌ LỖI: Log báo có tạo file nhưng không tìm thấy ảnh chụp File Explorer chứa file này!</t>
        </is>
      </c>
    </row>
    <row r="253">
      <c r="A253" t="inlineStr">
        <is>
          <t xml:space="preserve">  - [Đối chiếu Testcase trong Log]:</t>
        </is>
      </c>
    </row>
    <row r="254">
      <c r="A254" t="inlineStr">
        <is>
          <t xml:space="preserve">  - [Đối chiếu テスト計画書兼結果報告書(個別)]: Tìm thấy 1 dòng (11)</t>
        </is>
      </c>
    </row>
    <row r="255">
      <c r="A255" s="2" t="inlineStr">
        <is>
          <t xml:space="preserve">      + Số lần test (Cột K): ✅ Tất cả 1 dòng đều khớp (Lần 4)</t>
        </is>
      </c>
    </row>
    <row r="256">
      <c r="A256" s="2" t="inlineStr">
        <is>
          <t xml:space="preserve">      + Ngày test (Cột I/G): ✅ Khớp ngày (2026/05/18) cho tất cả các dòng có dữ liệu</t>
        </is>
      </c>
    </row>
    <row r="257">
      <c r="A257" t="inlineStr"/>
    </row>
    <row r="258">
      <c r="A258" s="1" t="inlineStr">
        <is>
          <t>[Nhóm Test]: ■5回目正常系・列分割→行変換確認（明細1件）</t>
        </is>
      </c>
    </row>
    <row r="259">
      <c r="A259" t="inlineStr">
        <is>
          <t xml:space="preserve">  - Tổng số dòng log: 65</t>
        </is>
      </c>
    </row>
    <row r="260">
      <c r="A260" s="2" t="inlineStr">
        <is>
          <t xml:space="preserve">  - Trạng thái Sort (行): ✅ Đã sắp xếp tăng dần hợp lệ.</t>
        </is>
      </c>
    </row>
    <row r="261">
      <c r="A261" t="inlineStr">
        <is>
          <t xml:space="preserve">  - Ngày chạy log: 2026/05/18</t>
        </is>
      </c>
    </row>
    <row r="262">
      <c r="A262" t="inlineStr">
        <is>
          <t xml:space="preserve">  - [Ảnh Status Panel]: Tìm thấy Jobnet ID: 'P1J0065@10065'</t>
        </is>
      </c>
    </row>
    <row r="263">
      <c r="A263" t="inlineStr">
        <is>
          <t xml:space="preserve">  - [Ảnh Status Panel]: Tìm thấy Interface ID: 'WMSH0065'</t>
        </is>
      </c>
    </row>
    <row r="264">
      <c r="A264" s="2" t="inlineStr">
        <is>
          <t xml:space="preserve">      ✅ OK: Interface ID 'WMSH0065' có tồn tại trong tên file Excel.</t>
        </is>
      </c>
    </row>
    <row r="265">
      <c r="A265" t="inlineStr">
        <is>
          <t xml:space="preserve">  - [Ảnh Status Panel]: Tìm thấy giờ bắt đầu là 17:17:07</t>
        </is>
      </c>
    </row>
    <row r="266">
      <c r="A266" s="2" t="inlineStr">
        <is>
          <t xml:space="preserve">      ✅ OK: Thời gian log (17:17:07) &gt;= Thời gian ảnh (17:17:07)</t>
        </is>
      </c>
    </row>
    <row r="267">
      <c r="A267" s="2" t="inlineStr">
        <is>
          <t xml:space="preserve">      ✅ OK: Duration Log Main (530ms) &lt; Duration Ảnh (739ms)</t>
        </is>
      </c>
    </row>
    <row r="268">
      <c r="A268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69">
      <c r="A269" s="2" t="inlineStr">
        <is>
          <t xml:space="preserve">      ✅ OK: Jobnet ID 'P1J0065@10065' khớp với dữ liệu trong Log.</t>
        </is>
      </c>
    </row>
    <row r="270">
      <c r="A270" t="inlineStr">
        <is>
          <t xml:space="preserve">  - [Kiểm tra File]: Log text báo có tạo ra file 'WMSH0065_output.tsv'.</t>
        </is>
      </c>
    </row>
    <row r="271">
      <c r="A271" s="2" t="inlineStr">
        <is>
          <t xml:space="preserve">      ✅ OK: Tên file trong ảnh File Explorer (WMSH0065_output.tsv) KHỚP với tên file trong Log text.</t>
        </is>
      </c>
    </row>
    <row r="272">
      <c r="A272" t="inlineStr">
        <is>
          <t xml:space="preserve">  - [Ảnh File Explorer]: Tìm thấy file 'WMSH0065_output.tsv' có Date modified là '2026/05/18 17:17'</t>
        </is>
      </c>
    </row>
    <row r="273">
      <c r="A273" s="2" t="inlineStr">
        <is>
          <t xml:space="preserve">      ✅ OK: Thời gian xuất file 'WMSH0065_output.tsv' (2026/05/18 17:17) KHỚP với log (2026/05/18 17:17).</t>
        </is>
      </c>
    </row>
    <row r="274">
      <c r="A274" t="inlineStr">
        <is>
          <t xml:space="preserve">  - [Đối chiếu Testcase trong Log]:</t>
        </is>
      </c>
    </row>
    <row r="275">
      <c r="A275" t="inlineStr">
        <is>
          <t xml:space="preserve">  - [Đối chiếu テスト計画書兼結果報告書(個別)]: Tìm thấy 1 dòng (12)</t>
        </is>
      </c>
    </row>
    <row r="276">
      <c r="A276" s="2" t="inlineStr">
        <is>
          <t xml:space="preserve">      + Số lần test (Cột K): ✅ Tất cả 1 dòng đều khớp (Lần 5)</t>
        </is>
      </c>
    </row>
    <row r="277">
      <c r="A277" s="2" t="inlineStr">
        <is>
          <t xml:space="preserve">      + Ngày test (Cột I/G): ✅ Khớp ngày (2026/05/18) cho tất cả các dòng có dữ liệu</t>
        </is>
      </c>
    </row>
    <row r="278">
      <c r="A278" t="inlineStr"/>
    </row>
    <row r="279">
      <c r="A279" s="1" t="inlineStr">
        <is>
          <t>[Nhóm Test]: ■6回目正常系・列分割→行変換確認（明細4件）</t>
        </is>
      </c>
    </row>
    <row r="280">
      <c r="A280" t="inlineStr">
        <is>
          <t xml:space="preserve">  - Tổng số dòng log: 65</t>
        </is>
      </c>
    </row>
    <row r="281">
      <c r="A281" s="2" t="inlineStr">
        <is>
          <t xml:space="preserve">  - Trạng thái Sort (行): ✅ Đã sắp xếp tăng dần hợp lệ.</t>
        </is>
      </c>
    </row>
    <row r="282">
      <c r="A282" t="inlineStr">
        <is>
          <t xml:space="preserve">  - Ngày chạy log: 2026/05/18</t>
        </is>
      </c>
    </row>
    <row r="283">
      <c r="A283" t="inlineStr">
        <is>
          <t xml:space="preserve">  - [Ảnh Status Panel]: Tìm thấy Jobnet ID: 'P1J0065@10065'</t>
        </is>
      </c>
    </row>
    <row r="284">
      <c r="A284" t="inlineStr">
        <is>
          <t xml:space="preserve">  - [Ảnh Status Panel]: Tìm thấy Interface ID: 'WMSH0065'</t>
        </is>
      </c>
    </row>
    <row r="285">
      <c r="A285" s="2" t="inlineStr">
        <is>
          <t xml:space="preserve">      ✅ OK: Interface ID 'WMSH0065' có tồn tại trong tên file Excel.</t>
        </is>
      </c>
    </row>
    <row r="286">
      <c r="A286" t="inlineStr">
        <is>
          <t xml:space="preserve">  - [Ảnh Status Panel]: Tìm thấy giờ bắt đầu là 17:20:20</t>
        </is>
      </c>
    </row>
    <row r="287">
      <c r="A287" s="2" t="inlineStr">
        <is>
          <t xml:space="preserve">      ✅ OK: Thời gian log (17:20:20) &gt;= Thời gian ảnh (17:20:20)</t>
        </is>
      </c>
    </row>
    <row r="288">
      <c r="A288" s="2" t="inlineStr">
        <is>
          <t xml:space="preserve">      ✅ OK: Duration Log Main (673ms) &lt; Duration Ảnh (899ms)</t>
        </is>
      </c>
    </row>
    <row r="289">
      <c r="A289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290">
      <c r="A290" s="2" t="inlineStr">
        <is>
          <t xml:space="preserve">      ✅ OK: Jobnet ID 'P1J0065@10065' khớp với dữ liệu trong Log.</t>
        </is>
      </c>
    </row>
    <row r="291">
      <c r="A291" t="inlineStr">
        <is>
          <t xml:space="preserve">  - [Kiểm tra File]: Log text báo có tạo ra file 'WMSH0065_output.tsv'.</t>
        </is>
      </c>
    </row>
    <row r="292">
      <c r="A292" s="2" t="inlineStr">
        <is>
          <t xml:space="preserve">      ✅ OK: Tên file trong ảnh File Explorer (WMSH0065_output.tsv) KHỚP với tên file trong Log text.</t>
        </is>
      </c>
    </row>
    <row r="293">
      <c r="A293" t="inlineStr">
        <is>
          <t xml:space="preserve">  - [Ảnh File Explorer]: Tìm thấy file 'WMSH0065_output.tsv' có Date modified là '2026/05/18 17:20'</t>
        </is>
      </c>
    </row>
    <row r="294">
      <c r="A294" s="2" t="inlineStr">
        <is>
          <t xml:space="preserve">      ✅ OK: Thời gian xuất file 'WMSH0065_output.tsv' (2026/05/18 17:20) KHỚP với log (2026/05/18 17:20).</t>
        </is>
      </c>
    </row>
    <row r="295">
      <c r="A295" t="inlineStr">
        <is>
          <t xml:space="preserve">  - [Đối chiếu Testcase trong Log]:</t>
        </is>
      </c>
    </row>
    <row r="296">
      <c r="A296" t="inlineStr">
        <is>
          <t xml:space="preserve">  - [Đối chiếu テスト計画書兼結果報告書(個別)]: Tìm thấy 1 dòng (14)</t>
        </is>
      </c>
    </row>
    <row r="297">
      <c r="A297" s="2" t="inlineStr">
        <is>
          <t xml:space="preserve">      + Số lần test (Cột K): ✅ Tất cả 1 dòng đều khớp (Lần 6)</t>
        </is>
      </c>
    </row>
    <row r="298">
      <c r="A298" s="2" t="inlineStr">
        <is>
          <t xml:space="preserve">      + Ngày test (Cột I/G): ✅ Khớp ngày (2026/05/18) cho tất cả các dòng có dữ liệu</t>
        </is>
      </c>
    </row>
    <row r="299">
      <c r="A299" t="inlineStr"/>
    </row>
    <row r="300">
      <c r="A300" s="1" t="inlineStr">
        <is>
          <t>[Nhóm Test]: ■7回目正常系・列分割→行変換確認（レコードが複数件あり）</t>
        </is>
      </c>
    </row>
    <row r="301">
      <c r="A301" t="inlineStr">
        <is>
          <t xml:space="preserve">  - Tổng số dòng log: 65</t>
        </is>
      </c>
    </row>
    <row r="302">
      <c r="A302" s="2" t="inlineStr">
        <is>
          <t xml:space="preserve">  - Trạng thái Sort (行): ✅ Đã sắp xếp tăng dần hợp lệ.</t>
        </is>
      </c>
    </row>
    <row r="303">
      <c r="A303" t="inlineStr">
        <is>
          <t xml:space="preserve">  - Ngày chạy log: 2026/05/18</t>
        </is>
      </c>
    </row>
    <row r="304">
      <c r="A304" t="inlineStr">
        <is>
          <t xml:space="preserve">  - [Ảnh Status Panel]: Tìm thấy Jobnet ID: 'P1J0065@10065'</t>
        </is>
      </c>
    </row>
    <row r="305">
      <c r="A305" t="inlineStr">
        <is>
          <t xml:space="preserve">  - [Ảnh Status Panel]: Tìm thấy Interface ID: 'WMSH0065'</t>
        </is>
      </c>
    </row>
    <row r="306">
      <c r="A306" s="2" t="inlineStr">
        <is>
          <t xml:space="preserve">      ✅ OK: Interface ID 'WMSH0065' có tồn tại trong tên file Excel.</t>
        </is>
      </c>
    </row>
    <row r="307">
      <c r="A307" t="inlineStr">
        <is>
          <t xml:space="preserve">  - [Ảnh Status Panel]: Tìm thấy giờ bắt đầu là 17:24:52</t>
        </is>
      </c>
    </row>
    <row r="308">
      <c r="A308" s="2" t="inlineStr">
        <is>
          <t xml:space="preserve">      ✅ OK: Thời gian log (17:24:52) &gt;= Thời gian ảnh (17:24:52)</t>
        </is>
      </c>
    </row>
    <row r="309">
      <c r="A309" s="2" t="inlineStr">
        <is>
          <t xml:space="preserve">      ✅ OK: Duration Log Main (221ms) &lt; Duration Ảnh (419ms)</t>
        </is>
      </c>
    </row>
    <row r="310">
      <c r="A310" s="3" t="inlineStr">
        <is>
          <t xml:space="preserve">  - [Ảnh Log Viewer]: ⚠️ CẢNH BÁO: Không tìm thấy ảnh chụp màn hình Log (không có chữ ログ設定名 / アプリケーション) hoặc không đọc được thời gian.</t>
        </is>
      </c>
    </row>
    <row r="311">
      <c r="A311" s="2" t="inlineStr">
        <is>
          <t xml:space="preserve">      ✅ OK: Jobnet ID 'P1J0065@10065' khớp với dữ liệu trong Log.</t>
        </is>
      </c>
    </row>
    <row r="312">
      <c r="A312" t="inlineStr">
        <is>
          <t xml:space="preserve">  - [Kiểm tra File]: Log text báo có tạo ra file 'WMSH0065_output.tsv'.</t>
        </is>
      </c>
    </row>
    <row r="313">
      <c r="A313" s="2" t="inlineStr">
        <is>
          <t xml:space="preserve">      ✅ OK: Tên file trong ảnh File Explorer (WMSH0065_output.tsv) KHỚP với tên file trong Log text.</t>
        </is>
      </c>
    </row>
    <row r="314">
      <c r="A314" t="inlineStr">
        <is>
          <t xml:space="preserve">  - [Ảnh File Explorer]: Tìm thấy file 'WMSH0065_output.tsv' có Date modified là '2026/05/18 17:24'</t>
        </is>
      </c>
    </row>
    <row r="315">
      <c r="A315" s="2" t="inlineStr">
        <is>
          <t xml:space="preserve">      ✅ OK: Thời gian xuất file 'WMSH0065_output.tsv' (2026/05/18 17:24) KHỚP với log (2026/05/18 17:24).</t>
        </is>
      </c>
    </row>
    <row r="316">
      <c r="A316" t="inlineStr">
        <is>
          <t xml:space="preserve">  - [Đối chiếu Testcase trong Log]:</t>
        </is>
      </c>
    </row>
    <row r="317">
      <c r="A317" t="inlineStr">
        <is>
          <t xml:space="preserve">  - [Đối chiếu テスト計画書兼結果報告書(個別)]: Tìm thấy 1 dòng (15)</t>
        </is>
      </c>
    </row>
    <row r="318">
      <c r="A318" s="2" t="inlineStr">
        <is>
          <t xml:space="preserve">      + Số lần test (Cột K): ✅ Tất cả 1 dòng đều khớp (Lần 7)</t>
        </is>
      </c>
    </row>
    <row r="319">
      <c r="A319" s="2" t="inlineStr">
        <is>
          <t xml:space="preserve">      + Ngày test (Cột I/G): ✅ Khớp ngày (2026/05/18) cho tất cả các dòng có dữ liệu</t>
        </is>
      </c>
    </row>
    <row r="320">
      <c r="A320" t="inlineStr"/>
    </row>
    <row r="321">
      <c r="A321" s="1">
        <f>=============== TỔNG KẾT COVERAGE CHO SHEET エビデンス(共通) ================</f>
        <v/>
      </c>
    </row>
    <row r="322">
      <c r="A322" s="2" t="inlineStr">
        <is>
          <t xml:space="preserve">  - ✅ Nhóm 1 (gồm TC: 1-1-1, 1-2-1, 2-1-1, 2-2-1, 3-1-1, 3-2-1, 4-1-1, 4-2-1, 5-1-1, 5-3-1, 5-4-1, 6-1-1, 7-1-1): Đã có Log Evidence.</t>
        </is>
      </c>
    </row>
    <row r="323">
      <c r="A323" s="2" t="inlineStr">
        <is>
          <t xml:space="preserve">  - ✅ Nhóm 2 (gồm TC: 1-2-2, 2-2-2): Đã có Log Evidence.</t>
        </is>
      </c>
    </row>
    <row r="324">
      <c r="A324" s="2" t="inlineStr">
        <is>
          <t xml:space="preserve">  - ✅ Nhóm 3 (gồm TC: 3-2-2): Đã có Log Evidence.</t>
        </is>
      </c>
    </row>
    <row r="325">
      <c r="A325" s="2" t="inlineStr">
        <is>
          <t xml:space="preserve">  - ✅ Nhóm 4 (gồm TC: 3-2-3): Đã có Log Evidence.</t>
        </is>
      </c>
    </row>
    <row r="326">
      <c r="A326" s="2" t="inlineStr">
        <is>
          <t xml:space="preserve">  - ✅ Nhóm 5 (gồm TC: 4-1-2, 7-1-2): Đã có Log Evidence.</t>
        </is>
      </c>
    </row>
    <row r="327">
      <c r="A327" s="2" t="inlineStr">
        <is>
          <t xml:space="preserve">  - ✅ Nhóm 6 (gồm TC: 4-2-2): Đã có Log Evidence.</t>
        </is>
      </c>
    </row>
    <row r="328">
      <c r="A328" s="2" t="inlineStr">
        <is>
          <t xml:space="preserve">  - ✅ Nhóm 7 (gồm TC: 4-2-3, 5-2-1): Đã có Log Evidence.</t>
        </is>
      </c>
    </row>
    <row r="329">
      <c r="A329" t="inlineStr">
        <is>
          <t xml:space="preserve">  =&gt; TOÀN BỘ CÁC NHÓM TEST TRONG KẾ HOẠCH ĐỀU ĐÃ CÓ EVIDENCE!</t>
        </is>
      </c>
    </row>
    <row r="330">
      <c r="A330" t="inlineStr"/>
    </row>
    <row r="331">
      <c r="A331" t="inlineStr"/>
    </row>
    <row r="332">
      <c r="A332" s="1">
        <f>=============== TỔNG KẾT COVERAGE CHO SHEET エビデンス(個別) ================</f>
        <v/>
      </c>
    </row>
    <row r="333">
      <c r="A333" s="2" t="inlineStr">
        <is>
          <t xml:space="preserve">  - ✅ Nhóm 1 (gồm TC: 1-1-1): Đã có Log Evidence.</t>
        </is>
      </c>
    </row>
    <row r="334">
      <c r="A334" s="2" t="inlineStr">
        <is>
          <t xml:space="preserve">  - ✅ Nhóm 2 (gồm TC: 1-2-1): Đã có Log Evidence.</t>
        </is>
      </c>
    </row>
    <row r="335">
      <c r="A335" s="2" t="inlineStr">
        <is>
          <t xml:space="preserve">  - ✅ Nhóm 3 (gồm TC: 2-1-3, 3-1-1, 3-1-2, 3-1-3, 3-1-4, 3-1-5, 3-1-6, 3-2-1, 3-2-2, 3-2-3, 3-2-4, 3-2-5, 3-2-6): Đã có Log Evidence.</t>
        </is>
      </c>
    </row>
    <row r="336">
      <c r="A336" s="2" t="inlineStr">
        <is>
          <t xml:space="preserve">  - ✅ Nhóm 4 (gồm TC: 2-1-1): Đã có Log Evidence.</t>
        </is>
      </c>
    </row>
    <row r="337">
      <c r="A337" s="2" t="inlineStr">
        <is>
          <t xml:space="preserve">  - ✅ Nhóm 5 (gồm TC: 2-1-2): Đã có Log Evidence.</t>
        </is>
      </c>
    </row>
    <row r="338">
      <c r="A338" s="2" t="inlineStr">
        <is>
          <t xml:space="preserve">  - ✅ Nhóm 6 (gồm TC: 2-1-4): Đã có Log Evidence.</t>
        </is>
      </c>
    </row>
    <row r="339">
      <c r="A339" s="2" t="inlineStr">
        <is>
          <t xml:space="preserve">  - ✅ Nhóm 7 (gồm TC: 2-1-5): Đã có Log Evidence.</t>
        </is>
      </c>
    </row>
    <row r="340">
      <c r="A340" t="inlineStr">
        <is>
          <t xml:space="preserve">  =&gt; TOÀN BỘ CÁC NHÓM TEST TRONG KẾ HOẠCH ĐỀU ĐÃ CÓ EVIDENCE!</t>
        </is>
      </c>
    </row>
    <row r="341">
      <c r="A341" t="inlineStr"/>
    </row>
    <row r="342">
      <c r="A3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2026-05-21T14:39:50Z</dcterms:created>
  <dcterms:modified xsi:type="dcterms:W3CDTF">2026-05-21T14:40:10Z</dcterms:modified>
</cp:coreProperties>
</file>
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updateLinks="always" codeName="ThisWorkbook" defaultThemeVersion="124226"/>
  <bookViews>
    <workbookView xWindow="-15" yWindow="-105" windowWidth="19425" windowHeight="11505" tabRatio="900"/>
  </bookViews>
  <sheets>
    <sheet name="表紙 " sheetId="30" r:id="rId1"/>
    <sheet name="改定履歴" sheetId="27" r:id="rId2"/>
    <sheet name="テスト計画書兼結果報告書(共通)" sheetId="41" r:id="rId3"/>
    <sheet name="テスト計画書兼結果報告書(個別)" sheetId="1" r:id="rId4"/>
    <sheet name="テスト計画書兼結果報告書(マッピング)" sheetId="65" r:id="rId5"/>
    <sheet name="IFA_マッピング定義" sheetId="66" r:id="rId6"/>
  </sheets>
  <externalReferences>
    <externalReference r:id="rId7"/>
  </externalReferences>
  <definedNames>
    <definedName name="_074118_28" hidden="1">#REF!</definedName>
    <definedName name="_xlnm._FilterDatabase" localSheetId="5" hidden="1">IFA_マッピング定義!$A$7:$CQ$87</definedName>
    <definedName name="_xlnm._FilterDatabase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Regression_X" hidden="1">#REF!</definedName>
    <definedName name="_Sort" hidden="1">#REF!</definedName>
    <definedName name="a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a" hidden="1">{"管理台帳",#N/A,FALSE,"Sheet1"}</definedName>
    <definedName name="aaaa_1" hidden="1">{"管理台帳",#N/A,FALSE,"Sheet1"}</definedName>
    <definedName name="aaaa_2" hidden="1">{"管理台帳",#N/A,FALSE,"Sheet1"}</definedName>
    <definedName name="ab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bbb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bb" hidden="1">{"管理台帳",#N/A,FALSE,"Sheet1"}</definedName>
    <definedName name="bbbbb_1" hidden="1">{"管理台帳",#N/A,FALSE,"Sheet1"}</definedName>
    <definedName name="bbbbb_2" hidden="1">{"管理台帳",#N/A,FALSE,"Sheet1"}</definedName>
    <definedName name="ｃｃｃ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ｄｄ" hidden="1">#REF!</definedName>
    <definedName name="ddd" hidden="1">#REF!</definedName>
    <definedName name="ｄｄｄｄ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eeee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TL編集区分">[1]List!$D$3:$D$6</definedName>
    <definedName name="HTML_CodePage" hidden="1">932</definedName>
    <definedName name="HTML_Control" hidden="1">{"'帳票一覧'!$A$1:$E$86"}</definedName>
    <definedName name="HTML_Description" hidden="1">""</definedName>
    <definedName name="HTML_Email" hidden="1">""</definedName>
    <definedName name="HTML_Header" hidden="1">"帳票一覧"</definedName>
    <definedName name="HTML_LastUpdate" hidden="1">"99/01/14"</definedName>
    <definedName name="HTML_LineAfter" hidden="1">FALSE</definedName>
    <definedName name="HTML_LineBefore" hidden="1">FALSE</definedName>
    <definedName name="HTML_Name" hidden="1">"北澤真弓"</definedName>
    <definedName name="HTML_OBDlg2" hidden="1">TRUE</definedName>
    <definedName name="HTML_OBDlg4" hidden="1">TRUE</definedName>
    <definedName name="HTML_OS" hidden="1">0</definedName>
    <definedName name="HTML_PathFile" hidden="1">"C:\USR\LISTVIEW帳票\帳票一覧.htm"</definedName>
    <definedName name="HTML_Title" hidden="1">"総括表"</definedName>
    <definedName name="ｓ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tttttttttt" hidden="1">{"管理台帳",#N/A,FALSE,"Sheet1"}</definedName>
    <definedName name="tttttttttt_1" hidden="1">{"管理台帳",#N/A,FALSE,"Sheet1"}</definedName>
    <definedName name="tttttttttt_2" hidden="1">{"管理台帳",#N/A,FALSE,"Sheet1"}</definedName>
    <definedName name="w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ichiran.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kyuyod.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newkyud.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2.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shain.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oyod.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tabel.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管理台帳." hidden="1">{"管理台帳",#N/A,FALSE,"Sheet1"}</definedName>
    <definedName name="wrn.管理台帳._1" hidden="1">{"管理台帳",#N/A,FALSE,"Sheet1"}</definedName>
    <definedName name="wrn.管理台帳._2" hidden="1">{"管理台帳",#N/A,FALSE,"Sheet1"}</definedName>
    <definedName name="zenzan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あ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う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え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ええ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か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く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け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こ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さ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し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す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ステータス">[1]List!$L$3:$L$7</definedName>
    <definedName name="せ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た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ち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ぇｔｓ" hidden="1">{"管理台帳",#N/A,FALSE,"Sheet1"}</definedName>
    <definedName name="つぇｔｓ_1" hidden="1">{"管理台帳",#N/A,FALSE,"Sheet1"}</definedName>
    <definedName name="つぇｔｓ_2" hidden="1">{"管理台帳",#N/A,FALSE,"Sheet1"}</definedName>
    <definedName name="てｓｓｔ" hidden="1">{"管理台帳",#N/A,FALSE,"Sheet1"}</definedName>
    <definedName name="てｓｓｔ_1" hidden="1">{"管理台帳",#N/A,FALSE,"Sheet1"}</definedName>
    <definedName name="てｓｓｔ_2" hidden="1">{"管理台帳",#N/A,FALSE,"Sheet1"}</definedName>
    <definedName name="てｓｔｓ" hidden="1">{"管理台帳",#N/A,FALSE,"Sheet1"}</definedName>
    <definedName name="てｓｔｓ_1" hidden="1">{"管理台帳",#N/A,FALSE,"Sheet1"}</definedName>
    <definedName name="てｓｔｓ_2" hidden="1">{"管理台帳",#N/A,FALSE,"Sheet1"}</definedName>
    <definedName name="てｔｓ" hidden="1">{"管理台帳",#N/A,FALSE,"Sheet1"}</definedName>
    <definedName name="てｔｓ_1" hidden="1">{"管理台帳",#N/A,FALSE,"Sheet1"}</definedName>
    <definedName name="てｔｓ_2" hidden="1">{"管理台帳",#N/A,FALSE,"Sheet1"}</definedName>
    <definedName name="フラグ項目">[1]List!$B$3:$B$4</definedName>
    <definedName name="関連表" hidden="1">#REF!</definedName>
    <definedName name="属性_SAP">[1]List!$H$3:$H$4</definedName>
    <definedName name="単品別売上データ２" hidden="1">#REF!</definedName>
    <definedName name="物件Ｓ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G7" i="65" l="1"/>
  <c r="CF7" i="65"/>
  <c r="CE7" i="65"/>
  <c r="CD7" i="65"/>
  <c r="CC7" i="65"/>
  <c r="CB7" i="65"/>
  <c r="CA7" i="65"/>
  <c r="BZ7" i="65"/>
  <c r="BY7" i="65"/>
  <c r="BX7" i="65"/>
  <c r="BW7" i="65"/>
  <c r="BV7" i="65"/>
  <c r="BU7" i="65"/>
  <c r="BT7" i="65"/>
  <c r="BS7" i="65"/>
  <c r="BR7" i="65"/>
  <c r="BQ7" i="65"/>
  <c r="BP7" i="65"/>
  <c r="BO7" i="65"/>
  <c r="BN7" i="65"/>
  <c r="BM7" i="65"/>
  <c r="BL7" i="65"/>
  <c r="BK7" i="65"/>
  <c r="BJ7" i="65"/>
  <c r="BI7" i="65"/>
  <c r="BH7" i="65"/>
  <c r="BG7" i="65"/>
  <c r="BF7" i="65"/>
  <c r="BE7" i="65"/>
  <c r="BD7" i="65"/>
  <c r="BC7" i="65"/>
  <c r="BB7" i="65"/>
  <c r="BA7" i="65"/>
  <c r="AZ7" i="65"/>
  <c r="AY7" i="65"/>
  <c r="AX7" i="65"/>
  <c r="AW7" i="65"/>
  <c r="AV7" i="65"/>
  <c r="AU7" i="65"/>
  <c r="AT7" i="65"/>
  <c r="AS7" i="65"/>
  <c r="AR7" i="65"/>
  <c r="AQ7" i="65"/>
  <c r="AP7" i="65"/>
  <c r="AO7" i="65"/>
  <c r="AN7" i="65"/>
  <c r="AM7" i="65"/>
  <c r="AL7" i="65"/>
  <c r="AK7" i="65"/>
  <c r="AJ7" i="65"/>
  <c r="AI7" i="65"/>
  <c r="AH7" i="65"/>
  <c r="AG7" i="65"/>
  <c r="AF7" i="65"/>
  <c r="AE7" i="65"/>
  <c r="AD7" i="65"/>
  <c r="AC7" i="65"/>
  <c r="AB7" i="65"/>
  <c r="AA7" i="65"/>
  <c r="Z7" i="65"/>
  <c r="Y7" i="65"/>
  <c r="X7" i="65"/>
  <c r="W7" i="65"/>
  <c r="V7" i="65"/>
  <c r="U7" i="65"/>
  <c r="T7" i="65"/>
  <c r="S7" i="65"/>
  <c r="R7" i="65"/>
  <c r="Q7" i="65"/>
  <c r="P7" i="65"/>
  <c r="O7" i="65"/>
  <c r="N7" i="65"/>
  <c r="M7" i="65"/>
  <c r="L7" i="65"/>
  <c r="K7" i="65"/>
  <c r="J7" i="65"/>
  <c r="I7" i="65"/>
  <c r="H7" i="65" l="1"/>
  <c r="I2" i="41" l="1"/>
  <c r="H2" i="41"/>
  <c r="G2" i="41"/>
  <c r="J2" i="41" l="1"/>
  <c r="G2" i="1"/>
  <c r="I2" i="1"/>
  <c r="H2" i="1"/>
  <c r="J2" i="1" l="1"/>
</calcChain>
</file>

<file path=xl/sharedStrings.xml><?xml version="1.0" encoding="utf-8"?>
<sst xmlns="http://schemas.openxmlformats.org/spreadsheetml/2006/main" count="4805" uniqueCount="666">
  <si>
    <t>試験日</t>
    <rPh sb="0" eb="3">
      <t>シケンビ</t>
    </rPh>
    <phoneticPr fontId="16"/>
  </si>
  <si>
    <t>結果</t>
    <rPh sb="0" eb="2">
      <t>ケッカ</t>
    </rPh>
    <phoneticPr fontId="16"/>
  </si>
  <si>
    <t>再試験日</t>
    <rPh sb="0" eb="4">
      <t>サイシケンビ</t>
    </rPh>
    <phoneticPr fontId="16"/>
  </si>
  <si>
    <t>メモ</t>
    <phoneticPr fontId="16"/>
  </si>
  <si>
    <t>項目数</t>
    <rPh sb="0" eb="3">
      <t>コウモクスウ</t>
    </rPh>
    <phoneticPr fontId="16"/>
  </si>
  <si>
    <t>消化数</t>
    <rPh sb="0" eb="2">
      <t>ショウカ</t>
    </rPh>
    <rPh sb="2" eb="3">
      <t>スウ</t>
    </rPh>
    <phoneticPr fontId="16"/>
  </si>
  <si>
    <t>再試験数</t>
    <rPh sb="0" eb="3">
      <t>サイシケン</t>
    </rPh>
    <rPh sb="3" eb="4">
      <t>スウ</t>
    </rPh>
    <phoneticPr fontId="16"/>
  </si>
  <si>
    <t>完了率</t>
    <rPh sb="0" eb="2">
      <t>カンリョウ</t>
    </rPh>
    <rPh sb="2" eb="3">
      <t>リツ</t>
    </rPh>
    <phoneticPr fontId="16"/>
  </si>
  <si>
    <t>試験概要</t>
    <rPh sb="0" eb="2">
      <t>シケン</t>
    </rPh>
    <rPh sb="2" eb="4">
      <t>ガイヨウ</t>
    </rPh>
    <phoneticPr fontId="16"/>
  </si>
  <si>
    <t>改定内容</t>
    <rPh sb="0" eb="2">
      <t>カイテイ</t>
    </rPh>
    <rPh sb="2" eb="4">
      <t>ナイヨウ</t>
    </rPh>
    <phoneticPr fontId="16"/>
  </si>
  <si>
    <t>責任者印</t>
    <rPh sb="0" eb="3">
      <t>セキニンシャ</t>
    </rPh>
    <rPh sb="3" eb="4">
      <t>イン</t>
    </rPh>
    <phoneticPr fontId="16"/>
  </si>
  <si>
    <t>日付</t>
    <rPh sb="0" eb="2">
      <t>ヒヅケ</t>
    </rPh>
    <phoneticPr fontId="16"/>
  </si>
  <si>
    <t>担当者印</t>
    <rPh sb="0" eb="2">
      <t>タントウ</t>
    </rPh>
    <rPh sb="2" eb="3">
      <t>シャ</t>
    </rPh>
    <rPh sb="3" eb="4">
      <t>イン</t>
    </rPh>
    <phoneticPr fontId="16"/>
  </si>
  <si>
    <t>初版</t>
    <rPh sb="0" eb="2">
      <t>ショハン</t>
    </rPh>
    <phoneticPr fontId="16"/>
  </si>
  <si>
    <t>日本ハム株式会社　様</t>
    <rPh sb="0" eb="2">
      <t>ニホン</t>
    </rPh>
    <rPh sb="4" eb="8">
      <t>カブシキガイシャ</t>
    </rPh>
    <rPh sb="9" eb="10">
      <t>サマ</t>
    </rPh>
    <phoneticPr fontId="87"/>
  </si>
  <si>
    <t>Connectプロジェクト</t>
    <phoneticPr fontId="87"/>
  </si>
  <si>
    <t>株式会社アイ・エス・アイ ソフトウェアー</t>
    <rPh sb="0" eb="4">
      <t>カブシキガイシャ</t>
    </rPh>
    <phoneticPr fontId="87"/>
  </si>
  <si>
    <t>単体テスト仕様書兼成績書</t>
    <rPh sb="0" eb="2">
      <t>タンタイ</t>
    </rPh>
    <rPh sb="5" eb="8">
      <t>シヨウショ</t>
    </rPh>
    <rPh sb="8" eb="9">
      <t>ケン</t>
    </rPh>
    <rPh sb="9" eb="12">
      <t>セイセキショ</t>
    </rPh>
    <phoneticPr fontId="16"/>
  </si>
  <si>
    <t>各機能共通で実施する試験</t>
    <rPh sb="0" eb="1">
      <t>カク</t>
    </rPh>
    <rPh sb="1" eb="3">
      <t>キノウ</t>
    </rPh>
    <rPh sb="3" eb="5">
      <t>キョウツウ</t>
    </rPh>
    <rPh sb="6" eb="8">
      <t>ジッシ</t>
    </rPh>
    <rPh sb="10" eb="12">
      <t>シケン</t>
    </rPh>
    <phoneticPr fontId="16"/>
  </si>
  <si>
    <t>文字コード</t>
    <rPh sb="0" eb="2">
      <t>モジ</t>
    </rPh>
    <phoneticPr fontId="16"/>
  </si>
  <si>
    <t>改行コード</t>
    <rPh sb="0" eb="2">
      <t>カイギョウ</t>
    </rPh>
    <phoneticPr fontId="16"/>
  </si>
  <si>
    <t>0件ファイル時の挙動</t>
    <rPh sb="1" eb="2">
      <t>ケン</t>
    </rPh>
    <rPh sb="6" eb="7">
      <t>ジ</t>
    </rPh>
    <rPh sb="8" eb="10">
      <t>キョドウ</t>
    </rPh>
    <phoneticPr fontId="16"/>
  </si>
  <si>
    <t>受信ファイルバイト数が1byte以上</t>
    <rPh sb="0" eb="2">
      <t>ジュシン</t>
    </rPh>
    <rPh sb="9" eb="10">
      <t>スウ</t>
    </rPh>
    <rPh sb="16" eb="18">
      <t>イジョウ</t>
    </rPh>
    <phoneticPr fontId="16"/>
  </si>
  <si>
    <t>データ行が1000行未満</t>
    <rPh sb="3" eb="4">
      <t>ギョウ</t>
    </rPh>
    <rPh sb="9" eb="10">
      <t>ギョウ</t>
    </rPh>
    <rPh sb="10" eb="12">
      <t>ミマン</t>
    </rPh>
    <phoneticPr fontId="16"/>
  </si>
  <si>
    <t>データ行が1000行以上</t>
    <rPh sb="3" eb="4">
      <t>ギョウ</t>
    </rPh>
    <rPh sb="9" eb="10">
      <t>ギョウ</t>
    </rPh>
    <rPh sb="10" eb="12">
      <t>イジョウ</t>
    </rPh>
    <phoneticPr fontId="16"/>
  </si>
  <si>
    <t>データ行が1000行</t>
    <rPh sb="3" eb="4">
      <t>ギョウ</t>
    </rPh>
    <rPh sb="9" eb="10">
      <t>ギョウ</t>
    </rPh>
    <phoneticPr fontId="16"/>
  </si>
  <si>
    <t>受信ファイルバイト数が0byte</t>
    <rPh sb="0" eb="2">
      <t>ジュシン</t>
    </rPh>
    <rPh sb="9" eb="10">
      <t>スウ</t>
    </rPh>
    <phoneticPr fontId="16"/>
  </si>
  <si>
    <t>No.</t>
  </si>
  <si>
    <t>No.</t>
    <phoneticPr fontId="16"/>
  </si>
  <si>
    <t>マッピング全体</t>
    <rPh sb="5" eb="7">
      <t>ゼンタイ</t>
    </rPh>
    <phoneticPr fontId="16"/>
  </si>
  <si>
    <t>ファイルサイズと行</t>
    <rPh sb="8" eb="9">
      <t>ギョウ</t>
    </rPh>
    <phoneticPr fontId="16"/>
  </si>
  <si>
    <t>ファイル名、形式
(csv, tsv等：カンマ区切り, タブ区切り等)</t>
    <rPh sb="4" eb="5">
      <t>メイ</t>
    </rPh>
    <rPh sb="6" eb="8">
      <t>ケイシキ</t>
    </rPh>
    <rPh sb="18" eb="19">
      <t>トウ</t>
    </rPh>
    <rPh sb="23" eb="25">
      <t>クギ</t>
    </rPh>
    <rPh sb="30" eb="32">
      <t>クギ</t>
    </rPh>
    <rPh sb="33" eb="34">
      <t>トウ</t>
    </rPh>
    <phoneticPr fontId="16"/>
  </si>
  <si>
    <t>戻り値</t>
    <rPh sb="0" eb="1">
      <t>モド</t>
    </rPh>
    <rPh sb="2" eb="3">
      <t>チ</t>
    </rPh>
    <phoneticPr fontId="16"/>
  </si>
  <si>
    <t>条件</t>
    <rPh sb="0" eb="2">
      <t>ジョウケン</t>
    </rPh>
    <phoneticPr fontId="17"/>
  </si>
  <si>
    <t>結果/期待値</t>
    <rPh sb="3" eb="6">
      <t>キタイチ</t>
    </rPh>
    <phoneticPr fontId="17"/>
  </si>
  <si>
    <t>パラメータチェック</t>
    <phoneticPr fontId="16"/>
  </si>
  <si>
    <t>マッピング後処理</t>
    <phoneticPr fontId="16"/>
  </si>
  <si>
    <t>パラメータファイルに処理設定値を書き込み</t>
    <phoneticPr fontId="16"/>
  </si>
  <si>
    <t>ログ出力</t>
    <phoneticPr fontId="16"/>
  </si>
  <si>
    <t>異常終了の条件でフローを実行する</t>
    <rPh sb="0" eb="4">
      <t>イジョウシュウリョウ</t>
    </rPh>
    <rPh sb="5" eb="7">
      <t>ジョウケン</t>
    </rPh>
    <rPh sb="12" eb="14">
      <t>ジッコウ</t>
    </rPh>
    <phoneticPr fontId="16"/>
  </si>
  <si>
    <t>正常終了の条件でフローを実行する</t>
    <rPh sb="0" eb="4">
      <t>セイジョウシュウリョウ</t>
    </rPh>
    <rPh sb="5" eb="7">
      <t>ジョウケン</t>
    </rPh>
    <rPh sb="12" eb="14">
      <t>ジッコウ</t>
    </rPh>
    <phoneticPr fontId="16"/>
  </si>
  <si>
    <t>受信ファイルのサイズが0byteの場合、データなしのためマッピング処理は行わない。</t>
    <phoneticPr fontId="16"/>
  </si>
  <si>
    <t>n回目</t>
    <rPh sb="1" eb="3">
      <t>カイメ</t>
    </rPh>
    <phoneticPr fontId="16"/>
  </si>
  <si>
    <t>正常/異常</t>
    <rPh sb="0" eb="2">
      <t>セイジョウ</t>
    </rPh>
    <rPh sb="3" eb="5">
      <t>イジョウ</t>
    </rPh>
    <phoneticPr fontId="16"/>
  </si>
  <si>
    <t>概要</t>
    <rPh sb="0" eb="2">
      <t>ガイヨウ</t>
    </rPh>
    <phoneticPr fontId="16"/>
  </si>
  <si>
    <t>アプリケーションログ</t>
    <phoneticPr fontId="16"/>
  </si>
  <si>
    <t>戻り値　0 であること。</t>
    <phoneticPr fontId="16"/>
  </si>
  <si>
    <t>戻り値　9 であること。</t>
    <phoneticPr fontId="16"/>
  </si>
  <si>
    <t>以降の処理が実施されること。</t>
  </si>
  <si>
    <t xml:space="preserve">ファイルが正しく作成されること。
出力ファイル名：
　個別マッピング用定義ファイル.作成ファイル名
ファイル出力先パス：
　システム情報.中間ワーク親フォルダパス\中間ワークフォルダ名(ジョブネットID)\[インターフェースID]\システム情報.送信ファイル格納フォルダ名
</t>
    <rPh sb="5" eb="6">
      <t>タダ</t>
    </rPh>
    <rPh sb="8" eb="10">
      <t>サクセイ</t>
    </rPh>
    <rPh sb="26" eb="28">
      <t>コベツ</t>
    </rPh>
    <rPh sb="33" eb="34">
      <t>ヨウ</t>
    </rPh>
    <rPh sb="34" eb="36">
      <t>テイギ</t>
    </rPh>
    <rPh sb="120" eb="122">
      <t>ジョウホウ</t>
    </rPh>
    <phoneticPr fontId="16"/>
  </si>
  <si>
    <t>ファイルが正しく作成されること。
出力ファイル名：
　個別マッピング用定義ファイル.作成ファイル名
ファイル出力先パス：
　システム情報.中間ワーク親フォルダパス\中間ワークフォルダ名(ジョブネットID)\システム情報.送信ファイル格納フォルダ名\個別マッピング定義用ファイル.保存フォルダ名</t>
    <rPh sb="66" eb="68">
      <t>ジョウホウ</t>
    </rPh>
    <rPh sb="107" eb="109">
      <t>ジョウホウ</t>
    </rPh>
    <rPh sb="124" eb="126">
      <t>コベツ</t>
    </rPh>
    <rPh sb="131" eb="133">
      <t>テイギ</t>
    </rPh>
    <rPh sb="133" eb="134">
      <t>ヨウ</t>
    </rPh>
    <phoneticPr fontId="16"/>
  </si>
  <si>
    <t>ファイル読込単位</t>
    <rPh sb="4" eb="6">
      <t>ヨミコミ</t>
    </rPh>
    <rPh sb="6" eb="8">
      <t>タンイ</t>
    </rPh>
    <phoneticPr fontId="16"/>
  </si>
  <si>
    <t>パラメータファイルに送信ファイル件数が書き込まれていること。
キー：送信ファイル件数
値：ファイル件数</t>
    <rPh sb="10" eb="12">
      <t>ソウシン</t>
    </rPh>
    <rPh sb="16" eb="18">
      <t>ケンスウ</t>
    </rPh>
    <phoneticPr fontId="16"/>
  </si>
  <si>
    <t>受信ファイルバイト</t>
    <rPh sb="0" eb="2">
      <t>ジュシン</t>
    </rPh>
    <phoneticPr fontId="16"/>
  </si>
  <si>
    <t>以降の処理が実施されること。</t>
    <rPh sb="0" eb="1">
      <t>カラ</t>
    </rPh>
    <rPh sb="6" eb="8">
      <t>サクセイ</t>
    </rPh>
    <phoneticPr fontId="16"/>
  </si>
  <si>
    <t>+の場合パターン</t>
    <phoneticPr fontId="16"/>
  </si>
  <si>
    <t>-の場合パターン</t>
    <phoneticPr fontId="16"/>
  </si>
  <si>
    <t>0の場合パターン</t>
    <phoneticPr fontId="16"/>
  </si>
  <si>
    <t>全項目</t>
    <rPh sb="0" eb="3">
      <t>ゼンコウモク</t>
    </rPh>
    <phoneticPr fontId="16"/>
  </si>
  <si>
    <t>個別</t>
    <rPh sb="0" eb="2">
      <t>コベツ</t>
    </rPh>
    <phoneticPr fontId="16"/>
  </si>
  <si>
    <t>ログ内容の確認</t>
    <rPh sb="2" eb="4">
      <t>ナイヨウ</t>
    </rPh>
    <rPh sb="5" eb="7">
      <t>カクニン</t>
    </rPh>
    <phoneticPr fontId="16"/>
  </si>
  <si>
    <t>戻り値の確認</t>
    <rPh sb="0" eb="1">
      <t>モド</t>
    </rPh>
    <rPh sb="2" eb="3">
      <t>チ</t>
    </rPh>
    <rPh sb="4" eb="6">
      <t>カクニン</t>
    </rPh>
    <phoneticPr fontId="16"/>
  </si>
  <si>
    <t>パラメータチェック処理が正常に行われ、以降の処理が実施されること。</t>
    <rPh sb="9" eb="11">
      <t>ショリ</t>
    </rPh>
    <rPh sb="12" eb="14">
      <t>セイジョウ</t>
    </rPh>
    <rPh sb="15" eb="16">
      <t>オコナ</t>
    </rPh>
    <phoneticPr fontId="16"/>
  </si>
  <si>
    <t>空データファイルの挙動確認</t>
    <rPh sb="0" eb="1">
      <t>カラ</t>
    </rPh>
    <rPh sb="9" eb="11">
      <t>キョドウ</t>
    </rPh>
    <rPh sb="11" eb="13">
      <t>カクニン</t>
    </rPh>
    <phoneticPr fontId="16"/>
  </si>
  <si>
    <t>ファイルにデータが書きこまれているか確認する</t>
    <rPh sb="9" eb="10">
      <t>カ</t>
    </rPh>
    <rPh sb="18" eb="20">
      <t>カクニン</t>
    </rPh>
    <phoneticPr fontId="16"/>
  </si>
  <si>
    <t>受信ファイルにデータ行が存在する場合</t>
    <rPh sb="0" eb="2">
      <t>ジュシン</t>
    </rPh>
    <rPh sb="10" eb="11">
      <t>ギョウ</t>
    </rPh>
    <rPh sb="12" eb="14">
      <t>ソンザイ</t>
    </rPh>
    <rPh sb="16" eb="18">
      <t>バアイ</t>
    </rPh>
    <phoneticPr fontId="16"/>
  </si>
  <si>
    <t>受信ファイルにデータ行が存在しない場合</t>
    <rPh sb="0" eb="2">
      <t>ジュシン</t>
    </rPh>
    <rPh sb="10" eb="11">
      <t>ギョウ</t>
    </rPh>
    <rPh sb="12" eb="14">
      <t>ソンザイ</t>
    </rPh>
    <rPh sb="17" eb="19">
      <t>バアイ</t>
    </rPh>
    <phoneticPr fontId="16"/>
  </si>
  <si>
    <t>出力ファイル書き込み</t>
    <rPh sb="0" eb="2">
      <t>シュツリョク</t>
    </rPh>
    <rPh sb="6" eb="7">
      <t>カ</t>
    </rPh>
    <rPh sb="8" eb="9">
      <t>コ</t>
    </rPh>
    <phoneticPr fontId="16"/>
  </si>
  <si>
    <t>マッピングデータが出力されていることを確認する。（各項目ごとの試験は個別-マッピングにて試験する）</t>
    <rPh sb="9" eb="11">
      <t>シュツリョク</t>
    </rPh>
    <rPh sb="19" eb="21">
      <t>カクニン</t>
    </rPh>
    <rPh sb="25" eb="26">
      <t>カク</t>
    </rPh>
    <rPh sb="26" eb="28">
      <t>コウモク</t>
    </rPh>
    <rPh sb="31" eb="33">
      <t>シケン</t>
    </rPh>
    <rPh sb="34" eb="36">
      <t>コベツ</t>
    </rPh>
    <rPh sb="44" eb="46">
      <t>シケン</t>
    </rPh>
    <phoneticPr fontId="16"/>
  </si>
  <si>
    <t>各機能個別確認で実施する試験</t>
    <rPh sb="3" eb="5">
      <t>コベツ</t>
    </rPh>
    <rPh sb="5" eb="7">
      <t>カクニン</t>
    </rPh>
    <phoneticPr fontId="16"/>
  </si>
  <si>
    <t>起動パラメータを設定した場合</t>
    <rPh sb="0" eb="2">
      <t>キドウ</t>
    </rPh>
    <rPh sb="8" eb="10">
      <t>セッテイ</t>
    </rPh>
    <rPh sb="12" eb="14">
      <t>バアイ</t>
    </rPh>
    <phoneticPr fontId="16"/>
  </si>
  <si>
    <t>起動パラメータを設定しない場合</t>
    <rPh sb="0" eb="2">
      <t>キドウ</t>
    </rPh>
    <rPh sb="8" eb="10">
      <t>セッテイ</t>
    </rPh>
    <rPh sb="13" eb="15">
      <t>バアイ</t>
    </rPh>
    <phoneticPr fontId="16"/>
  </si>
  <si>
    <t>マッピングデータ作成するか分岐</t>
    <rPh sb="8" eb="10">
      <t>サクセイ</t>
    </rPh>
    <rPh sb="13" eb="15">
      <t>ブンキ</t>
    </rPh>
    <phoneticPr fontId="16"/>
  </si>
  <si>
    <t>読込単位のループにて行われる処理件数カウントやファイル書き込み処理、ループ内変数初期化など、ループ内処理が正しく行われていることを確認する</t>
    <rPh sb="0" eb="2">
      <t>ヨミコミ</t>
    </rPh>
    <rPh sb="2" eb="4">
      <t>タンイ</t>
    </rPh>
    <rPh sb="10" eb="11">
      <t>オコナ</t>
    </rPh>
    <rPh sb="14" eb="16">
      <t>ショリ</t>
    </rPh>
    <rPh sb="16" eb="18">
      <t>ケンスウ</t>
    </rPh>
    <rPh sb="27" eb="28">
      <t>カ</t>
    </rPh>
    <rPh sb="29" eb="30">
      <t>コ</t>
    </rPh>
    <rPh sb="31" eb="33">
      <t>ショリ</t>
    </rPh>
    <rPh sb="37" eb="38">
      <t>ナイ</t>
    </rPh>
    <rPh sb="38" eb="43">
      <t>ヘンスウショキカ</t>
    </rPh>
    <rPh sb="49" eb="50">
      <t>ナイ</t>
    </rPh>
    <rPh sb="50" eb="52">
      <t>ショリ</t>
    </rPh>
    <rPh sb="53" eb="54">
      <t>タダ</t>
    </rPh>
    <rPh sb="56" eb="57">
      <t>オコナ</t>
    </rPh>
    <rPh sb="65" eb="67">
      <t>カクニン</t>
    </rPh>
    <phoneticPr fontId="16"/>
  </si>
  <si>
    <t>ファイル定義</t>
    <rPh sb="4" eb="6">
      <t>テイギ</t>
    </rPh>
    <phoneticPr fontId="16"/>
  </si>
  <si>
    <t>入力ファイル定義</t>
    <rPh sb="0" eb="2">
      <t>ニュウリョク</t>
    </rPh>
    <rPh sb="6" eb="8">
      <t>テイギ</t>
    </rPh>
    <phoneticPr fontId="17"/>
  </si>
  <si>
    <t>出力ファイル定義の確認</t>
    <rPh sb="0" eb="2">
      <t>シュツリョク</t>
    </rPh>
    <rPh sb="6" eb="8">
      <t>テイギ</t>
    </rPh>
    <rPh sb="9" eb="11">
      <t>カクニン</t>
    </rPh>
    <phoneticPr fontId="16"/>
  </si>
  <si>
    <t>出力ファイル定義</t>
    <rPh sb="0" eb="2">
      <t>シュツリョク</t>
    </rPh>
    <rPh sb="6" eb="8">
      <t>テイギ</t>
    </rPh>
    <phoneticPr fontId="17"/>
  </si>
  <si>
    <t>入力ファイル定義の確認</t>
    <rPh sb="0" eb="2">
      <t>ニュウリョク</t>
    </rPh>
    <rPh sb="6" eb="8">
      <t>テイギ</t>
    </rPh>
    <rPh sb="9" eb="11">
      <t>カクニン</t>
    </rPh>
    <phoneticPr fontId="16"/>
  </si>
  <si>
    <t>汎用エラー処理を呼び出し処理終了すること。</t>
    <phoneticPr fontId="16"/>
  </si>
  <si>
    <t>受信ファイルのサイズが0byteの場合</t>
    <phoneticPr fontId="16"/>
  </si>
  <si>
    <t>空データ</t>
    <rPh sb="0" eb="1">
      <t>カラ</t>
    </rPh>
    <phoneticPr fontId="16"/>
  </si>
  <si>
    <t>警告ログが正しく出力されていること。
検知用メッセージ：
マッピング処理にてコード変換が正しく行われませんでした。インターフェースID：[インターフェースID] ジョブネットID：[ジョブネットID]
詳細用メッセージ：
[コード変換名]で「[エラー入力値]」の変換ができませんでした。
（コード変換名×エラー入力値の積の数だけ1行で出力）</t>
    <rPh sb="0" eb="2">
      <t>ケイコク</t>
    </rPh>
    <rPh sb="5" eb="6">
      <t>タダ</t>
    </rPh>
    <rPh sb="8" eb="10">
      <t>シュツリョク</t>
    </rPh>
    <rPh sb="19" eb="21">
      <t>ケンチ</t>
    </rPh>
    <rPh sb="21" eb="22">
      <t>ヨウ</t>
    </rPh>
    <rPh sb="34" eb="36">
      <t>ショリ</t>
    </rPh>
    <rPh sb="41" eb="43">
      <t>ヘンカン</t>
    </rPh>
    <rPh sb="44" eb="45">
      <t>タダ</t>
    </rPh>
    <rPh sb="47" eb="48">
      <t>オコナ</t>
    </rPh>
    <rPh sb="101" eb="103">
      <t>ショウサイ</t>
    </rPh>
    <rPh sb="103" eb="104">
      <t>ヨウ</t>
    </rPh>
    <rPh sb="115" eb="118">
      <t>ヘンカンメイ</t>
    </rPh>
    <rPh sb="125" eb="127">
      <t>ニュウリョク</t>
    </rPh>
    <rPh sb="127" eb="128">
      <t>チ</t>
    </rPh>
    <rPh sb="131" eb="133">
      <t>ヘンカン</t>
    </rPh>
    <rPh sb="148" eb="150">
      <t>ヘンカン</t>
    </rPh>
    <rPh sb="150" eb="151">
      <t>メイ</t>
    </rPh>
    <rPh sb="155" eb="158">
      <t>ニュウリョクチ</t>
    </rPh>
    <rPh sb="159" eb="160">
      <t>セキ</t>
    </rPh>
    <rPh sb="161" eb="162">
      <t>カズ</t>
    </rPh>
    <rPh sb="165" eb="166">
      <t>ギョウ</t>
    </rPh>
    <rPh sb="167" eb="169">
      <t>シュツリョク</t>
    </rPh>
    <phoneticPr fontId="16"/>
  </si>
  <si>
    <t>レイアウト定義</t>
    <rPh sb="5" eb="7">
      <t>テイギ</t>
    </rPh>
    <phoneticPr fontId="16"/>
  </si>
  <si>
    <t>並び順</t>
    <rPh sb="0" eb="1">
      <t>ナラ</t>
    </rPh>
    <rPh sb="2" eb="3">
      <t>ジュン</t>
    </rPh>
    <phoneticPr fontId="16"/>
  </si>
  <si>
    <t>1</t>
    <phoneticPr fontId="16"/>
  </si>
  <si>
    <t>2</t>
    <phoneticPr fontId="16"/>
  </si>
  <si>
    <t>3</t>
    <phoneticPr fontId="16"/>
  </si>
  <si>
    <t>4</t>
    <phoneticPr fontId="16"/>
  </si>
  <si>
    <t>5</t>
    <phoneticPr fontId="16"/>
  </si>
  <si>
    <t>6</t>
    <phoneticPr fontId="16"/>
  </si>
  <si>
    <t>7</t>
    <phoneticPr fontId="16"/>
  </si>
  <si>
    <t>8</t>
    <phoneticPr fontId="16"/>
  </si>
  <si>
    <t>9</t>
    <phoneticPr fontId="16"/>
  </si>
  <si>
    <t>10</t>
    <phoneticPr fontId="16"/>
  </si>
  <si>
    <t>入力項目</t>
    <rPh sb="0" eb="2">
      <t>ニュウリョク</t>
    </rPh>
    <rPh sb="2" eb="4">
      <t>コウモク</t>
    </rPh>
    <phoneticPr fontId="16"/>
  </si>
  <si>
    <t>項目</t>
    <rPh sb="0" eb="2">
      <t>コウモク</t>
    </rPh>
    <phoneticPr fontId="16"/>
  </si>
  <si>
    <t>条件</t>
    <rPh sb="0" eb="2">
      <t>ジョウケン</t>
    </rPh>
    <phoneticPr fontId="16"/>
  </si>
  <si>
    <t>期待値</t>
    <rPh sb="0" eb="3">
      <t>キタイチ</t>
    </rPh>
    <phoneticPr fontId="16"/>
  </si>
  <si>
    <t>１</t>
    <phoneticPr fontId="16"/>
  </si>
  <si>
    <t>入力データパターン</t>
    <rPh sb="0" eb="2">
      <t>ニュウリョク</t>
    </rPh>
    <phoneticPr fontId="16"/>
  </si>
  <si>
    <t>基本(IF方針通りにマッピングされていることの確認)</t>
    <rPh sb="0" eb="2">
      <t>キホン</t>
    </rPh>
    <rPh sb="5" eb="7">
      <t>ホウシン</t>
    </rPh>
    <rPh sb="7" eb="8">
      <t>ドオ</t>
    </rPh>
    <rPh sb="23" eb="25">
      <t>カクニン</t>
    </rPh>
    <phoneticPr fontId="16"/>
  </si>
  <si>
    <t>最大(指定)桁数パターン</t>
    <phoneticPr fontId="16"/>
  </si>
  <si>
    <t>○</t>
    <phoneticPr fontId="16"/>
  </si>
  <si>
    <t>桁あふれパターン</t>
    <phoneticPr fontId="16"/>
  </si>
  <si>
    <t>記号混在パターン</t>
    <phoneticPr fontId="16"/>
  </si>
  <si>
    <t>データ型不整合混在パターン</t>
    <phoneticPr fontId="16"/>
  </si>
  <si>
    <t>全角文字混在パターン</t>
    <phoneticPr fontId="16"/>
  </si>
  <si>
    <t>全項目値無パターン</t>
    <phoneticPr fontId="16"/>
  </si>
  <si>
    <t>数値型</t>
    <rPh sb="0" eb="3">
      <t>スウチガタ</t>
    </rPh>
    <phoneticPr fontId="16"/>
  </si>
  <si>
    <t>○</t>
  </si>
  <si>
    <t>11</t>
    <phoneticPr fontId="16"/>
  </si>
  <si>
    <t>小数点パターン</t>
    <phoneticPr fontId="16"/>
  </si>
  <si>
    <t>-</t>
    <phoneticPr fontId="16"/>
  </si>
  <si>
    <t>出力データパターン</t>
    <rPh sb="0" eb="2">
      <t>シュツリョク</t>
    </rPh>
    <phoneticPr fontId="16"/>
  </si>
  <si>
    <t>基本</t>
    <rPh sb="0" eb="2">
      <t>キホン</t>
    </rPh>
    <phoneticPr fontId="16"/>
  </si>
  <si>
    <t>マッピング</t>
    <phoneticPr fontId="16"/>
  </si>
  <si>
    <t>マッピング仕様通りマッピングされていること。</t>
    <phoneticPr fontId="16"/>
  </si>
  <si>
    <t>変換エラーメッセージ</t>
    <phoneticPr fontId="16"/>
  </si>
  <si>
    <t>変換エラーメッセージが読み込み単位処理にて正しく処理できていることを確認する</t>
    <rPh sb="0" eb="2">
      <t>ヘンカン</t>
    </rPh>
    <rPh sb="11" eb="12">
      <t>ヨ</t>
    </rPh>
    <rPh sb="13" eb="14">
      <t>コ</t>
    </rPh>
    <rPh sb="15" eb="17">
      <t>タンイ</t>
    </rPh>
    <rPh sb="17" eb="19">
      <t>ショリ</t>
    </rPh>
    <rPh sb="21" eb="22">
      <t>タダ</t>
    </rPh>
    <rPh sb="24" eb="26">
      <t>ショリ</t>
    </rPh>
    <rPh sb="34" eb="36">
      <t>カクニン</t>
    </rPh>
    <phoneticPr fontId="16"/>
  </si>
  <si>
    <t>全体共通</t>
    <rPh sb="0" eb="2">
      <t>ゼンタイ</t>
    </rPh>
    <rPh sb="2" eb="4">
      <t>キョウツウ</t>
    </rPh>
    <phoneticPr fontId="16"/>
  </si>
  <si>
    <t>共通処理呼び出し</t>
    <rPh sb="0" eb="2">
      <t>キョウツウ</t>
    </rPh>
    <rPh sb="2" eb="4">
      <t>ショリ</t>
    </rPh>
    <rPh sb="4" eb="5">
      <t>ヨ</t>
    </rPh>
    <rPh sb="6" eb="7">
      <t>ダ</t>
    </rPh>
    <phoneticPr fontId="16"/>
  </si>
  <si>
    <t>事前処理</t>
    <phoneticPr fontId="16"/>
  </si>
  <si>
    <t>共通処理.事前処理呼び出し</t>
    <rPh sb="9" eb="10">
      <t>ヨ</t>
    </rPh>
    <rPh sb="11" eb="12">
      <t>ダ</t>
    </rPh>
    <phoneticPr fontId="16"/>
  </si>
  <si>
    <t>共通処理.事前処理が呼び出され、正常に処理できること。</t>
    <rPh sb="5" eb="9">
      <t>ジゼンショリ</t>
    </rPh>
    <rPh sb="10" eb="11">
      <t>ヨ</t>
    </rPh>
    <rPh sb="12" eb="13">
      <t>ダ</t>
    </rPh>
    <rPh sb="16" eb="18">
      <t>セイジョウ</t>
    </rPh>
    <rPh sb="19" eb="21">
      <t>ショリ</t>
    </rPh>
    <phoneticPr fontId="16"/>
  </si>
  <si>
    <t>入力パラメータの設定確認</t>
    <rPh sb="0" eb="2">
      <t>ニュウリョク</t>
    </rPh>
    <rPh sb="8" eb="10">
      <t>セッテイ</t>
    </rPh>
    <rPh sb="10" eb="12">
      <t>カクニン</t>
    </rPh>
    <phoneticPr fontId="16"/>
  </si>
  <si>
    <t>共通処理.マッピング前処理呼び出し</t>
    <rPh sb="13" eb="14">
      <t>ヨ</t>
    </rPh>
    <rPh sb="15" eb="16">
      <t>ダ</t>
    </rPh>
    <phoneticPr fontId="16"/>
  </si>
  <si>
    <t>共通処理.マッピング前処理が呼び出され、正常に処理できること。</t>
    <rPh sb="0" eb="4">
      <t>キョウツウショリ</t>
    </rPh>
    <rPh sb="10" eb="11">
      <t>マエ</t>
    </rPh>
    <rPh sb="11" eb="13">
      <t>ショリ</t>
    </rPh>
    <rPh sb="14" eb="15">
      <t>ヨ</t>
    </rPh>
    <rPh sb="16" eb="17">
      <t>ダ</t>
    </rPh>
    <rPh sb="20" eb="22">
      <t>セイジョウ</t>
    </rPh>
    <rPh sb="23" eb="25">
      <t>ショリ</t>
    </rPh>
    <phoneticPr fontId="16"/>
  </si>
  <si>
    <t>出力定義</t>
    <rPh sb="0" eb="2">
      <t>シュツリョク</t>
    </rPh>
    <rPh sb="2" eb="4">
      <t>テイギ</t>
    </rPh>
    <phoneticPr fontId="16"/>
  </si>
  <si>
    <t>個別共通</t>
    <rPh sb="0" eb="2">
      <t>コベツ</t>
    </rPh>
    <rPh sb="2" eb="4">
      <t>キョウツウ</t>
    </rPh>
    <phoneticPr fontId="16"/>
  </si>
  <si>
    <t>共通処理.マッピング後処理が呼び出され、正常に処理できること。</t>
    <rPh sb="10" eb="11">
      <t>アト</t>
    </rPh>
    <phoneticPr fontId="16"/>
  </si>
  <si>
    <t>ファイル作成ログ</t>
    <rPh sb="4" eb="6">
      <t>サクセイ</t>
    </rPh>
    <phoneticPr fontId="16"/>
  </si>
  <si>
    <t>作成ファイル情報が正しく連携できていることの確認</t>
    <rPh sb="0" eb="2">
      <t>サクセイ</t>
    </rPh>
    <rPh sb="6" eb="8">
      <t>ジョウホウ</t>
    </rPh>
    <rPh sb="9" eb="10">
      <t>タダ</t>
    </rPh>
    <rPh sb="12" eb="14">
      <t>レンケイ</t>
    </rPh>
    <rPh sb="22" eb="24">
      <t>カクニン</t>
    </rPh>
    <phoneticPr fontId="16"/>
  </si>
  <si>
    <t>メッセージが正しく出力されていること。
メッセージ：
　ファイルを作成しました。インターフェースID：[インターフェースID] ジョブネットID：[ジョブネットID] ファイル名：[出力ファイル名] 処理件数：[処理件数]件</t>
    <phoneticPr fontId="16"/>
  </si>
  <si>
    <t>作成ファイル情報が正しく連携できていることの確認</t>
    <phoneticPr fontId="16"/>
  </si>
  <si>
    <t>事後処理</t>
    <rPh sb="0" eb="2">
      <t>ジゴ</t>
    </rPh>
    <phoneticPr fontId="16"/>
  </si>
  <si>
    <t>共通処理.事後処理呼び出し</t>
    <rPh sb="5" eb="7">
      <t>ジゴ</t>
    </rPh>
    <rPh sb="9" eb="10">
      <t>ヨ</t>
    </rPh>
    <rPh sb="11" eb="12">
      <t>ダ</t>
    </rPh>
    <phoneticPr fontId="16"/>
  </si>
  <si>
    <t>共通処理.事後処理が呼び出され、正常に処理できること。</t>
    <rPh sb="5" eb="7">
      <t>ジゴ</t>
    </rPh>
    <rPh sb="7" eb="9">
      <t>ショリ</t>
    </rPh>
    <rPh sb="10" eb="11">
      <t>ヨ</t>
    </rPh>
    <rPh sb="12" eb="13">
      <t>ダ</t>
    </rPh>
    <rPh sb="16" eb="18">
      <t>セイジョウ</t>
    </rPh>
    <rPh sb="19" eb="21">
      <t>ショリ</t>
    </rPh>
    <phoneticPr fontId="16"/>
  </si>
  <si>
    <t>結果</t>
    <rPh sb="0" eb="2">
      <t>ケッカ</t>
    </rPh>
    <phoneticPr fontId="16"/>
  </si>
  <si>
    <t>編集不要含めたマッピング全体の確認</t>
    <phoneticPr fontId="16"/>
  </si>
  <si>
    <t>正しく出力されていること。</t>
    <rPh sb="0" eb="1">
      <t>タダ</t>
    </rPh>
    <rPh sb="3" eb="5">
      <t>シュツリョク</t>
    </rPh>
    <phoneticPr fontId="16"/>
  </si>
  <si>
    <t>初期値であること。</t>
    <rPh sb="0" eb="3">
      <t>ショキチ</t>
    </rPh>
    <phoneticPr fontId="16"/>
  </si>
  <si>
    <t>出力ファイルパスに既に指定のファイルが存在する場合</t>
    <rPh sb="0" eb="2">
      <t>シュツリョク</t>
    </rPh>
    <rPh sb="9" eb="10">
      <t>スデ</t>
    </rPh>
    <rPh sb="11" eb="13">
      <t>シテイ</t>
    </rPh>
    <rPh sb="19" eb="21">
      <t>ソンザイ</t>
    </rPh>
    <rPh sb="23" eb="25">
      <t>バアイ</t>
    </rPh>
    <phoneticPr fontId="16"/>
  </si>
  <si>
    <t>ジョブ単位処理切替管理.ファイル送信前結合有無=falseの場合</t>
    <rPh sb="16" eb="19">
      <t>ソウシンマエ</t>
    </rPh>
    <rPh sb="19" eb="23">
      <t>ケツゴウウム</t>
    </rPh>
    <phoneticPr fontId="16"/>
  </si>
  <si>
    <t>ジョブ単位処理切替管理.ファイル送信前結合有無=trueの場合</t>
    <rPh sb="16" eb="19">
      <t>ソウシンマエ</t>
    </rPh>
    <rPh sb="19" eb="23">
      <t>ケツゴウウム</t>
    </rPh>
    <phoneticPr fontId="16"/>
  </si>
  <si>
    <t>マッピングが空処理されること。</t>
    <rPh sb="6" eb="9">
      <t>カラショリ</t>
    </rPh>
    <phoneticPr fontId="16"/>
  </si>
  <si>
    <t>共通処理.マッピング後処理呼び出し</t>
    <rPh sb="10" eb="11">
      <t>アト</t>
    </rPh>
    <rPh sb="13" eb="14">
      <t>ヨ</t>
    </rPh>
    <rPh sb="15" eb="16">
      <t>ダ</t>
    </rPh>
    <phoneticPr fontId="16"/>
  </si>
  <si>
    <t>1</t>
  </si>
  <si>
    <t>マッピングしたファイルが出力されること。
作成ファイルパスがNo3-2-1またはNo3-2-2に準拠していること。</t>
    <rPh sb="21" eb="23">
      <t>サクセイ</t>
    </rPh>
    <rPh sb="48" eb="50">
      <t>ジュンキョ</t>
    </rPh>
    <phoneticPr fontId="16"/>
  </si>
  <si>
    <t>ファイルが出力されること。
作成ファイルパスがNo3-2-1またはNo3-2-2に準拠していること。</t>
    <phoneticPr fontId="16"/>
  </si>
  <si>
    <t>データ行1002行以上かつ、1000行未満と以降それぞれにコード変換エラーあり</t>
    <rPh sb="3" eb="4">
      <t>ギョウ</t>
    </rPh>
    <rPh sb="8" eb="9">
      <t>ギョウ</t>
    </rPh>
    <rPh sb="9" eb="11">
      <t>イジョウ</t>
    </rPh>
    <rPh sb="18" eb="19">
      <t>ギョウ</t>
    </rPh>
    <rPh sb="19" eb="21">
      <t>ミマン</t>
    </rPh>
    <rPh sb="22" eb="24">
      <t>イコウ</t>
    </rPh>
    <rPh sb="32" eb="34">
      <t>ヘンカン</t>
    </rPh>
    <phoneticPr fontId="16"/>
  </si>
  <si>
    <t>ヘッダー行有無</t>
    <rPh sb="4" eb="5">
      <t>ギョウ</t>
    </rPh>
    <rPh sb="5" eb="7">
      <t>ウム</t>
    </rPh>
    <phoneticPr fontId="16"/>
  </si>
  <si>
    <t>フッター行有無</t>
    <rPh sb="4" eb="7">
      <t>ギョウウム</t>
    </rPh>
    <phoneticPr fontId="16"/>
  </si>
  <si>
    <t>マッピング仕様通りマッピングされていること。</t>
  </si>
  <si>
    <t>マッピング定義通りであること。</t>
  </si>
  <si>
    <t>マッピング定義通りであること。</t>
    <rPh sb="5" eb="8">
      <t>テイギドオ</t>
    </rPh>
    <phoneticPr fontId="16"/>
  </si>
  <si>
    <t>可変長ファイル（入力ファイルが固定長の場合）</t>
    <rPh sb="0" eb="3">
      <t>カヘンチョウ</t>
    </rPh>
    <rPh sb="8" eb="10">
      <t>ニュウリョク</t>
    </rPh>
    <rPh sb="15" eb="18">
      <t>コテイチョウ</t>
    </rPh>
    <rPh sb="19" eb="21">
      <t>バアイ</t>
    </rPh>
    <phoneticPr fontId="16"/>
  </si>
  <si>
    <t>0埋めが削除されていること。</t>
    <rPh sb="1" eb="2">
      <t>ウ</t>
    </rPh>
    <rPh sb="4" eb="6">
      <t>サクジョ</t>
    </rPh>
    <phoneticPr fontId="16"/>
  </si>
  <si>
    <t>実際に連携される想定データのケース
※Agreementから推測</t>
    <rPh sb="0" eb="2">
      <t>ジッサイ</t>
    </rPh>
    <rPh sb="3" eb="5">
      <t>レンケイ</t>
    </rPh>
    <rPh sb="8" eb="10">
      <t>ソウテイ</t>
    </rPh>
    <rPh sb="30" eb="32">
      <t>スイソク</t>
    </rPh>
    <phoneticPr fontId="16"/>
  </si>
  <si>
    <t>固定値が設定されていること。</t>
    <rPh sb="0" eb="3">
      <t>コテイチ</t>
    </rPh>
    <rPh sb="4" eb="6">
      <t>セッテイ</t>
    </rPh>
    <phoneticPr fontId="16"/>
  </si>
  <si>
    <t>マッピング定義に記載されている固定値が設定されている</t>
    <rPh sb="5" eb="7">
      <t>テイギ</t>
    </rPh>
    <rPh sb="8" eb="10">
      <t>キサイ</t>
    </rPh>
    <rPh sb="15" eb="18">
      <t>コテイチ</t>
    </rPh>
    <rPh sb="19" eb="21">
      <t>セッテイ</t>
    </rPh>
    <phoneticPr fontId="16"/>
  </si>
  <si>
    <t>固定値</t>
    <rPh sb="0" eb="3">
      <t>コテイチ</t>
    </rPh>
    <phoneticPr fontId="16"/>
  </si>
  <si>
    <t>結果確認</t>
    <rPh sb="0" eb="4">
      <t>ケッカカクニン</t>
    </rPh>
    <phoneticPr fontId="16"/>
  </si>
  <si>
    <t>前0埋めされていること。</t>
    <rPh sb="0" eb="1">
      <t>マエ</t>
    </rPh>
    <rPh sb="2" eb="3">
      <t>ウ</t>
    </rPh>
    <phoneticPr fontId="16"/>
  </si>
  <si>
    <t>固定長ファイル</t>
    <rPh sb="0" eb="3">
      <t>コテイチョウ</t>
    </rPh>
    <phoneticPr fontId="16"/>
  </si>
  <si>
    <t>備考</t>
  </si>
  <si>
    <t>出力項目</t>
  </si>
  <si>
    <t>並び順</t>
  </si>
  <si>
    <t>マッピング後のファイルが存在する場合についてテスト
トリガーファイルが存在する場合のテストは、
個別テストで実施</t>
    <rPh sb="5" eb="6">
      <t>アト</t>
    </rPh>
    <rPh sb="12" eb="14">
      <t>ソンザイ</t>
    </rPh>
    <rPh sb="16" eb="18">
      <t>バアイ</t>
    </rPh>
    <rPh sb="35" eb="37">
      <t>ソンザイ</t>
    </rPh>
    <rPh sb="39" eb="41">
      <t>バアイ</t>
    </rPh>
    <rPh sb="48" eb="50">
      <t>コベツ</t>
    </rPh>
    <rPh sb="54" eb="56">
      <t>ジッシ</t>
    </rPh>
    <phoneticPr fontId="16"/>
  </si>
  <si>
    <t>本インターフェースでは、トリガーファイル出力が必要なためファイル出力先パスに、以下の2つのファイルが作成されていることを確認する。
　・マッピング後ファイル
　・トリガーファイル
(個別マッピング用定義ファイルの処理No=2をトリガーファイル名として用いる)</t>
    <rPh sb="0" eb="1">
      <t>ホン</t>
    </rPh>
    <rPh sb="20" eb="22">
      <t>シュツリョク</t>
    </rPh>
    <rPh sb="23" eb="25">
      <t>ヒツヨウ</t>
    </rPh>
    <rPh sb="32" eb="34">
      <t>シュツリョク</t>
    </rPh>
    <rPh sb="34" eb="35">
      <t>サキ</t>
    </rPh>
    <rPh sb="39" eb="41">
      <t>イカ</t>
    </rPh>
    <rPh sb="50" eb="52">
      <t>サクセイ</t>
    </rPh>
    <rPh sb="60" eb="62">
      <t>カクニン</t>
    </rPh>
    <rPh sb="73" eb="74">
      <t>ゴ</t>
    </rPh>
    <rPh sb="91" eb="93">
      <t>コベツ</t>
    </rPh>
    <rPh sb="98" eb="99">
      <t>ヨウ</t>
    </rPh>
    <rPh sb="99" eb="101">
      <t>テイギ</t>
    </rPh>
    <rPh sb="106" eb="108">
      <t>ショリ</t>
    </rPh>
    <rPh sb="121" eb="122">
      <t>メイ</t>
    </rPh>
    <rPh sb="125" eb="126">
      <t>モチ</t>
    </rPh>
    <phoneticPr fontId="16"/>
  </si>
  <si>
    <t>本インターフェースでは、トリガーファイル出力が必要なためファイル出力先パスに、以下の2つのファイルが作成されていることを確認する。
　・マッピング後ファイル
　・トリガーファイル
(個別マッピング用定義ファイルの処理No=2をトリガーファイル名として用いる)</t>
    <phoneticPr fontId="16"/>
  </si>
  <si>
    <t>指定桁数(固定長)未満パターン</t>
  </si>
  <si>
    <t>ISI</t>
    <phoneticPr fontId="16"/>
  </si>
  <si>
    <t>サンプルデータパターン</t>
    <phoneticPr fontId="16"/>
  </si>
  <si>
    <t>コード変換</t>
    <phoneticPr fontId="16"/>
  </si>
  <si>
    <t>コード変換表に値がある場合</t>
    <rPh sb="3" eb="6">
      <t>ヘンカンヒョウ</t>
    </rPh>
    <rPh sb="7" eb="8">
      <t>アタイ</t>
    </rPh>
    <rPh sb="11" eb="13">
      <t>バアイ</t>
    </rPh>
    <phoneticPr fontId="16"/>
  </si>
  <si>
    <t>出荷ポイント-事業所変換に従い変換されていること。</t>
  </si>
  <si>
    <t>2</t>
    <phoneticPr fontId="19"/>
  </si>
  <si>
    <t>変換元の値が空白の場合</t>
    <rPh sb="0" eb="3">
      <t>ヘンカンモト</t>
    </rPh>
    <rPh sb="4" eb="5">
      <t>アタイ</t>
    </rPh>
    <rPh sb="6" eb="8">
      <t>クウハク</t>
    </rPh>
    <rPh sb="9" eb="11">
      <t>バアイ</t>
    </rPh>
    <phoneticPr fontId="87"/>
  </si>
  <si>
    <t>空白のままとなること。</t>
    <rPh sb="0" eb="2">
      <t>クウハク</t>
    </rPh>
    <phoneticPr fontId="87"/>
  </si>
  <si>
    <t>コード変換表に値がない場合</t>
    <rPh sb="3" eb="6">
      <t>ヘンカンヒョウ</t>
    </rPh>
    <rPh sb="7" eb="8">
      <t>アタイ</t>
    </rPh>
    <rPh sb="11" eb="13">
      <t>バアイ</t>
    </rPh>
    <phoneticPr fontId="16"/>
  </si>
  <si>
    <t>ダミー値に変換</t>
    <rPh sb="3" eb="4">
      <t>チ</t>
    </rPh>
    <rPh sb="5" eb="7">
      <t>ヘンカン</t>
    </rPh>
    <phoneticPr fontId="16"/>
  </si>
  <si>
    <t>コード値</t>
    <phoneticPr fontId="16"/>
  </si>
  <si>
    <t>アプリケーションログが「ApplicationLogMT」であること。</t>
    <phoneticPr fontId="16"/>
  </si>
  <si>
    <t>ファイルデータがないこと。</t>
    <phoneticPr fontId="16"/>
  </si>
  <si>
    <t>受信ファイルに全項目空のファイル</t>
    <rPh sb="0" eb="2">
      <t>ジュシン</t>
    </rPh>
    <rPh sb="10" eb="11">
      <t>カラ</t>
    </rPh>
    <phoneticPr fontId="16"/>
  </si>
  <si>
    <t>改行コードがCRLFであること。</t>
    <phoneticPr fontId="16"/>
  </si>
  <si>
    <t>正常</t>
    <rPh sb="0" eb="2">
      <t>セイジョウ</t>
    </rPh>
    <phoneticPr fontId="16"/>
  </si>
  <si>
    <t>異常</t>
    <rPh sb="0" eb="2">
      <t>イジョウ</t>
    </rPh>
    <phoneticPr fontId="16"/>
  </si>
  <si>
    <t>(E309_BPFB0372)</t>
    <phoneticPr fontId="16"/>
  </si>
  <si>
    <t>固定長ファイル。区切りがないこと。</t>
    <phoneticPr fontId="16"/>
  </si>
  <si>
    <t>文字コードがUTF-8(BOMなし)であること。</t>
    <phoneticPr fontId="16"/>
  </si>
  <si>
    <t>ヘッダー行がないこと。</t>
    <phoneticPr fontId="16"/>
  </si>
  <si>
    <t>フッター行がないこと。</t>
    <phoneticPr fontId="16"/>
  </si>
  <si>
    <t>文字コードがEBCDICであること。</t>
    <phoneticPr fontId="16"/>
  </si>
  <si>
    <t>改行コードがないこと。</t>
    <phoneticPr fontId="16"/>
  </si>
  <si>
    <t>キー</t>
    <phoneticPr fontId="1"/>
  </si>
  <si>
    <t>Key</t>
    <phoneticPr fontId="1"/>
  </si>
  <si>
    <t>事業所コード</t>
  </si>
  <si>
    <t>0986</t>
    <phoneticPr fontId="1"/>
  </si>
  <si>
    <t>-</t>
  </si>
  <si>
    <t>-</t>
    <phoneticPr fontId="1"/>
  </si>
  <si>
    <t>ZMMT2XXX</t>
    <phoneticPr fontId="1"/>
  </si>
  <si>
    <t>X</t>
    <phoneticPr fontId="1"/>
  </si>
  <si>
    <t>コード変換表#XXX(仮)</t>
    <phoneticPr fontId="1"/>
  </si>
  <si>
    <t>1234567890</t>
    <phoneticPr fontId="1"/>
  </si>
  <si>
    <t>123456789012</t>
    <phoneticPr fontId="1"/>
  </si>
  <si>
    <t>前0バディング</t>
    <phoneticPr fontId="1"/>
  </si>
  <si>
    <t>123456</t>
    <phoneticPr fontId="1"/>
  </si>
  <si>
    <t>12</t>
    <phoneticPr fontId="1"/>
  </si>
  <si>
    <t>12345</t>
    <phoneticPr fontId="1"/>
  </si>
  <si>
    <t>発注先コード</t>
  </si>
  <si>
    <t>9901002</t>
    <phoneticPr fontId="1"/>
  </si>
  <si>
    <t>KNA1</t>
    <phoneticPr fontId="1"/>
  </si>
  <si>
    <t>NAME1</t>
    <phoneticPr fontId="1"/>
  </si>
  <si>
    <t>・SAP項目に半角文字列が含まれていた場合は全角に変換
・SAP項目の左から20文字分を切り取って設定（桁あふれ分はカット）
・桁数に満たない場合、後ろを全角スペース埋めする
・文字列の前後に制御文字（0E,0F）を付与する</t>
    <phoneticPr fontId="1"/>
  </si>
  <si>
    <t>申請日</t>
  </si>
  <si>
    <t>20260201</t>
    <phoneticPr fontId="1"/>
  </si>
  <si>
    <t>20260210</t>
    <phoneticPr fontId="1"/>
  </si>
  <si>
    <t>123456789</t>
    <phoneticPr fontId="1"/>
  </si>
  <si>
    <t>共通配送先コード</t>
  </si>
  <si>
    <t>1</t>
    <phoneticPr fontId="1"/>
  </si>
  <si>
    <t>ADRP</t>
    <phoneticPr fontId="1"/>
  </si>
  <si>
    <t>NAME_LAST
NAME_FIRST</t>
    <phoneticPr fontId="1"/>
  </si>
  <si>
    <t>10</t>
    <phoneticPr fontId="1"/>
  </si>
  <si>
    <t>物流が「産直」の場合、「40：産直」
物流が「冷蔵庫出庫」かつ配送区分が「8：出荷指示も配送依頼も自動FAXまたはオンライン」の場合、「10：物流便」
物流が「冷蔵庫出庫」かつ配送区分が「6：出荷指示は自動FAXまたはオンライン、配送依頼はシステムから出力しない」の場合、「30：自家取便」
「00：配送なし」「50：各課便」は連携なし</t>
    <phoneticPr fontId="1"/>
  </si>
  <si>
    <t>[返答]
　00：配送なし
　10：物流便
　20：物流特別便
　30：自家取便
　40：産直
　50：各課便</t>
    <phoneticPr fontId="1"/>
  </si>
  <si>
    <t>01</t>
    <phoneticPr fontId="1"/>
  </si>
  <si>
    <t>00</t>
    <phoneticPr fontId="1"/>
  </si>
  <si>
    <t>NH引当区分=2,3の場合
 [返答]
　00：通常便
　02：2便
　88：繰上便
NH引当区分=1,4,5の場合
 [任意]</t>
    <phoneticPr fontId="1"/>
  </si>
  <si>
    <t>9102202</t>
    <phoneticPr fontId="1"/>
  </si>
  <si>
    <t>ｱﾒﾘｶｻﾝｼｮｰﾄﾌﾟﾚｰﾄ</t>
    <phoneticPr fontId="1"/>
  </si>
  <si>
    <t>MAKT</t>
    <phoneticPr fontId="1"/>
  </si>
  <si>
    <t>ZZAFMN</t>
    <phoneticPr fontId="1"/>
  </si>
  <si>
    <t>ブランドコード</t>
  </si>
  <si>
    <t>1234</t>
    <phoneticPr fontId="1"/>
  </si>
  <si>
    <t>ブランドコード</t>
    <phoneticPr fontId="1"/>
  </si>
  <si>
    <t>123</t>
    <phoneticPr fontId="1"/>
  </si>
  <si>
    <t>ABCDEFG</t>
    <phoneticPr fontId="1"/>
  </si>
  <si>
    <t>ZMDT0002</t>
    <phoneticPr fontId="1"/>
  </si>
  <si>
    <t>ZZBRAND_TEXT</t>
    <phoneticPr fontId="1"/>
  </si>
  <si>
    <t>9000001</t>
    <phoneticPr fontId="1"/>
  </si>
  <si>
    <t>BUT0000</t>
    <phoneticPr fontId="1"/>
  </si>
  <si>
    <t>NAME_ORG2</t>
    <phoneticPr fontId="1"/>
  </si>
  <si>
    <t>0000676</t>
    <phoneticPr fontId="1"/>
  </si>
  <si>
    <t>00676</t>
    <phoneticPr fontId="1"/>
  </si>
  <si>
    <t>関東ＮＦ京葉</t>
    <phoneticPr fontId="1"/>
  </si>
  <si>
    <t>※フードの得意先は移行対象であるのか確認待ち</t>
    <phoneticPr fontId="1"/>
  </si>
  <si>
    <t>冷蔵庫コード</t>
  </si>
  <si>
    <t>※冷蔵庫出庫の場合のみ</t>
    <phoneticPr fontId="1"/>
  </si>
  <si>
    <t>冷ロット№</t>
  </si>
  <si>
    <t>社内ロット№</t>
  </si>
  <si>
    <t>00000012345</t>
    <phoneticPr fontId="1"/>
  </si>
  <si>
    <t>0012345</t>
    <phoneticPr fontId="1"/>
  </si>
  <si>
    <t>ケース数</t>
    <phoneticPr fontId="1"/>
  </si>
  <si>
    <t>ケース数</t>
  </si>
  <si>
    <t>00012</t>
    <phoneticPr fontId="1"/>
  </si>
  <si>
    <t>重量（KG）</t>
  </si>
  <si>
    <t>賞味期限</t>
  </si>
  <si>
    <t>20270101</t>
    <phoneticPr fontId="1"/>
  </si>
  <si>
    <t>20260510</t>
    <phoneticPr fontId="1"/>
  </si>
  <si>
    <t>・SAP項目に半角文字列が含まれていた場合は全角に変換
・SAP項目の左から25文字分を切り取って設定（桁あふれ分はカット）
・桁数に満たない場合、後ろを全角スペース埋めする
・文字列の前後に制御文字（0E,0F）を付与する</t>
    <phoneticPr fontId="1"/>
  </si>
  <si>
    <t>発注先入庫日</t>
  </si>
  <si>
    <t>食肉・ピュアが商品を入庫した日</t>
    <phoneticPr fontId="1"/>
  </si>
  <si>
    <t>発注先仕入先コード</t>
  </si>
  <si>
    <t>食肉・ピュアが商品を仕入れた仕入先コード</t>
    <phoneticPr fontId="1"/>
  </si>
  <si>
    <t>発注先仕入先名（カナ）</t>
    <phoneticPr fontId="1"/>
  </si>
  <si>
    <t>発注先仕入先名（カナ）</t>
  </si>
  <si>
    <t>NF発注伝票№</t>
  </si>
  <si>
    <t>1234567</t>
    <phoneticPr fontId="1"/>
  </si>
  <si>
    <t>食肉事業本部　輸入食肉事業部　チルドビーフ課</t>
    <phoneticPr fontId="1"/>
  </si>
  <si>
    <t>食肉ＮＦ紐付管理№</t>
  </si>
  <si>
    <t>※連携番号に関しては確認。BTPから採番される共通番号になる想定</t>
    <phoneticPr fontId="1"/>
  </si>
  <si>
    <t>20260215</t>
    <phoneticPr fontId="1"/>
  </si>
  <si>
    <t>083030</t>
    <phoneticPr fontId="1"/>
  </si>
  <si>
    <t>S061</t>
    <phoneticPr fontId="1"/>
  </si>
  <si>
    <t>2</t>
    <phoneticPr fontId="1"/>
  </si>
  <si>
    <t>0</t>
    <phoneticPr fontId="1"/>
  </si>
  <si>
    <t>00000000</t>
    <phoneticPr fontId="1"/>
  </si>
  <si>
    <t>ゼロ</t>
    <phoneticPr fontId="1"/>
  </si>
  <si>
    <t>000000</t>
    <phoneticPr fontId="1"/>
  </si>
  <si>
    <t>セロ</t>
    <phoneticPr fontId="1"/>
  </si>
  <si>
    <t>チェーンコード</t>
  </si>
  <si>
    <t>ブランク</t>
    <phoneticPr fontId="1"/>
  </si>
  <si>
    <t>チェーン名（漢字）</t>
  </si>
  <si>
    <t>全角スペース埋め
文字列の前後に制御文字(0E,0F)を付与する</t>
    <phoneticPr fontId="1"/>
  </si>
  <si>
    <t>チェーン略称（漢字）</t>
  </si>
  <si>
    <t>[返答]売上先名称</t>
    <phoneticPr fontId="1"/>
  </si>
  <si>
    <t>社内ロット№枝番</t>
  </si>
  <si>
    <t>引当優先順位</t>
  </si>
  <si>
    <t>「01」固定</t>
    <phoneticPr fontId="1"/>
  </si>
  <si>
    <t>NF発注伝票区分</t>
    <phoneticPr fontId="1"/>
  </si>
  <si>
    <t>受発注連携システム（Outbound）</t>
    <phoneticPr fontId="1"/>
  </si>
  <si>
    <t>フード_BIシステム</t>
    <phoneticPr fontId="1"/>
  </si>
  <si>
    <t>更新履歴</t>
    <phoneticPr fontId="1"/>
  </si>
  <si>
    <t>共通</t>
    <phoneticPr fontId="1"/>
  </si>
  <si>
    <t>BTP項目マッピング</t>
    <phoneticPr fontId="1"/>
  </si>
  <si>
    <t>IF基盤編集内容</t>
    <phoneticPr fontId="1"/>
  </si>
  <si>
    <t>Common</t>
    <phoneticPr fontId="1"/>
  </si>
  <si>
    <t>BTP field mapping</t>
    <phoneticPr fontId="1"/>
  </si>
  <si>
    <t>中間テーブル</t>
    <phoneticPr fontId="1"/>
  </si>
  <si>
    <t>IF Arch edit description</t>
    <phoneticPr fontId="1"/>
  </si>
  <si>
    <t>並び順</t>
    <phoneticPr fontId="1"/>
  </si>
  <si>
    <t>項目名</t>
    <phoneticPr fontId="1"/>
  </si>
  <si>
    <t>サンプル値</t>
    <phoneticPr fontId="1"/>
  </si>
  <si>
    <t>用途　
*リスト値項目の場合全パターンを記載、または参照先文書(コード定義書等)を明示</t>
    <phoneticPr fontId="1"/>
  </si>
  <si>
    <t>必須</t>
    <phoneticPr fontId="1"/>
  </si>
  <si>
    <t>ソートキー</t>
    <phoneticPr fontId="1"/>
  </si>
  <si>
    <t>属性</t>
    <phoneticPr fontId="1"/>
  </si>
  <si>
    <t>桁数</t>
    <phoneticPr fontId="1"/>
  </si>
  <si>
    <t>小数部
桁数</t>
    <phoneticPr fontId="1"/>
  </si>
  <si>
    <t>マイナス値
あり</t>
    <phoneticPr fontId="1"/>
  </si>
  <si>
    <t>エンティティ/
テーブル名</t>
    <phoneticPr fontId="1"/>
  </si>
  <si>
    <t>補足</t>
    <phoneticPr fontId="1"/>
  </si>
  <si>
    <t>用途
*リスト値項目の場合全パターン記載</t>
    <phoneticPr fontId="1"/>
  </si>
  <si>
    <t>編集要否</t>
    <phoneticPr fontId="1"/>
  </si>
  <si>
    <t>編集区分</t>
    <phoneticPr fontId="1"/>
  </si>
  <si>
    <t>編集内容</t>
    <phoneticPr fontId="1"/>
  </si>
  <si>
    <t>Ver</t>
    <phoneticPr fontId="1"/>
  </si>
  <si>
    <t>更新区分</t>
    <phoneticPr fontId="1"/>
  </si>
  <si>
    <t>更新内容</t>
    <phoneticPr fontId="1"/>
  </si>
  <si>
    <t>Order</t>
    <phoneticPr fontId="1"/>
  </si>
  <si>
    <t>Field name</t>
    <phoneticPr fontId="1"/>
  </si>
  <si>
    <t>Sample data</t>
    <phoneticPr fontId="1"/>
  </si>
  <si>
    <t>Usage
*in case of list selection field, specify all list values or reference document such as code definition.</t>
    <phoneticPr fontId="1"/>
  </si>
  <si>
    <t>Required</t>
    <phoneticPr fontId="1"/>
  </si>
  <si>
    <t>Sort key</t>
    <phoneticPr fontId="1"/>
  </si>
  <si>
    <t>Attribute</t>
    <phoneticPr fontId="1"/>
  </si>
  <si>
    <t>Length</t>
    <phoneticPr fontId="1"/>
  </si>
  <si>
    <t>decimal length</t>
    <phoneticPr fontId="1"/>
  </si>
  <si>
    <t>Possibility of negative number</t>
    <phoneticPr fontId="1"/>
  </si>
  <si>
    <t>Entity/Table name</t>
    <phoneticPr fontId="1"/>
  </si>
  <si>
    <t>Remarks</t>
    <phoneticPr fontId="1"/>
  </si>
  <si>
    <t>Edit requirement</t>
    <phoneticPr fontId="1"/>
  </si>
  <si>
    <t>Edit category</t>
    <phoneticPr fontId="1"/>
  </si>
  <si>
    <t>Edit process details</t>
    <phoneticPr fontId="1"/>
  </si>
  <si>
    <t>Update category</t>
    <phoneticPr fontId="1"/>
  </si>
  <si>
    <t>Update details</t>
    <phoneticPr fontId="1"/>
  </si>
  <si>
    <t>事業所コード</t>
    <phoneticPr fontId="1"/>
  </si>
  <si>
    <t>発注元となるフードの事業所コード</t>
    <phoneticPr fontId="1"/>
  </si>
  <si>
    <t>文字型/Text</t>
    <phoneticPr fontId="1"/>
  </si>
  <si>
    <t>発注一覧</t>
    <phoneticPr fontId="1"/>
  </si>
  <si>
    <t>EOS発注の「フード事業所コード」をセット</t>
    <phoneticPr fontId="1"/>
  </si>
  <si>
    <t>文字型(半角)/Text</t>
    <phoneticPr fontId="1"/>
  </si>
  <si>
    <t>C：コード・区分変換</t>
    <phoneticPr fontId="1"/>
  </si>
  <si>
    <t>発注依頼番号</t>
  </si>
  <si>
    <t>発注依頼番号</t>
    <phoneticPr fontId="1"/>
  </si>
  <si>
    <t>発注伝票番号</t>
    <phoneticPr fontId="1"/>
  </si>
  <si>
    <t>EOS発注の「フード側での採番番号」をセット</t>
    <phoneticPr fontId="1"/>
  </si>
  <si>
    <t>T：テキスト操作</t>
    <phoneticPr fontId="1"/>
  </si>
  <si>
    <t>発注依頼行番号</t>
  </si>
  <si>
    <t>発注依頼行番号</t>
    <phoneticPr fontId="1"/>
  </si>
  <si>
    <t>伝票に基づく明細番号</t>
    <phoneticPr fontId="1"/>
  </si>
  <si>
    <t>発注明細番号</t>
    <phoneticPr fontId="1"/>
  </si>
  <si>
    <t>後尾1桁をカット
前0バディング</t>
    <phoneticPr fontId="1"/>
  </si>
  <si>
    <t>発注依頼行番号枝番</t>
  </si>
  <si>
    <t>発注依頼行番号枝番</t>
    <phoneticPr fontId="1"/>
  </si>
  <si>
    <t>紐づくロット番号単位で連番で採番</t>
    <phoneticPr fontId="1"/>
  </si>
  <si>
    <t>紐づくロット番号単位で1から連番で採番
※冷蔵庫出庫の場合のみ</t>
    <phoneticPr fontId="1"/>
  </si>
  <si>
    <t>食肉側でロットごとに付番</t>
    <phoneticPr fontId="1"/>
  </si>
  <si>
    <t>発注先コード</t>
    <phoneticPr fontId="1"/>
  </si>
  <si>
    <t>売上計上事務所の取引先コード</t>
    <phoneticPr fontId="1"/>
  </si>
  <si>
    <t>取引先</t>
    <phoneticPr fontId="1"/>
  </si>
  <si>
    <t>[返答]売上計上事務所の取引先コード
※9+食肉・ピュア・フードの事業所ｺｰﾄﾞ</t>
    <phoneticPr fontId="1"/>
  </si>
  <si>
    <t>コード変換表#XXX(仮)
SAP7桁コード→BIシステム5桁コードに変換</t>
    <phoneticPr fontId="1"/>
  </si>
  <si>
    <t>発注先名</t>
  </si>
  <si>
    <t>発注先名</t>
    <phoneticPr fontId="1"/>
  </si>
  <si>
    <t>発注先事業所取引先名</t>
    <phoneticPr fontId="1"/>
  </si>
  <si>
    <t>食肉事業本部　輸入食肉事業部　チルドビー</t>
    <phoneticPr fontId="1"/>
  </si>
  <si>
    <t>文字型(全角)/Text</t>
    <phoneticPr fontId="1"/>
  </si>
  <si>
    <t>更新</t>
    <phoneticPr fontId="1"/>
  </si>
  <si>
    <t>・サンプル値更新
食肉事業本部　輸入食肉事業部　チルドビーフ課
→食肉事業本部　輸入食肉事業部　チルドビーに修正
・編集内容更新</t>
    <phoneticPr fontId="1"/>
  </si>
  <si>
    <t>申請日</t>
    <phoneticPr fontId="1"/>
  </si>
  <si>
    <t>フードが発注を行った日</t>
    <phoneticPr fontId="1"/>
  </si>
  <si>
    <t>発注日</t>
    <phoneticPr fontId="1"/>
  </si>
  <si>
    <t>EOS発注の「申請日」をセット</t>
    <phoneticPr fontId="1"/>
  </si>
  <si>
    <t>数値型/Number</t>
    <phoneticPr fontId="1"/>
  </si>
  <si>
    <t>申請着日</t>
  </si>
  <si>
    <t>申請着日</t>
    <phoneticPr fontId="1"/>
  </si>
  <si>
    <t>フードが希望した着日</t>
    <phoneticPr fontId="1"/>
  </si>
  <si>
    <t>予定着日</t>
    <phoneticPr fontId="1"/>
  </si>
  <si>
    <t>EOS発注の「配送先着日」をセット</t>
    <phoneticPr fontId="1"/>
  </si>
  <si>
    <t>返答着日</t>
  </si>
  <si>
    <t>返答着日</t>
    <phoneticPr fontId="1"/>
  </si>
  <si>
    <t>食肉が回答した着日</t>
    <phoneticPr fontId="1"/>
  </si>
  <si>
    <t>着日</t>
    <phoneticPr fontId="1"/>
  </si>
  <si>
    <t>[返答]配送先着日</t>
    <phoneticPr fontId="1"/>
  </si>
  <si>
    <t>共通配送先コード</t>
    <phoneticPr fontId="1"/>
  </si>
  <si>
    <t>[返答]共通配送先コード</t>
    <phoneticPr fontId="1"/>
  </si>
  <si>
    <t>共通配送先名</t>
  </si>
  <si>
    <t>共通配送先名</t>
    <phoneticPr fontId="1"/>
  </si>
  <si>
    <t>関東ＮＦ㈱京葉</t>
    <phoneticPr fontId="1"/>
  </si>
  <si>
    <t>[返答]共通配送先名</t>
    <phoneticPr fontId="1"/>
  </si>
  <si>
    <t>編集内容更新</t>
    <phoneticPr fontId="1"/>
  </si>
  <si>
    <t>直送区分</t>
  </si>
  <si>
    <t>直送区分</t>
    <phoneticPr fontId="1"/>
  </si>
  <si>
    <t>1：NF得意先直送</t>
    <phoneticPr fontId="1"/>
  </si>
  <si>
    <t>物流が「産直」の場合、「1：NF得意先直送」で連携</t>
    <phoneticPr fontId="1"/>
  </si>
  <si>
    <t>1：NF得意先直送 or ブランク</t>
    <phoneticPr fontId="1"/>
  </si>
  <si>
    <t>発注担当者</t>
  </si>
  <si>
    <t>発注担当者</t>
    <phoneticPr fontId="1"/>
  </si>
  <si>
    <t>山本　太郎</t>
    <phoneticPr fontId="1"/>
  </si>
  <si>
    <t>発注担当者姓名</t>
    <phoneticPr fontId="1"/>
  </si>
  <si>
    <t>EOS発注の「発注担当者」をセット</t>
    <phoneticPr fontId="1"/>
  </si>
  <si>
    <t>配送形態</t>
  </si>
  <si>
    <t>配送形態</t>
    <phoneticPr fontId="1"/>
  </si>
  <si>
    <t>出庫配送区分名
XX：各課便、XX：産直、XX：自家取、XX：配送無、XX：物流便</t>
    <phoneticPr fontId="1"/>
  </si>
  <si>
    <t>便区分</t>
  </si>
  <si>
    <t>便区分</t>
    <phoneticPr fontId="1"/>
  </si>
  <si>
    <t>便区分
XX：早出便、XX：通常便、XX：日中便</t>
    <phoneticPr fontId="1"/>
  </si>
  <si>
    <t>To-Beでは便区分が「通常便」と「早出し便」のみとなる</t>
    <phoneticPr fontId="1"/>
  </si>
  <si>
    <t>品名コード</t>
  </si>
  <si>
    <t>品名コード</t>
    <phoneticPr fontId="1"/>
  </si>
  <si>
    <t>回答品目コード</t>
    <phoneticPr fontId="1"/>
  </si>
  <si>
    <t>品目コード</t>
    <phoneticPr fontId="1"/>
  </si>
  <si>
    <t>[返答]品名コード</t>
    <phoneticPr fontId="1"/>
  </si>
  <si>
    <t>品名（15桁）</t>
  </si>
  <si>
    <t>品名（15桁）</t>
    <phoneticPr fontId="1"/>
  </si>
  <si>
    <t>回答品目名</t>
    <phoneticPr fontId="1"/>
  </si>
  <si>
    <t>[返答]品名</t>
    <phoneticPr fontId="1"/>
  </si>
  <si>
    <t>全社品名コード</t>
  </si>
  <si>
    <t>全社品名コード</t>
    <phoneticPr fontId="1"/>
  </si>
  <si>
    <t>[返答]全社品名コード</t>
    <phoneticPr fontId="1"/>
  </si>
  <si>
    <t>QA ＃0263 統合マスタで採番している</t>
    <phoneticPr fontId="1"/>
  </si>
  <si>
    <t>回答銘柄コード</t>
    <phoneticPr fontId="1"/>
  </si>
  <si>
    <t>[返答]ブランドコード</t>
    <phoneticPr fontId="1"/>
  </si>
  <si>
    <t>コード変換表#XXX(仮)
SAP4桁コード→BIシステム3桁コードに変換</t>
    <phoneticPr fontId="1"/>
  </si>
  <si>
    <t>ブランド名（15桁）</t>
  </si>
  <si>
    <t>ブランド名（15桁）</t>
    <phoneticPr fontId="1"/>
  </si>
  <si>
    <t>回答銘柄名</t>
    <phoneticPr fontId="1"/>
  </si>
  <si>
    <t>※データ粒度の確認が必要</t>
    <phoneticPr fontId="1"/>
  </si>
  <si>
    <t>[返答]ブランド名</t>
    <phoneticPr fontId="1"/>
  </si>
  <si>
    <t>後尾25桁をカット</t>
    <phoneticPr fontId="1"/>
  </si>
  <si>
    <t>規格コード</t>
  </si>
  <si>
    <t>規格コード</t>
    <phoneticPr fontId="1"/>
  </si>
  <si>
    <t>回答規格コード</t>
    <phoneticPr fontId="1"/>
  </si>
  <si>
    <t>[返答]規格コード</t>
    <phoneticPr fontId="1"/>
  </si>
  <si>
    <t>コード変換表#XXX(仮)
SAP10桁コード→BIシステム3桁コードに変換</t>
    <phoneticPr fontId="1"/>
  </si>
  <si>
    <t>規格名</t>
  </si>
  <si>
    <t>規格名</t>
    <phoneticPr fontId="1"/>
  </si>
  <si>
    <t>回答規格名</t>
    <phoneticPr fontId="1"/>
  </si>
  <si>
    <t>規格（入数）</t>
    <phoneticPr fontId="1"/>
  </si>
  <si>
    <t>[返答]規格名</t>
    <phoneticPr fontId="1"/>
  </si>
  <si>
    <t>工場コード</t>
  </si>
  <si>
    <t>工場コード</t>
    <phoneticPr fontId="1"/>
  </si>
  <si>
    <t>回答工場コード</t>
    <phoneticPr fontId="1"/>
  </si>
  <si>
    <t>工場</t>
    <phoneticPr fontId="1"/>
  </si>
  <si>
    <t>[返答]工場コード</t>
    <phoneticPr fontId="1"/>
  </si>
  <si>
    <t>コード変換表#XXX(仮)
SAP7桁コード→BIシステム3桁コードに変換</t>
    <phoneticPr fontId="1"/>
  </si>
  <si>
    <t>工場名</t>
  </si>
  <si>
    <t>工場名</t>
    <phoneticPr fontId="1"/>
  </si>
  <si>
    <t>回答工場名</t>
    <phoneticPr fontId="1"/>
  </si>
  <si>
    <t>[返答]工場名</t>
    <phoneticPr fontId="1"/>
  </si>
  <si>
    <t>後尾30桁をカット</t>
    <phoneticPr fontId="1"/>
  </si>
  <si>
    <t>仕向先コード</t>
  </si>
  <si>
    <t>仕向先コード</t>
    <phoneticPr fontId="1"/>
  </si>
  <si>
    <t>返答する仕向け先コード</t>
    <phoneticPr fontId="1"/>
  </si>
  <si>
    <t>[返答]仕向け先コード</t>
    <phoneticPr fontId="1"/>
  </si>
  <si>
    <t>仕向先名</t>
  </si>
  <si>
    <t>仕向先名</t>
    <phoneticPr fontId="1"/>
  </si>
  <si>
    <t>返答する仕向け先名</t>
    <phoneticPr fontId="1"/>
  </si>
  <si>
    <t>[返答]仕向け先名</t>
    <phoneticPr fontId="1"/>
  </si>
  <si>
    <t>得意先名</t>
  </si>
  <si>
    <t>得意先名</t>
    <phoneticPr fontId="1"/>
  </si>
  <si>
    <t>フードの得意先名</t>
    <phoneticPr fontId="1"/>
  </si>
  <si>
    <t>〇〇会社</t>
    <phoneticPr fontId="1"/>
  </si>
  <si>
    <t>EOS発注の「得意先名」をセット</t>
    <phoneticPr fontId="1"/>
  </si>
  <si>
    <t>冷蔵庫コード</t>
    <phoneticPr fontId="1"/>
  </si>
  <si>
    <t>出荷元コード</t>
    <phoneticPr fontId="1"/>
  </si>
  <si>
    <t>NH引当区分=2,3の場合
　［返答］冷蔵庫コード
NH引当区分=1,4,5の場合
　［任意］</t>
    <phoneticPr fontId="1"/>
  </si>
  <si>
    <t>冷蔵庫名</t>
  </si>
  <si>
    <t>冷蔵庫名</t>
    <phoneticPr fontId="1"/>
  </si>
  <si>
    <t>取引先マスタ</t>
    <phoneticPr fontId="1"/>
  </si>
  <si>
    <t>取引先名</t>
    <phoneticPr fontId="1"/>
  </si>
  <si>
    <t>〇〇庫</t>
    <phoneticPr fontId="1"/>
  </si>
  <si>
    <t>NH引当区分=2,3の場合
　［返答］冷蔵庫名
NH引当区分=1,4,5の場合
　［任意］</t>
    <phoneticPr fontId="1"/>
  </si>
  <si>
    <t>冷ロット№</t>
    <phoneticPr fontId="1"/>
  </si>
  <si>
    <t>冷ロット番号</t>
    <phoneticPr fontId="1"/>
  </si>
  <si>
    <t>受注一覧</t>
    <phoneticPr fontId="1"/>
  </si>
  <si>
    <t>NH引当区分=2,3の場合
　［返答］冷ロットNo.
NH引当区分=1,4,5の場合
　［任意］</t>
    <phoneticPr fontId="1"/>
  </si>
  <si>
    <t>社内ロット№</t>
    <phoneticPr fontId="1"/>
  </si>
  <si>
    <t>社内ロット番号</t>
    <phoneticPr fontId="1"/>
  </si>
  <si>
    <t>NH引当区分=2,3の場合
　［返答］社内ロットNo.
NH引当区分=1,4,5の場合
　［任意］</t>
    <phoneticPr fontId="1"/>
  </si>
  <si>
    <t>発注数量</t>
  </si>
  <si>
    <t>発注数量</t>
    <phoneticPr fontId="1"/>
  </si>
  <si>
    <t>希望数量</t>
    <phoneticPr fontId="1"/>
  </si>
  <si>
    <t>EOS発注の「発注数量」をセット</t>
    <phoneticPr fontId="1"/>
  </si>
  <si>
    <t>先頭2桁をカット
小数点なし
12.345→00000012345</t>
    <phoneticPr fontId="1"/>
  </si>
  <si>
    <t>発注希望単価</t>
  </si>
  <si>
    <t>発注希望単価</t>
    <phoneticPr fontId="1"/>
  </si>
  <si>
    <t>希望単価</t>
    <phoneticPr fontId="1"/>
  </si>
  <si>
    <t>EOS発注の「発注希望単価」をセット</t>
    <phoneticPr fontId="1"/>
  </si>
  <si>
    <t>先頭6桁をカット
小数点なし
123.45→0012345</t>
    <phoneticPr fontId="1"/>
  </si>
  <si>
    <t>返答数量</t>
  </si>
  <si>
    <t>返答数量</t>
    <phoneticPr fontId="1"/>
  </si>
  <si>
    <t>回答数量</t>
    <phoneticPr fontId="1"/>
  </si>
  <si>
    <t>確定数量</t>
    <phoneticPr fontId="1"/>
  </si>
  <si>
    <t>[返答]返答数量</t>
    <phoneticPr fontId="1"/>
  </si>
  <si>
    <t>返答単価</t>
  </si>
  <si>
    <t>返答単価</t>
    <phoneticPr fontId="1"/>
  </si>
  <si>
    <t>回答単価</t>
    <phoneticPr fontId="1"/>
  </si>
  <si>
    <t>[返答]返答単価</t>
    <phoneticPr fontId="1"/>
  </si>
  <si>
    <t>工場出荷時のケース数量</t>
    <phoneticPr fontId="1"/>
  </si>
  <si>
    <t>NH引当区分=2,3の場合
 [返答]ケース数
NH引当区分=1,4,5の場合
 [任意]</t>
    <phoneticPr fontId="1"/>
  </si>
  <si>
    <t>先頭8桁と小数部をカット
小数点なし
12.345→00012</t>
    <phoneticPr fontId="1"/>
  </si>
  <si>
    <t>重量（KG）</t>
    <phoneticPr fontId="1"/>
  </si>
  <si>
    <t>工場出荷時の重量</t>
    <phoneticPr fontId="1"/>
  </si>
  <si>
    <t>確定重量</t>
    <phoneticPr fontId="1"/>
  </si>
  <si>
    <t xml:space="preserve">NH引当区分=2,3の場合
 [返答]重量（KG）
NH引当区分=1,4,5の場合
 [任意]
※工場出荷は変換した値 </t>
    <phoneticPr fontId="1"/>
  </si>
  <si>
    <t>小数点なし
12.345→00000012345</t>
    <phoneticPr fontId="1"/>
  </si>
  <si>
    <t>賞味期限</t>
    <phoneticPr fontId="1"/>
  </si>
  <si>
    <t>[返答]賞味期限</t>
    <phoneticPr fontId="1"/>
  </si>
  <si>
    <t>フード向けヘッダ摘要</t>
  </si>
  <si>
    <t>フード向けヘッダ摘要</t>
    <phoneticPr fontId="1"/>
  </si>
  <si>
    <t>備考情報入力用</t>
    <phoneticPr fontId="1"/>
  </si>
  <si>
    <t>備考</t>
    <phoneticPr fontId="1"/>
  </si>
  <si>
    <t>[返答]フード向けヘッダ摘要</t>
    <phoneticPr fontId="1"/>
  </si>
  <si>
    <t>発注先入庫日</t>
    <phoneticPr fontId="1"/>
  </si>
  <si>
    <t>[返答]発注先入庫日
※食肉・ピュアが商品を入庫した日</t>
    <phoneticPr fontId="1"/>
  </si>
  <si>
    <t>発注先仕入先コード</t>
    <phoneticPr fontId="1"/>
  </si>
  <si>
    <t>製造工場</t>
    <phoneticPr fontId="1"/>
  </si>
  <si>
    <t>[返答]発注先仕入先コード
※食肉・ピュアが商品を仕入れた仕入先コード</t>
    <phoneticPr fontId="1"/>
  </si>
  <si>
    <t>食肉・ピュアが商品を仕入れた仕入先名</t>
    <phoneticPr fontId="1"/>
  </si>
  <si>
    <t>[返答]発注先仕入先名（カナ）</t>
    <phoneticPr fontId="1"/>
  </si>
  <si>
    <t>NF発注伝票№</t>
    <phoneticPr fontId="1"/>
  </si>
  <si>
    <t>食肉からの仕入情報の伝票番号</t>
    <phoneticPr fontId="1"/>
  </si>
  <si>
    <t>[返答]NF発注伝票No.</t>
    <phoneticPr fontId="1"/>
  </si>
  <si>
    <t>先頭4桁をカット</t>
    <phoneticPr fontId="1"/>
  </si>
  <si>
    <t>NF発注伝票行№</t>
  </si>
  <si>
    <t>NF発注伝票行№</t>
    <phoneticPr fontId="1"/>
  </si>
  <si>
    <t>食肉からの仕入情報の伝票番号に基づく明細番号</t>
    <phoneticPr fontId="1"/>
  </si>
  <si>
    <t>[返答]NF発注伝票行No.</t>
    <phoneticPr fontId="1"/>
  </si>
  <si>
    <t>食肉ＮＦ紐付事業所コード</t>
  </si>
  <si>
    <t>食肉ＮＦ紐付事業所コード</t>
    <phoneticPr fontId="1"/>
  </si>
  <si>
    <t>売上計上事業所コード</t>
    <phoneticPr fontId="1"/>
  </si>
  <si>
    <t>[返答]食肉NF紐付事業所コード
※売上計上事業所コード</t>
    <phoneticPr fontId="1"/>
  </si>
  <si>
    <t>コード変換表#XXX(仮)
SAP7桁コード→BIシステム4桁コードに変換</t>
    <phoneticPr fontId="1"/>
  </si>
  <si>
    <t>食肉ＮＦ紐付事業所名</t>
  </si>
  <si>
    <t>食肉ＮＦ紐付事業所名</t>
    <phoneticPr fontId="1"/>
  </si>
  <si>
    <t>[返答]食肉NF紐付事業所名
※No.10発注先名をセット</t>
    <phoneticPr fontId="1"/>
  </si>
  <si>
    <t>食肉ＮＦ紐付管理№</t>
    <phoneticPr fontId="1"/>
  </si>
  <si>
    <t>フード新販売のための紐付キー。食肉では「伝票区分(1桁)+伝票№(6桁)」を左詰でセットする。</t>
    <phoneticPr fontId="1"/>
  </si>
  <si>
    <t>受注依頼番号</t>
    <phoneticPr fontId="1"/>
  </si>
  <si>
    <t>[返答]食肉NF紐付管理No.
※フード新販売のための紐付キー。食肉では「伝票区分(1桁)+伝票№(6桁)」を左詰でセットする。</t>
    <phoneticPr fontId="1"/>
  </si>
  <si>
    <t>食肉ＮＦ紐付管理№枝番</t>
  </si>
  <si>
    <t>食肉ＮＦ紐付管理№枝番</t>
    <phoneticPr fontId="1"/>
  </si>
  <si>
    <t>フード新販売のための紐付キー。食肉では伝票行№(2桁)を左詰でセットする。</t>
    <phoneticPr fontId="1"/>
  </si>
  <si>
    <t>受注明細番号</t>
    <phoneticPr fontId="1"/>
  </si>
  <si>
    <t>[返答]食肉NF紐付管理No.枝番
※フード新販売のための紐付キー。食肉では伝票行№(2桁)を左詰でセットする。</t>
    <phoneticPr fontId="1"/>
  </si>
  <si>
    <t>NH引当区分</t>
  </si>
  <si>
    <t>NH引当区分</t>
    <phoneticPr fontId="1"/>
  </si>
  <si>
    <t>返答するNH引当区分</t>
    <phoneticPr fontId="1"/>
  </si>
  <si>
    <t>物流が「産直」、配送先が冷蔵庫以外、工場が社内の場合、「1：製造(NWF,NFP)」
物流が「冷蔵庫出庫」の場合、「2：在庫分」
物流が「準産直」の場合、「 3：産地外冷(NH分)」
物流が「産直」、工場が社外の場合、「 5：製造(社外仕入先)」
※「 4：産地外冷(NH以外)」に関しては、商物流の残置・廃止を検討中(論点#32)</t>
    <phoneticPr fontId="1"/>
  </si>
  <si>
    <t>[返答]NH引当区分
1：製造(NWF,NFP) 2：在庫分 3：産地外冷(NH分) 4：産地外冷(NH以外) 5：製造(社外仕入先)</t>
    <phoneticPr fontId="1"/>
  </si>
  <si>
    <t>データ作成日付</t>
  </si>
  <si>
    <t>データ作成日付</t>
    <phoneticPr fontId="1"/>
  </si>
  <si>
    <t>発注を登録した日付</t>
    <phoneticPr fontId="1"/>
  </si>
  <si>
    <t>データ作成日付
※インターフェースデータを作成した日付</t>
    <phoneticPr fontId="1"/>
  </si>
  <si>
    <t>データ作成時刻</t>
  </si>
  <si>
    <t>データ作成時刻</t>
    <phoneticPr fontId="1"/>
  </si>
  <si>
    <t>発注を登録した時間</t>
    <phoneticPr fontId="1"/>
  </si>
  <si>
    <t>データ作成日時</t>
    <phoneticPr fontId="1"/>
  </si>
  <si>
    <t>データ作成時刻
※インターフェースデータを作成した時間</t>
    <phoneticPr fontId="1"/>
  </si>
  <si>
    <t>IF基盤設定項目　※SAPが受信側のケースのみ以下に記載。SAPが送信側の場合は対向システム側のリスト最下部に記載。  Value set by IF arch　*Enter only in case of inbound to SAP. In case of outbound from SAP, enter at the bottom of target system section</t>
    <phoneticPr fontId="1"/>
  </si>
  <si>
    <t/>
  </si>
  <si>
    <t>インターフェース識別</t>
  </si>
  <si>
    <t>インターフェース識別</t>
    <phoneticPr fontId="1"/>
  </si>
  <si>
    <t>固定：S061</t>
    <phoneticPr fontId="1"/>
  </si>
  <si>
    <t>F：固定値</t>
    <phoneticPr fontId="1"/>
  </si>
  <si>
    <t>「S061」固定</t>
    <phoneticPr fontId="1"/>
  </si>
  <si>
    <t>申請返答区分</t>
  </si>
  <si>
    <t>申請返答区分</t>
    <phoneticPr fontId="1"/>
  </si>
  <si>
    <t>固定：「2：返答」</t>
    <phoneticPr fontId="1"/>
  </si>
  <si>
    <t>「2」固定</t>
    <phoneticPr fontId="1"/>
  </si>
  <si>
    <t>データ種別</t>
  </si>
  <si>
    <t>データ種別</t>
    <phoneticPr fontId="1"/>
  </si>
  <si>
    <t>EOS発注の値をセット（「1：発注」固定）</t>
    <phoneticPr fontId="1"/>
  </si>
  <si>
    <t>「1」固定</t>
    <phoneticPr fontId="1"/>
  </si>
  <si>
    <t>貸在庫変更区分</t>
  </si>
  <si>
    <t>貸在庫変更区分</t>
    <phoneticPr fontId="1"/>
  </si>
  <si>
    <t>固定：「0：通常」</t>
    <phoneticPr fontId="1"/>
  </si>
  <si>
    <t>「0」固定</t>
    <phoneticPr fontId="1"/>
  </si>
  <si>
    <t>在庫引当可能開始日</t>
  </si>
  <si>
    <t>在庫引当可能開始日</t>
    <phoneticPr fontId="1"/>
  </si>
  <si>
    <t>在庫引当可能開始時間</t>
  </si>
  <si>
    <t>在庫引当可能開始時間</t>
    <phoneticPr fontId="1"/>
  </si>
  <si>
    <t>在庫引当可能終了日</t>
  </si>
  <si>
    <t>在庫引当可能終了日</t>
    <phoneticPr fontId="1"/>
  </si>
  <si>
    <t>在庫引当可能終了時間</t>
  </si>
  <si>
    <t>在庫引当可能終了時間</t>
    <phoneticPr fontId="1"/>
  </si>
  <si>
    <t>チェーンコード</t>
    <phoneticPr fontId="1"/>
  </si>
  <si>
    <t>チェーン名（漢字）</t>
    <phoneticPr fontId="1"/>
  </si>
  <si>
    <t>チェーン略称（漢字）</t>
    <phoneticPr fontId="1"/>
  </si>
  <si>
    <t>売上先コード</t>
  </si>
  <si>
    <t>売上先コード</t>
    <phoneticPr fontId="1"/>
  </si>
  <si>
    <t>[返答]売上先コード</t>
    <phoneticPr fontId="1"/>
  </si>
  <si>
    <t>売上先名</t>
  </si>
  <si>
    <t>売上先名</t>
    <phoneticPr fontId="1"/>
  </si>
  <si>
    <t>仕様コード</t>
  </si>
  <si>
    <t>仕様コード</t>
    <phoneticPr fontId="1"/>
  </si>
  <si>
    <t>[返答]仕様コード</t>
    <phoneticPr fontId="1"/>
  </si>
  <si>
    <t>仕様名</t>
  </si>
  <si>
    <t>仕様名</t>
    <phoneticPr fontId="1"/>
  </si>
  <si>
    <t>[返答]仕様名</t>
    <phoneticPr fontId="1"/>
  </si>
  <si>
    <t>得意先名（略称）</t>
  </si>
  <si>
    <t>得意先名（略称）</t>
    <phoneticPr fontId="1"/>
  </si>
  <si>
    <t>[返答]得意先名（略称）</t>
    <phoneticPr fontId="1"/>
  </si>
  <si>
    <t>社内ロット№枝番</t>
    <phoneticPr fontId="1"/>
  </si>
  <si>
    <t>引当優先順位</t>
    <phoneticPr fontId="1"/>
  </si>
  <si>
    <t>発注数量単位</t>
  </si>
  <si>
    <t>発注数量単位</t>
    <phoneticPr fontId="1"/>
  </si>
  <si>
    <t>EOS発注の「発注数量単位」をセット</t>
    <phoneticPr fontId="1"/>
  </si>
  <si>
    <t>返答数量単位</t>
  </si>
  <si>
    <t>返答数量単位</t>
    <phoneticPr fontId="1"/>
  </si>
  <si>
    <t>[返答]
 01：Ｃ/Ｓ
 02：頭数
 03：本数
 04：重量(ＫＧ)
 05：羽数
 06：枚数</t>
    <phoneticPr fontId="1"/>
  </si>
  <si>
    <t>フード向け明細摘要</t>
  </si>
  <si>
    <t>フード向け明細摘要</t>
    <phoneticPr fontId="1"/>
  </si>
  <si>
    <t>[返答]フード向け明細摘要</t>
    <phoneticPr fontId="1"/>
  </si>
  <si>
    <t>在庫摘要</t>
  </si>
  <si>
    <t>在庫摘要</t>
    <phoneticPr fontId="1"/>
  </si>
  <si>
    <t>[返答]在庫摘要</t>
    <phoneticPr fontId="1"/>
  </si>
  <si>
    <t>NF発注伝票区分</t>
  </si>
  <si>
    <t>食肉側のNF発注テーブル上の管理番号
1：発注、3：貸在庫</t>
    <phoneticPr fontId="1"/>
  </si>
  <si>
    <t>余白1</t>
  </si>
  <si>
    <t>余白1</t>
    <phoneticPr fontId="1"/>
  </si>
  <si>
    <t>余白2</t>
  </si>
  <si>
    <t>余白2</t>
    <phoneticPr fontId="1"/>
  </si>
  <si>
    <t>余白3</t>
  </si>
  <si>
    <t>余白3</t>
    <phoneticPr fontId="1"/>
  </si>
  <si>
    <t>余白</t>
  </si>
  <si>
    <t>余白</t>
    <phoneticPr fontId="1"/>
  </si>
  <si>
    <t>マッピング不要</t>
    <phoneticPr fontId="1"/>
  </si>
  <si>
    <t>固定長のため検証不可</t>
  </si>
  <si>
    <t>「文字型(全角)/Text」項目がないため検証不可</t>
  </si>
  <si>
    <t>マイナス項目がないため検証不可</t>
  </si>
  <si>
    <t>○</t>
    <phoneticPr fontId="16"/>
  </si>
  <si>
    <t>小数点項目がないため検証不可</t>
  </si>
  <si>
    <t>出力ファイルが可変長でないため検証不可</t>
  </si>
  <si>
    <t>発注先名, 共通配送先名, 発注担当者, 仕向先名, 得意先名, 冷蔵庫名</t>
  </si>
  <si>
    <t>フード向けヘッダ摘要, 食肉ＮＦ紐付事業所名</t>
  </si>
  <si>
    <t>発注数量, 返答数量</t>
  </si>
  <si>
    <t>発注希望単価, 返答単価</t>
  </si>
  <si>
    <t>チェーン名（漢字）, チェーン略称（漢字）, 売上先名, 仕様名, 得意先名（略称）, フード向け明細摘要</t>
  </si>
  <si>
    <t>ブランド名（15桁）,  規格名</t>
  </si>
  <si>
    <t>工場名, 発注先仕入先名（カナ）</t>
  </si>
  <si>
    <t>先頭2桁をカットし、小数点なし状態に変換すること。
例：12.345→00000012345</t>
  </si>
  <si>
    <t>先頭4桁をカットすること。</t>
  </si>
  <si>
    <t>先頭6桁をカットし、小数点なし状態に変換すること。
例：123.45→0012345</t>
  </si>
  <si>
    <t>先頭8桁と小数部をカットし、小数点なし状態に変換すること。
例：12.345→00012</t>
  </si>
  <si>
    <t>小数点なし状態に変換すること。
例：12.345→00000012345</t>
  </si>
  <si>
    <t>後尾25桁をカットすること。</t>
  </si>
  <si>
    <t>後尾30桁をカットすること。</t>
  </si>
  <si>
    <t>12</t>
    <phoneticPr fontId="16"/>
  </si>
  <si>
    <t>13</t>
    <phoneticPr fontId="16"/>
  </si>
  <si>
    <t>14</t>
    <phoneticPr fontId="16"/>
  </si>
  <si>
    <t>入力文字数が20文字を超える場合</t>
    <phoneticPr fontId="16"/>
  </si>
  <si>
    <t>入力文字数が20文字に満たない場合</t>
    <phoneticPr fontId="16"/>
  </si>
  <si>
    <t>入力文字数が25文字を超える場合</t>
    <phoneticPr fontId="16"/>
  </si>
  <si>
    <t>入力文字数が25文字に満たない場合</t>
    <phoneticPr fontId="16"/>
  </si>
  <si>
    <t>・SAP項目に半角文字列が含まれていた場合全角に変換すること。
・左から20文字分を切り取って、文字列の前後に制御文字（0E,0F）を付与し、設定すること。（桁あふれ分はカット）</t>
    <phoneticPr fontId="16"/>
  </si>
  <si>
    <t>・SAP項目に半角文字列が含まれていた場合全角に変換すること。
・後ろを全角スペース埋めし、文字列の前後に制御文字（0E,0F）を付与すること。</t>
    <phoneticPr fontId="16"/>
  </si>
  <si>
    <t>・SAP項目に半角文字列が含まれていた場合全角に変換すること。
・左から25文字分を切り取って、文字列の前後に制御文字（0E,0F）を付与し、設定すること。（桁あふれ分はカット）</t>
    <phoneticPr fontId="16"/>
  </si>
  <si>
    <t>前0バディングすること。</t>
    <phoneticPr fontId="16"/>
  </si>
  <si>
    <t>後尾1桁をカットし、前0バディングすること。</t>
    <phoneticPr fontId="16"/>
  </si>
  <si>
    <t>全角スペース埋めし、文字列の前後に制御文字(0E,0F)を付与すること。</t>
    <phoneticPr fontId="16"/>
  </si>
  <si>
    <t>発注依頼行番号, NF発注伝票行№</t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</si>
</sst>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6" formatCode="&quot;¥&quot;#,##0;[Red]&quot;¥&quot;\-#,##0"/>
    <numFmt numFmtId="176" formatCode="&quot;¥&quot;#,##0_);[Red]\(&quot;¥&quot;#,##0\)"/>
    <numFmt numFmtId="177" formatCode="&quot;¥&quot;#,##0.00_);[Red]\(&quot;¥&quot;#,##0.00\)"/>
    <numFmt numFmtId="178" formatCode="mm/dd"/>
    <numFmt numFmtId="179" formatCode="0_);[Red]\(0\)"/>
    <numFmt numFmtId="180" formatCode="#,##0;\-#,##0;&quot;-&quot;"/>
    <numFmt numFmtId="181" formatCode="0.00_)"/>
    <numFmt numFmtId="182" formatCode="0000000"/>
    <numFmt numFmtId="183" formatCode="yyyy&quot;年&quot;m&quot;月&quot;d&quot;日&quot;;@"/>
    <numFmt numFmtId="184" formatCode="[$-F800]dddd\,\ mmmm\ dd\,\ yyyy"/>
    <numFmt numFmtId="185" formatCode="&quot;第&quot;0.0&quot;版&quot;"/>
  </numFmts>
  <fonts count="109">
    <font>
      <sz val="9"/>
      <color theme="1"/>
      <name val="ＭＳ ゴシック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color theme="1"/>
      <name val="ＭＳ ゴシック"/>
      <family val="2"/>
      <charset val="128"/>
    </font>
    <font>
      <sz val="10"/>
      <color theme="1"/>
      <name val="ＭＳ ゴシック"/>
      <family val="2"/>
      <charset val="128"/>
    </font>
    <font>
      <sz val="10"/>
      <color theme="1"/>
      <name val="ＭＳ ゴシック"/>
      <family val="2"/>
      <charset val="128"/>
    </font>
    <font>
      <sz val="9"/>
      <color theme="1"/>
      <name val="メイリオ"/>
      <family val="2"/>
      <charset val="128"/>
    </font>
    <font>
      <sz val="9"/>
      <color theme="1"/>
      <name val="メイリオ"/>
      <family val="3"/>
      <charset val="128"/>
    </font>
    <font>
      <sz val="6"/>
      <name val="ＭＳ ゴシック"/>
      <family val="2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color indexed="8"/>
      <name val="Arial"/>
      <family val="2"/>
    </font>
    <font>
      <sz val="11"/>
      <name val="ＭＳ Ｐゴシック"/>
      <family val="3"/>
      <charset val="128"/>
    </font>
    <font>
      <sz val="9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sz val="10"/>
      <name val="ＭＳ ゴシック"/>
      <family val="3"/>
      <charset val="128"/>
    </font>
    <font>
      <sz val="11"/>
      <name val="明朝"/>
      <family val="1"/>
      <charset val="128"/>
    </font>
    <font>
      <b/>
      <i/>
      <sz val="16"/>
      <name val="Helv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b/>
      <sz val="11"/>
      <color indexed="18"/>
      <name val="Arial"/>
      <family val="2"/>
    </font>
    <font>
      <b/>
      <i/>
      <sz val="11"/>
      <color indexed="18"/>
      <name val="Arial"/>
      <family val="2"/>
    </font>
    <font>
      <sz val="12"/>
      <color indexed="18"/>
      <name val="MS Sans Serif"/>
      <family val="2"/>
    </font>
    <font>
      <sz val="12"/>
      <color indexed="9"/>
      <name val="MS Sans Serif"/>
      <family val="2"/>
    </font>
    <font>
      <sz val="11"/>
      <color indexed="9"/>
      <name val="Arial"/>
      <family val="2"/>
    </font>
    <font>
      <sz val="11"/>
      <name val="Arial"/>
      <family val="2"/>
    </font>
    <font>
      <b/>
      <sz val="11"/>
      <color indexed="9"/>
      <name val="Arial"/>
      <family val="2"/>
    </font>
    <font>
      <b/>
      <sz val="11"/>
      <color indexed="18"/>
      <name val="Arial Narrow"/>
      <family val="2"/>
    </font>
    <font>
      <b/>
      <sz val="11"/>
      <color indexed="9"/>
      <name val="Arial Narrow"/>
      <family val="2"/>
    </font>
    <font>
      <sz val="11"/>
      <color indexed="18"/>
      <name val="Arial"/>
      <family val="2"/>
    </font>
    <font>
      <sz val="10"/>
      <color indexed="56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sz val="12"/>
      <color indexed="56"/>
      <name val="Arial"/>
      <family val="2"/>
    </font>
    <font>
      <i/>
      <sz val="12"/>
      <color indexed="56"/>
      <name val="Arial"/>
      <family val="2"/>
    </font>
    <font>
      <sz val="11"/>
      <color indexed="56"/>
      <name val="Arial"/>
      <family val="2"/>
    </font>
    <font>
      <i/>
      <sz val="11"/>
      <color indexed="56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sz val="18"/>
      <color indexed="18"/>
      <name val="Arial"/>
      <family val="2"/>
    </font>
    <font>
      <sz val="11"/>
      <color indexed="10"/>
      <name val="Arial"/>
      <family val="2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10"/>
      <name val="ＭＳ 明朝"/>
      <family val="1"/>
      <charset val="128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0"/>
      <name val="MS UI Gothic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name val="ＭＳ Ｐ・団"/>
      <family val="1"/>
      <charset val="128"/>
    </font>
    <font>
      <sz val="9"/>
      <name val="ＭＳ 明朝"/>
      <family val="1"/>
      <charset val="128"/>
    </font>
    <font>
      <sz val="11"/>
      <color indexed="62"/>
      <name val="ＭＳ Ｐゴシック"/>
      <family val="3"/>
      <charset val="128"/>
    </font>
    <font>
      <sz val="11"/>
      <color indexed="8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9"/>
      <name val="メイリオ"/>
      <family val="3"/>
      <charset val="128"/>
    </font>
    <font>
      <sz val="9"/>
      <color theme="1"/>
      <name val="ＭＳ ゴシック"/>
      <family val="2"/>
      <charset val="128"/>
    </font>
    <font>
      <sz val="9"/>
      <color theme="0"/>
      <name val="ＭＳ ゴシック"/>
      <family val="2"/>
      <charset val="128"/>
    </font>
    <font>
      <sz val="9"/>
      <color theme="0"/>
      <name val="ＭＳ 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b/>
      <sz val="24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1"/>
      <name val="ＭＳ Ｐ明朝"/>
      <family val="1"/>
      <charset val="128"/>
    </font>
    <font>
      <sz val="11"/>
      <color theme="1"/>
      <name val="Calibri"/>
      <family val="2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9"/>
      <color rgb="FFFF0000"/>
      <name val="メイリオ"/>
      <family val="3"/>
      <charset val="128"/>
    </font>
    <font>
      <sz val="10"/>
      <color theme="1"/>
      <name val="メイリオ"/>
      <family val="2"/>
      <charset val="128"/>
    </font>
    <font>
      <sz val="11"/>
      <name val="ＭＳ ゴシック"/>
      <family val="3"/>
      <charset val="128"/>
    </font>
    <font>
      <sz val="10"/>
      <name val="メイリオ"/>
      <family val="3"/>
      <charset val="128"/>
    </font>
    <font>
      <b/>
      <sz val="16"/>
      <color theme="1"/>
      <name val="Meiryo UI"/>
      <family val="3"/>
      <charset val="128"/>
    </font>
    <font>
      <b/>
      <sz val="16"/>
      <color rgb="FFFF0000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8"/>
      <color theme="1"/>
      <name val="Meiryo UI"/>
      <family val="3"/>
      <charset val="128"/>
    </font>
    <font>
      <sz val="10"/>
      <name val="Meiryo UI"/>
      <family val="3"/>
      <charset val="128"/>
    </font>
    <font>
      <sz val="11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color theme="1"/>
      <name val="Meiryo UI"/>
      <family val="3"/>
    </font>
    <font>
      <strike/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strike/>
      <sz val="11"/>
      <name val="Meiryo UI"/>
      <family val="3"/>
      <charset val="128"/>
    </font>
  </fonts>
  <fills count="4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54"/>
        <bgColor indexed="41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0" tint="-0.249977111117893"/>
        <bgColor indexed="64"/>
      </patternFill>
    </fill>
  </fills>
  <borders count="5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4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3301">
    <xf numFmtId="0" fontId="0" fillId="0" borderId="0">
      <alignment vertical="center"/>
    </xf>
    <xf numFmtId="0" fontId="14" fillId="0" borderId="0">
      <alignment vertical="center"/>
    </xf>
    <xf numFmtId="0" fontId="17" fillId="0" borderId="0"/>
    <xf numFmtId="0" fontId="17" fillId="0" borderId="0"/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0" borderId="0">
      <alignment horizontal="center" wrapText="1"/>
      <protection locked="0"/>
    </xf>
    <xf numFmtId="180" fontId="21" fillId="0" borderId="0" applyFill="0" applyBorder="0" applyAlignment="0"/>
    <xf numFmtId="0" fontId="23" fillId="0" borderId="0">
      <alignment horizontal="left"/>
    </xf>
    <xf numFmtId="38" fontId="24" fillId="19" borderId="0" applyNumberFormat="0" applyBorder="0" applyAlignment="0" applyProtection="0"/>
    <xf numFmtId="0" fontId="25" fillId="0" borderId="2" applyNumberFormat="0" applyAlignment="0" applyProtection="0">
      <alignment horizontal="left" vertical="center"/>
    </xf>
    <xf numFmtId="0" fontId="25" fillId="0" borderId="3">
      <alignment horizontal="left" vertical="center"/>
    </xf>
    <xf numFmtId="0" fontId="26" fillId="0" borderId="0" applyBorder="0"/>
    <xf numFmtId="10" fontId="24" fillId="20" borderId="1" applyNumberFormat="0" applyBorder="0" applyAlignment="0" applyProtection="0"/>
    <xf numFmtId="0" fontId="26" fillId="0" borderId="0"/>
    <xf numFmtId="0" fontId="27" fillId="0" borderId="0"/>
    <xf numFmtId="181" fontId="28" fillId="0" borderId="0"/>
    <xf numFmtId="182" fontId="22" fillId="0" borderId="0"/>
    <xf numFmtId="182" fontId="22" fillId="0" borderId="0"/>
    <xf numFmtId="182" fontId="22" fillId="0" borderId="0"/>
    <xf numFmtId="182" fontId="22" fillId="0" borderId="0"/>
    <xf numFmtId="182" fontId="22" fillId="0" borderId="0"/>
    <xf numFmtId="182" fontId="22" fillId="0" borderId="0"/>
    <xf numFmtId="182" fontId="22" fillId="0" borderId="0"/>
    <xf numFmtId="181" fontId="28" fillId="0" borderId="0"/>
    <xf numFmtId="182" fontId="22" fillId="0" borderId="0"/>
    <xf numFmtId="14" fontId="20" fillId="0" borderId="0">
      <alignment horizontal="center" wrapText="1"/>
      <protection locked="0"/>
    </xf>
    <xf numFmtId="10" fontId="29" fillId="0" borderId="0" applyFont="0" applyFill="0" applyBorder="0" applyAlignment="0" applyProtection="0"/>
    <xf numFmtId="4" fontId="23" fillId="0" borderId="0">
      <alignment horizontal="right"/>
    </xf>
    <xf numFmtId="0" fontId="30" fillId="0" borderId="0" applyNumberFormat="0" applyFont="0" applyFill="0" applyBorder="0" applyAlignment="0" applyProtection="0">
      <alignment horizontal="left"/>
    </xf>
    <xf numFmtId="0" fontId="31" fillId="0" borderId="4">
      <alignment horizontal="center"/>
    </xf>
    <xf numFmtId="4" fontId="32" fillId="0" borderId="0">
      <alignment horizontal="right"/>
    </xf>
    <xf numFmtId="4" fontId="33" fillId="21" borderId="5" applyNumberFormat="0" applyProtection="0">
      <alignment vertical="center"/>
    </xf>
    <xf numFmtId="4" fontId="34" fillId="21" borderId="5" applyNumberFormat="0" applyProtection="0">
      <alignment vertical="center"/>
    </xf>
    <xf numFmtId="4" fontId="35" fillId="21" borderId="5" applyNumberFormat="0" applyProtection="0">
      <alignment horizontal="left" vertical="center"/>
    </xf>
    <xf numFmtId="4" fontId="36" fillId="22" borderId="5">
      <alignment horizontal="left" vertical="center"/>
    </xf>
    <xf numFmtId="4" fontId="37" fillId="23" borderId="5" applyNumberFormat="0" applyProtection="0">
      <alignment vertical="center"/>
    </xf>
    <xf numFmtId="4" fontId="38" fillId="19" borderId="5" applyNumberFormat="0" applyProtection="0">
      <alignment vertical="center"/>
    </xf>
    <xf numFmtId="4" fontId="37" fillId="24" borderId="5" applyNumberFormat="0" applyProtection="0">
      <alignment vertical="center"/>
    </xf>
    <xf numFmtId="4" fontId="39" fillId="23" borderId="5" applyNumberFormat="0" applyProtection="0">
      <alignment vertical="center"/>
    </xf>
    <xf numFmtId="4" fontId="40" fillId="25" borderId="5">
      <alignment horizontal="left" vertical="center"/>
    </xf>
    <xf numFmtId="4" fontId="40" fillId="26" borderId="5">
      <alignment horizontal="left" vertical="center"/>
    </xf>
    <xf numFmtId="4" fontId="41" fillId="22" borderId="5">
      <alignment horizontal="left" vertical="center"/>
    </xf>
    <xf numFmtId="4" fontId="42" fillId="11" borderId="5" applyNumberFormat="0" applyProtection="0">
      <alignment vertical="center"/>
    </xf>
    <xf numFmtId="4" fontId="43" fillId="27" borderId="5" applyNumberFormat="0" applyProtection="0">
      <alignment horizontal="left" vertical="center"/>
    </xf>
    <xf numFmtId="4" fontId="44" fillId="26" borderId="5" applyNumberFormat="0" applyProtection="0">
      <alignment horizontal="left" vertical="center"/>
    </xf>
    <xf numFmtId="4" fontId="45" fillId="22" borderId="5" applyNumberFormat="0" applyProtection="0">
      <alignment horizontal="left" vertical="center"/>
    </xf>
    <xf numFmtId="4" fontId="46" fillId="27" borderId="5" applyNumberFormat="0" applyProtection="0">
      <alignment vertical="center"/>
    </xf>
    <xf numFmtId="4" fontId="47" fillId="27" borderId="5" applyNumberFormat="0" applyProtection="0">
      <alignment vertical="center"/>
    </xf>
    <xf numFmtId="4" fontId="40" fillId="26" borderId="5" applyNumberFormat="0" applyProtection="0">
      <alignment horizontal="left" vertical="center"/>
    </xf>
    <xf numFmtId="4" fontId="48" fillId="27" borderId="5">
      <alignment vertical="center"/>
    </xf>
    <xf numFmtId="4" fontId="49" fillId="27" borderId="5" applyNumberFormat="0" applyProtection="0">
      <alignment vertical="center"/>
    </xf>
    <xf numFmtId="4" fontId="40" fillId="26" borderId="5">
      <alignment horizontal="left" vertical="center"/>
    </xf>
    <xf numFmtId="4" fontId="50" fillId="27" borderId="5" applyNumberFormat="0" applyProtection="0">
      <alignment vertical="center"/>
    </xf>
    <xf numFmtId="4" fontId="51" fillId="27" borderId="5" applyNumberFormat="0" applyProtection="0">
      <alignment vertical="center"/>
    </xf>
    <xf numFmtId="4" fontId="40" fillId="20" borderId="5" applyNumberFormat="0" applyProtection="0">
      <alignment horizontal="left" vertical="center"/>
    </xf>
    <xf numFmtId="4" fontId="52" fillId="11" borderId="5" applyNumberFormat="0" applyProtection="0">
      <alignment horizontal="left"/>
    </xf>
    <xf numFmtId="4" fontId="53" fillId="27" borderId="5" applyNumberFormat="0" applyProtection="0">
      <alignment vertical="center"/>
    </xf>
    <xf numFmtId="0" fontId="54" fillId="0" borderId="0">
      <alignment horizontal="left"/>
    </xf>
    <xf numFmtId="0" fontId="55" fillId="0" borderId="0"/>
    <xf numFmtId="0" fontId="56" fillId="0" borderId="0">
      <alignment horizontal="center"/>
    </xf>
    <xf numFmtId="0" fontId="57" fillId="0" borderId="0"/>
    <xf numFmtId="0" fontId="19" fillId="2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9" fillId="0" borderId="0"/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31" borderId="6" applyNumberFormat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2" fillId="20" borderId="7" applyNumberFormat="0" applyFont="0" applyAlignment="0" applyProtection="0">
      <alignment vertical="center"/>
    </xf>
    <xf numFmtId="0" fontId="22" fillId="20" borderId="7" applyNumberFormat="0" applyFont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4" fillId="6" borderId="0" applyNumberFormat="0" applyBorder="0" applyAlignment="0" applyProtection="0">
      <alignment vertical="center"/>
    </xf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57" fillId="0" borderId="0">
      <alignment vertical="center"/>
    </xf>
    <xf numFmtId="0" fontId="65" fillId="19" borderId="10" applyNumberFormat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38" fontId="62" fillId="0" borderId="0" applyFont="0" applyFill="0" applyBorder="0" applyAlignment="0" applyProtection="0">
      <alignment vertical="center"/>
    </xf>
    <xf numFmtId="38" fontId="62" fillId="0" borderId="0" applyFont="0" applyFill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9" fillId="0" borderId="13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14" applyNumberFormat="0" applyFill="0" applyAlignment="0" applyProtection="0">
      <alignment vertical="center"/>
    </xf>
    <xf numFmtId="0" fontId="71" fillId="19" borderId="15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177" fontId="73" fillId="0" borderId="0" applyFont="0" applyFill="0" applyBorder="0" applyAlignment="0" applyProtection="0"/>
    <xf numFmtId="176" fontId="73" fillId="0" borderId="0" applyFont="0" applyFill="0" applyBorder="0" applyAlignment="0" applyProtection="0"/>
    <xf numFmtId="0" fontId="74" fillId="0" borderId="0">
      <alignment horizontal="center" vertical="center"/>
    </xf>
    <xf numFmtId="0" fontId="75" fillId="10" borderId="10" applyNumberFormat="0" applyAlignment="0" applyProtection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7" fillId="0" borderId="0"/>
    <xf numFmtId="0" fontId="22" fillId="0" borderId="0"/>
    <xf numFmtId="0" fontId="62" fillId="0" borderId="0">
      <alignment vertical="center"/>
    </xf>
    <xf numFmtId="0" fontId="76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62" fillId="0" borderId="0">
      <alignment vertical="center"/>
    </xf>
    <xf numFmtId="0" fontId="78" fillId="0" borderId="0">
      <alignment vertical="center"/>
    </xf>
    <xf numFmtId="0" fontId="18" fillId="0" borderId="0">
      <alignment vertical="center"/>
    </xf>
    <xf numFmtId="0" fontId="7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62" fillId="0" borderId="0">
      <alignment vertical="center"/>
    </xf>
    <xf numFmtId="0" fontId="22" fillId="0" borderId="0">
      <alignment vertical="center"/>
    </xf>
    <xf numFmtId="0" fontId="79" fillId="0" borderId="0"/>
    <xf numFmtId="0" fontId="80" fillId="7" borderId="0" applyNumberFormat="0" applyBorder="0" applyAlignment="0" applyProtection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82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10" fillId="0" borderId="0">
      <alignment vertical="center"/>
    </xf>
    <xf numFmtId="0" fontId="90" fillId="0" borderId="0"/>
    <xf numFmtId="0" fontId="78" fillId="0" borderId="0">
      <alignment vertical="center"/>
    </xf>
    <xf numFmtId="0" fontId="91" fillId="0" borderId="0">
      <alignment vertical="center"/>
    </xf>
    <xf numFmtId="0" fontId="8" fillId="0" borderId="0">
      <alignment vertical="center"/>
    </xf>
    <xf numFmtId="0" fontId="25" fillId="0" borderId="25">
      <alignment horizontal="left" vertical="center"/>
    </xf>
    <xf numFmtId="10" fontId="24" fillId="20" borderId="16" applyNumberFormat="0" applyBorder="0" applyAlignment="0" applyProtection="0"/>
    <xf numFmtId="182" fontId="10" fillId="0" borderId="0"/>
    <xf numFmtId="182" fontId="10" fillId="0" borderId="0"/>
    <xf numFmtId="182" fontId="10" fillId="0" borderId="0"/>
    <xf numFmtId="182" fontId="10" fillId="0" borderId="0"/>
    <xf numFmtId="182" fontId="10" fillId="0" borderId="0"/>
    <xf numFmtId="182" fontId="10" fillId="0" borderId="0"/>
    <xf numFmtId="0" fontId="62" fillId="20" borderId="36" applyNumberFormat="0" applyFont="0" applyAlignment="0" applyProtection="0">
      <alignment vertical="center"/>
    </xf>
    <xf numFmtId="0" fontId="10" fillId="20" borderId="36" applyNumberFormat="0" applyFont="0" applyAlignment="0" applyProtection="0">
      <alignment vertical="center"/>
    </xf>
    <xf numFmtId="0" fontId="10" fillId="0" borderId="9"/>
    <xf numFmtId="0" fontId="10" fillId="0" borderId="9"/>
    <xf numFmtId="0" fontId="10" fillId="0" borderId="9"/>
    <xf numFmtId="0" fontId="10" fillId="0" borderId="9"/>
    <xf numFmtId="0" fontId="10" fillId="0" borderId="9"/>
    <xf numFmtId="0" fontId="10" fillId="0" borderId="9"/>
    <xf numFmtId="0" fontId="65" fillId="19" borderId="37" applyNumberFormat="0" applyAlignment="0" applyProtection="0">
      <alignment vertical="center"/>
    </xf>
    <xf numFmtId="0" fontId="70" fillId="0" borderId="38" applyNumberFormat="0" applyFill="0" applyAlignment="0" applyProtection="0">
      <alignment vertical="center"/>
    </xf>
    <xf numFmtId="0" fontId="71" fillId="19" borderId="39" applyNumberFormat="0" applyAlignment="0" applyProtection="0">
      <alignment vertical="center"/>
    </xf>
    <xf numFmtId="0" fontId="75" fillId="10" borderId="37" applyNumberFormat="0" applyAlignment="0" applyProtection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92" fillId="0" borderId="0"/>
    <xf numFmtId="0" fontId="6" fillId="0" borderId="0">
      <alignment vertical="center"/>
    </xf>
    <xf numFmtId="0" fontId="93" fillId="0" borderId="0"/>
    <xf numFmtId="0" fontId="5" fillId="0" borderId="0">
      <alignment vertical="center"/>
    </xf>
    <xf numFmtId="0" fontId="78" fillId="0" borderId="0">
      <alignment vertical="center"/>
    </xf>
    <xf numFmtId="0" fontId="4" fillId="0" borderId="0">
      <alignment vertical="center"/>
    </xf>
    <xf numFmtId="0" fontId="27" fillId="0" borderId="0"/>
    <xf numFmtId="0" fontId="78" fillId="0" borderId="0">
      <alignment vertical="center"/>
    </xf>
    <xf numFmtId="0" fontId="25" fillId="0" borderId="90">
      <alignment horizontal="left" vertical="center"/>
    </xf>
    <xf numFmtId="10" fontId="24" fillId="20" borderId="91" applyNumberFormat="0" applyBorder="0" applyAlignment="0" applyProtection="0"/>
    <xf numFmtId="0" fontId="25" fillId="0" borderId="52">
      <alignment horizontal="left" vertical="center"/>
    </xf>
    <xf numFmtId="10" fontId="24" fillId="20" borderId="48" applyNumberFormat="0" applyBorder="0" applyAlignment="0" applyProtection="0"/>
    <xf numFmtId="0" fontId="25" fillId="0" borderId="90">
      <alignment horizontal="left" vertical="center"/>
    </xf>
    <xf numFmtId="10" fontId="24" fillId="20" borderId="84" applyNumberFormat="0" applyBorder="0" applyAlignment="0" applyProtection="0"/>
    <xf numFmtId="0" fontId="25" fillId="0" borderId="85">
      <alignment horizontal="left"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0" borderId="63">
      <alignment horizontal="left" vertical="center"/>
    </xf>
    <xf numFmtId="10" fontId="24" fillId="20" borderId="62" applyNumberFormat="0" applyBorder="0" applyAlignment="0" applyProtection="0"/>
    <xf numFmtId="0" fontId="62" fillId="20" borderId="64" applyNumberFormat="0" applyFont="0" applyAlignment="0" applyProtection="0">
      <alignment vertical="center"/>
    </xf>
    <xf numFmtId="0" fontId="10" fillId="20" borderId="64" applyNumberFormat="0" applyFont="0" applyAlignment="0" applyProtection="0">
      <alignment vertical="center"/>
    </xf>
    <xf numFmtId="0" fontId="65" fillId="19" borderId="65" applyNumberFormat="0" applyAlignment="0" applyProtection="0">
      <alignment vertical="center"/>
    </xf>
    <xf numFmtId="0" fontId="70" fillId="0" borderId="66" applyNumberFormat="0" applyFill="0" applyAlignment="0" applyProtection="0">
      <alignment vertical="center"/>
    </xf>
    <xf numFmtId="0" fontId="71" fillId="19" borderId="67" applyNumberFormat="0" applyAlignment="0" applyProtection="0">
      <alignment vertical="center"/>
    </xf>
    <xf numFmtId="0" fontId="75" fillId="10" borderId="65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0" borderId="69">
      <alignment horizontal="left" vertical="center"/>
    </xf>
    <xf numFmtId="10" fontId="24" fillId="20" borderId="68" applyNumberFormat="0" applyBorder="0" applyAlignment="0" applyProtection="0"/>
    <xf numFmtId="0" fontId="62" fillId="20" borderId="70" applyNumberFormat="0" applyFont="0" applyAlignment="0" applyProtection="0">
      <alignment vertical="center"/>
    </xf>
    <xf numFmtId="0" fontId="10" fillId="20" borderId="70" applyNumberFormat="0" applyFont="0" applyAlignment="0" applyProtection="0">
      <alignment vertical="center"/>
    </xf>
    <xf numFmtId="0" fontId="65" fillId="19" borderId="71" applyNumberFormat="0" applyAlignment="0" applyProtection="0">
      <alignment vertical="center"/>
    </xf>
    <xf numFmtId="0" fontId="70" fillId="0" borderId="72" applyNumberFormat="0" applyFill="0" applyAlignment="0" applyProtection="0">
      <alignment vertical="center"/>
    </xf>
    <xf numFmtId="0" fontId="71" fillId="19" borderId="73" applyNumberFormat="0" applyAlignment="0" applyProtection="0">
      <alignment vertical="center"/>
    </xf>
    <xf numFmtId="0" fontId="75" fillId="10" borderId="71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0" borderId="69">
      <alignment horizontal="left" vertical="center"/>
    </xf>
    <xf numFmtId="10" fontId="24" fillId="20" borderId="68" applyNumberFormat="0" applyBorder="0" applyAlignment="0" applyProtection="0"/>
    <xf numFmtId="0" fontId="62" fillId="20" borderId="70" applyNumberFormat="0" applyFont="0" applyAlignment="0" applyProtection="0">
      <alignment vertical="center"/>
    </xf>
    <xf numFmtId="0" fontId="10" fillId="20" borderId="70" applyNumberFormat="0" applyFont="0" applyAlignment="0" applyProtection="0">
      <alignment vertical="center"/>
    </xf>
    <xf numFmtId="0" fontId="65" fillId="19" borderId="71" applyNumberFormat="0" applyAlignment="0" applyProtection="0">
      <alignment vertical="center"/>
    </xf>
    <xf numFmtId="0" fontId="70" fillId="0" borderId="72" applyNumberFormat="0" applyFill="0" applyAlignment="0" applyProtection="0">
      <alignment vertical="center"/>
    </xf>
    <xf numFmtId="0" fontId="71" fillId="19" borderId="73" applyNumberFormat="0" applyAlignment="0" applyProtection="0">
      <alignment vertical="center"/>
    </xf>
    <xf numFmtId="0" fontId="75" fillId="10" borderId="71" applyNumberFormat="0" applyAlignment="0" applyProtection="0">
      <alignment vertical="center"/>
    </xf>
    <xf numFmtId="0" fontId="4" fillId="0" borderId="0">
      <alignment vertical="center"/>
    </xf>
    <xf numFmtId="0" fontId="62" fillId="20" borderId="74" applyNumberFormat="0" applyFont="0" applyAlignment="0" applyProtection="0">
      <alignment vertical="center"/>
    </xf>
    <xf numFmtId="0" fontId="10" fillId="20" borderId="74" applyNumberFormat="0" applyFont="0" applyAlignment="0" applyProtection="0">
      <alignment vertical="center"/>
    </xf>
    <xf numFmtId="0" fontId="65" fillId="19" borderId="75" applyNumberFormat="0" applyAlignment="0" applyProtection="0">
      <alignment vertical="center"/>
    </xf>
    <xf numFmtId="0" fontId="70" fillId="0" borderId="76" applyNumberFormat="0" applyFill="0" applyAlignment="0" applyProtection="0">
      <alignment vertical="center"/>
    </xf>
    <xf numFmtId="0" fontId="71" fillId="19" borderId="77" applyNumberFormat="0" applyAlignment="0" applyProtection="0">
      <alignment vertical="center"/>
    </xf>
    <xf numFmtId="0" fontId="75" fillId="10" borderId="75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2" fillId="20" borderId="74" applyNumberFormat="0" applyFont="0" applyAlignment="0" applyProtection="0">
      <alignment vertical="center"/>
    </xf>
    <xf numFmtId="0" fontId="10" fillId="20" borderId="74" applyNumberFormat="0" applyFont="0" applyAlignment="0" applyProtection="0">
      <alignment vertical="center"/>
    </xf>
    <xf numFmtId="0" fontId="65" fillId="19" borderId="75" applyNumberFormat="0" applyAlignment="0" applyProtection="0">
      <alignment vertical="center"/>
    </xf>
    <xf numFmtId="0" fontId="70" fillId="0" borderId="76" applyNumberFormat="0" applyFill="0" applyAlignment="0" applyProtection="0">
      <alignment vertical="center"/>
    </xf>
    <xf numFmtId="0" fontId="71" fillId="19" borderId="77" applyNumberFormat="0" applyAlignment="0" applyProtection="0">
      <alignment vertical="center"/>
    </xf>
    <xf numFmtId="0" fontId="75" fillId="10" borderId="75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/>
    <xf numFmtId="0" fontId="4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95" fillId="0" borderId="0">
      <alignment vertical="center"/>
    </xf>
    <xf numFmtId="6" fontId="95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6" fontId="9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/>
    <xf numFmtId="10" fontId="24" fillId="20" borderId="68" applyNumberFormat="0" applyBorder="0" applyAlignment="0" applyProtection="0"/>
    <xf numFmtId="0" fontId="25" fillId="0" borderId="69">
      <alignment horizontal="left" vertical="center"/>
    </xf>
    <xf numFmtId="0" fontId="25" fillId="0" borderId="79">
      <alignment horizontal="left" vertical="center"/>
    </xf>
    <xf numFmtId="10" fontId="24" fillId="20" borderId="78" applyNumberFormat="0" applyBorder="0" applyAlignment="0" applyProtection="0"/>
    <xf numFmtId="0" fontId="75" fillId="10" borderId="75" applyNumberFormat="0" applyAlignment="0" applyProtection="0">
      <alignment vertical="center"/>
    </xf>
    <xf numFmtId="0" fontId="71" fillId="19" borderId="77" applyNumberFormat="0" applyAlignment="0" applyProtection="0">
      <alignment vertical="center"/>
    </xf>
    <xf numFmtId="0" fontId="70" fillId="0" borderId="76" applyNumberFormat="0" applyFill="0" applyAlignment="0" applyProtection="0">
      <alignment vertical="center"/>
    </xf>
    <xf numFmtId="0" fontId="65" fillId="19" borderId="75" applyNumberFormat="0" applyAlignment="0" applyProtection="0">
      <alignment vertical="center"/>
    </xf>
    <xf numFmtId="0" fontId="10" fillId="20" borderId="74" applyNumberFormat="0" applyFont="0" applyAlignment="0" applyProtection="0">
      <alignment vertical="center"/>
    </xf>
    <xf numFmtId="0" fontId="62" fillId="20" borderId="74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0" borderId="79">
      <alignment horizontal="left" vertical="center"/>
    </xf>
    <xf numFmtId="10" fontId="24" fillId="20" borderId="78" applyNumberFormat="0" applyBorder="0" applyAlignment="0" applyProtection="0"/>
    <xf numFmtId="0" fontId="62" fillId="20" borderId="80" applyNumberFormat="0" applyFont="0" applyAlignment="0" applyProtection="0">
      <alignment vertical="center"/>
    </xf>
    <xf numFmtId="0" fontId="10" fillId="20" borderId="80" applyNumberFormat="0" applyFont="0" applyAlignment="0" applyProtection="0">
      <alignment vertical="center"/>
    </xf>
    <xf numFmtId="0" fontId="65" fillId="19" borderId="81" applyNumberFormat="0" applyAlignment="0" applyProtection="0">
      <alignment vertical="center"/>
    </xf>
    <xf numFmtId="0" fontId="70" fillId="0" borderId="82" applyNumberFormat="0" applyFill="0" applyAlignment="0" applyProtection="0">
      <alignment vertical="center"/>
    </xf>
    <xf numFmtId="0" fontId="71" fillId="19" borderId="83" applyNumberFormat="0" applyAlignment="0" applyProtection="0">
      <alignment vertical="center"/>
    </xf>
    <xf numFmtId="0" fontId="75" fillId="10" borderId="81" applyNumberFormat="0" applyAlignment="0" applyProtection="0">
      <alignment vertical="center"/>
    </xf>
    <xf numFmtId="0" fontId="4" fillId="0" borderId="0">
      <alignment vertical="center"/>
    </xf>
    <xf numFmtId="0" fontId="25" fillId="0" borderId="69">
      <alignment horizontal="left" vertical="center"/>
    </xf>
    <xf numFmtId="10" fontId="24" fillId="20" borderId="68" applyNumberFormat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62" fillId="20" borderId="80" applyNumberFormat="0" applyFont="0" applyAlignment="0" applyProtection="0">
      <alignment vertical="center"/>
    </xf>
    <xf numFmtId="0" fontId="10" fillId="20" borderId="80" applyNumberFormat="0" applyFont="0" applyAlignment="0" applyProtection="0">
      <alignment vertical="center"/>
    </xf>
    <xf numFmtId="0" fontId="65" fillId="19" borderId="81" applyNumberFormat="0" applyAlignment="0" applyProtection="0">
      <alignment vertical="center"/>
    </xf>
    <xf numFmtId="0" fontId="70" fillId="0" borderId="82" applyNumberFormat="0" applyFill="0" applyAlignment="0" applyProtection="0">
      <alignment vertical="center"/>
    </xf>
    <xf numFmtId="0" fontId="71" fillId="19" borderId="83" applyNumberFormat="0" applyAlignment="0" applyProtection="0">
      <alignment vertical="center"/>
    </xf>
    <xf numFmtId="0" fontId="75" fillId="10" borderId="81" applyNumberFormat="0" applyAlignment="0" applyProtection="0">
      <alignment vertical="center"/>
    </xf>
    <xf numFmtId="0" fontId="4" fillId="0" borderId="0">
      <alignment vertical="center"/>
    </xf>
    <xf numFmtId="0" fontId="25" fillId="0" borderId="85">
      <alignment horizontal="left" vertical="center"/>
    </xf>
    <xf numFmtId="10" fontId="24" fillId="20" borderId="84" applyNumberFormat="0" applyBorder="0" applyAlignment="0" applyProtection="0"/>
    <xf numFmtId="0" fontId="62" fillId="20" borderId="86" applyNumberFormat="0" applyFont="0" applyAlignment="0" applyProtection="0">
      <alignment vertical="center"/>
    </xf>
    <xf numFmtId="0" fontId="10" fillId="20" borderId="86" applyNumberFormat="0" applyFont="0" applyAlignment="0" applyProtection="0">
      <alignment vertical="center"/>
    </xf>
    <xf numFmtId="0" fontId="65" fillId="19" borderId="87" applyNumberFormat="0" applyAlignment="0" applyProtection="0">
      <alignment vertical="center"/>
    </xf>
    <xf numFmtId="0" fontId="70" fillId="0" borderId="88" applyNumberFormat="0" applyFill="0" applyAlignment="0" applyProtection="0">
      <alignment vertical="center"/>
    </xf>
    <xf numFmtId="0" fontId="71" fillId="19" borderId="89" applyNumberFormat="0" applyAlignment="0" applyProtection="0">
      <alignment vertical="center"/>
    </xf>
    <xf numFmtId="0" fontId="75" fillId="10" borderId="87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5" fillId="19" borderId="412" applyNumberFormat="0" applyAlignment="0" applyProtection="0">
      <alignment vertical="center"/>
    </xf>
    <xf numFmtId="0" fontId="25" fillId="0" borderId="368">
      <alignment horizontal="left" vertical="center"/>
    </xf>
    <xf numFmtId="0" fontId="75" fillId="10" borderId="358" applyNumberFormat="0" applyAlignment="0" applyProtection="0">
      <alignment vertical="center"/>
    </xf>
    <xf numFmtId="0" fontId="75" fillId="10" borderId="370" applyNumberFormat="0" applyAlignment="0" applyProtection="0">
      <alignment vertical="center"/>
    </xf>
    <xf numFmtId="10" fontId="24" fillId="20" borderId="433" applyNumberFormat="0" applyBorder="0" applyAlignment="0" applyProtection="0"/>
    <xf numFmtId="0" fontId="65" fillId="19" borderId="304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25" fillId="0" borderId="470">
      <alignment horizontal="left"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10" fontId="24" fillId="20" borderId="229" applyNumberFormat="0" applyBorder="0" applyAlignment="0" applyProtection="0"/>
    <xf numFmtId="0" fontId="70" fillId="0" borderId="76" applyNumberFormat="0" applyFill="0" applyAlignment="0" applyProtection="0">
      <alignment vertical="center"/>
    </xf>
    <xf numFmtId="0" fontId="65" fillId="19" borderId="454" applyNumberFormat="0" applyAlignment="0" applyProtection="0">
      <alignment vertical="center"/>
    </xf>
    <xf numFmtId="0" fontId="75" fillId="10" borderId="454" applyNumberForma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10" fontId="24" fillId="20" borderId="301" applyNumberFormat="0" applyBorder="0" applyAlignment="0" applyProtection="0"/>
    <xf numFmtId="0" fontId="75" fillId="10" borderId="75" applyNumberFormat="0" applyAlignment="0" applyProtection="0">
      <alignment vertical="center"/>
    </xf>
    <xf numFmtId="0" fontId="10" fillId="20" borderId="74" applyNumberFormat="0" applyFont="0" applyAlignment="0" applyProtection="0">
      <alignment vertical="center"/>
    </xf>
    <xf numFmtId="0" fontId="62" fillId="20" borderId="74" applyNumberFormat="0" applyFont="0" applyAlignment="0" applyProtection="0">
      <alignment vertical="center"/>
    </xf>
    <xf numFmtId="0" fontId="70" fillId="0" borderId="479" applyNumberFormat="0" applyFill="0" applyAlignment="0" applyProtection="0">
      <alignment vertical="center"/>
    </xf>
    <xf numFmtId="0" fontId="75" fillId="10" borderId="418" applyNumberFormat="0" applyAlignment="0" applyProtection="0">
      <alignment vertical="center"/>
    </xf>
    <xf numFmtId="0" fontId="10" fillId="20" borderId="423" applyNumberFormat="0" applyFont="0" applyAlignment="0" applyProtection="0">
      <alignment vertical="center"/>
    </xf>
    <xf numFmtId="0" fontId="75" fillId="10" borderId="424" applyNumberFormat="0" applyAlignment="0" applyProtection="0">
      <alignment vertical="center"/>
    </xf>
    <xf numFmtId="0" fontId="10" fillId="20" borderId="393" applyNumberFormat="0" applyFont="0" applyAlignment="0" applyProtection="0">
      <alignment vertical="center"/>
    </xf>
    <xf numFmtId="10" fontId="24" fillId="20" borderId="379" applyNumberFormat="0" applyBorder="0" applyAlignment="0" applyProtection="0"/>
    <xf numFmtId="0" fontId="25" fillId="0" borderId="380">
      <alignment horizontal="left" vertical="center"/>
    </xf>
    <xf numFmtId="0" fontId="62" fillId="20" borderId="423" applyNumberFormat="0" applyFont="0" applyAlignment="0" applyProtection="0">
      <alignment vertical="center"/>
    </xf>
    <xf numFmtId="10" fontId="24" fillId="20" borderId="367" applyNumberFormat="0" applyBorder="0" applyAlignment="0" applyProtection="0"/>
    <xf numFmtId="0" fontId="71" fillId="19" borderId="360" applyNumberFormat="0" applyAlignment="0" applyProtection="0">
      <alignment vertical="center"/>
    </xf>
    <xf numFmtId="0" fontId="10" fillId="20" borderId="357" applyNumberFormat="0" applyFont="0" applyAlignment="0" applyProtection="0">
      <alignment vertical="center"/>
    </xf>
    <xf numFmtId="0" fontId="70" fillId="0" borderId="371" applyNumberFormat="0" applyFill="0" applyAlignment="0" applyProtection="0">
      <alignment vertical="center"/>
    </xf>
    <xf numFmtId="0" fontId="25" fillId="0" borderId="368">
      <alignment horizontal="left" vertical="center"/>
    </xf>
    <xf numFmtId="0" fontId="71" fillId="19" borderId="372" applyNumberFormat="0" applyAlignment="0" applyProtection="0">
      <alignment vertical="center"/>
    </xf>
    <xf numFmtId="0" fontId="25" fillId="0" borderId="355">
      <alignment horizontal="left" vertical="center"/>
    </xf>
    <xf numFmtId="0" fontId="62" fillId="20" borderId="357" applyNumberFormat="0" applyFon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453" applyNumberFormat="0" applyFont="0" applyAlignment="0" applyProtection="0">
      <alignment vertical="center"/>
    </xf>
    <xf numFmtId="0" fontId="62" fillId="20" borderId="95" applyNumberFormat="0" applyFont="0" applyAlignment="0" applyProtection="0">
      <alignment vertical="center"/>
    </xf>
    <xf numFmtId="0" fontId="10" fillId="20" borderId="95" applyNumberFormat="0" applyFont="0" applyAlignment="0" applyProtection="0">
      <alignment vertical="center"/>
    </xf>
    <xf numFmtId="0" fontId="71" fillId="19" borderId="384" applyNumberFormat="0" applyAlignment="0" applyProtection="0">
      <alignment vertical="center"/>
    </xf>
    <xf numFmtId="0" fontId="65" fillId="19" borderId="96" applyNumberFormat="0" applyAlignment="0" applyProtection="0">
      <alignment vertical="center"/>
    </xf>
    <xf numFmtId="10" fontId="24" fillId="20" borderId="365" applyNumberFormat="0" applyBorder="0" applyAlignment="0" applyProtection="0"/>
    <xf numFmtId="0" fontId="25" fillId="0" borderId="366">
      <alignment horizontal="left" vertical="center"/>
    </xf>
    <xf numFmtId="0" fontId="65" fillId="19" borderId="358" applyNumberFormat="0" applyAlignment="0" applyProtection="0">
      <alignment vertical="center"/>
    </xf>
    <xf numFmtId="0" fontId="70" fillId="0" borderId="359" applyNumberFormat="0" applyFill="0" applyAlignment="0" applyProtection="0">
      <alignment vertical="center"/>
    </xf>
    <xf numFmtId="0" fontId="70" fillId="0" borderId="97" applyNumberFormat="0" applyFill="0" applyAlignment="0" applyProtection="0">
      <alignment vertical="center"/>
    </xf>
    <xf numFmtId="0" fontId="71" fillId="19" borderId="98" applyNumberFormat="0" applyAlignment="0" applyProtection="0">
      <alignment vertical="center"/>
    </xf>
    <xf numFmtId="0" fontId="62" fillId="20" borderId="357" applyNumberFormat="0" applyFont="0" applyAlignment="0" applyProtection="0">
      <alignment vertical="center"/>
    </xf>
    <xf numFmtId="0" fontId="75" fillId="10" borderId="96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10" fontId="24" fillId="20" borderId="463" applyNumberFormat="0" applyBorder="0" applyAlignment="0" applyProtection="0"/>
    <xf numFmtId="0" fontId="62" fillId="20" borderId="39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10" fillId="20" borderId="381" applyNumberFormat="0" applyFont="0" applyAlignment="0" applyProtection="0">
      <alignment vertical="center"/>
    </xf>
    <xf numFmtId="0" fontId="62" fillId="20" borderId="361" applyNumberFormat="0" applyFont="0" applyAlignment="0" applyProtection="0">
      <alignment vertical="center"/>
    </xf>
    <xf numFmtId="0" fontId="65" fillId="19" borderId="362" applyNumberFormat="0" applyAlignment="0" applyProtection="0">
      <alignment vertical="center"/>
    </xf>
    <xf numFmtId="0" fontId="25" fillId="0" borderId="302">
      <alignment horizontal="left" vertical="center"/>
    </xf>
    <xf numFmtId="0" fontId="71" fillId="19" borderId="306" applyNumberFormat="0" applyAlignment="0" applyProtection="0">
      <alignment vertical="center"/>
    </xf>
    <xf numFmtId="0" fontId="65" fillId="19" borderId="362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402" applyNumberForma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3" fillId="0" borderId="0">
      <alignment vertical="center"/>
    </xf>
    <xf numFmtId="0" fontId="62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3" fillId="0" borderId="0">
      <alignment vertical="center"/>
    </xf>
    <xf numFmtId="0" fontId="25" fillId="0" borderId="100">
      <alignment horizontal="left" vertical="center"/>
    </xf>
    <xf numFmtId="10" fontId="24" fillId="20" borderId="99" applyNumberFormat="0" applyBorder="0" applyAlignment="0" applyProtection="0"/>
    <xf numFmtId="10" fontId="24" fillId="20" borderId="415" applyNumberFormat="0" applyBorder="0" applyAlignment="0" applyProtection="0"/>
    <xf numFmtId="0" fontId="65" fillId="19" borderId="304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10" fontId="24" fillId="20" borderId="397" applyNumberFormat="0" applyBorder="0" applyAlignment="0" applyProtection="0"/>
    <xf numFmtId="0" fontId="62" fillId="20" borderId="101" applyNumberFormat="0" applyFont="0" applyAlignment="0" applyProtection="0">
      <alignment vertical="center"/>
    </xf>
    <xf numFmtId="0" fontId="10" fillId="20" borderId="101" applyNumberFormat="0" applyFont="0" applyAlignment="0" applyProtection="0">
      <alignment vertical="center"/>
    </xf>
    <xf numFmtId="0" fontId="65" fillId="19" borderId="102" applyNumberFormat="0" applyAlignment="0" applyProtection="0">
      <alignment vertical="center"/>
    </xf>
    <xf numFmtId="0" fontId="70" fillId="0" borderId="103" applyNumberFormat="0" applyFill="0" applyAlignment="0" applyProtection="0">
      <alignment vertical="center"/>
    </xf>
    <xf numFmtId="0" fontId="71" fillId="19" borderId="104" applyNumberFormat="0" applyAlignment="0" applyProtection="0">
      <alignment vertical="center"/>
    </xf>
    <xf numFmtId="0" fontId="75" fillId="10" borderId="102" applyNumberFormat="0" applyAlignment="0" applyProtection="0">
      <alignment vertical="center"/>
    </xf>
    <xf numFmtId="0" fontId="65" fillId="19" borderId="394" applyNumberFormat="0" applyAlignment="0" applyProtection="0">
      <alignment vertical="center"/>
    </xf>
    <xf numFmtId="0" fontId="71" fillId="19" borderId="364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62" fillId="20" borderId="361" applyNumberFormat="0" applyFont="0" applyAlignment="0" applyProtection="0">
      <alignment vertical="center"/>
    </xf>
    <xf numFmtId="10" fontId="24" fillId="20" borderId="356" applyNumberFormat="0" applyBorder="0" applyAlignment="0" applyProtection="0"/>
    <xf numFmtId="0" fontId="71" fillId="19" borderId="354" applyNumberForma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65" fillId="19" borderId="352" applyNumberForma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10" fontId="24" fillId="20" borderId="367" applyNumberFormat="0" applyBorder="0" applyAlignment="0" applyProtection="0"/>
    <xf numFmtId="0" fontId="3" fillId="0" borderId="0">
      <alignment vertical="center"/>
    </xf>
    <xf numFmtId="0" fontId="75" fillId="10" borderId="304" applyNumberFormat="0" applyAlignment="0" applyProtection="0">
      <alignment vertical="center"/>
    </xf>
    <xf numFmtId="0" fontId="3" fillId="0" borderId="0">
      <alignment vertical="center"/>
    </xf>
    <xf numFmtId="0" fontId="65" fillId="19" borderId="424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5" fillId="19" borderId="304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0" fontId="24" fillId="20" borderId="307" applyNumberFormat="0" applyBorder="0" applyAlignment="0" applyProtection="0"/>
    <xf numFmtId="6" fontId="95" fillId="0" borderId="0" applyFont="0" applyFill="0" applyBorder="0" applyAlignment="0" applyProtection="0">
      <alignment vertical="center"/>
    </xf>
    <xf numFmtId="0" fontId="71" fillId="19" borderId="306" applyNumberFormat="0" applyAlignment="0" applyProtection="0">
      <alignment vertical="center"/>
    </xf>
    <xf numFmtId="6" fontId="95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0" fontId="24" fillId="20" borderId="99" applyNumberFormat="0" applyBorder="0" applyAlignment="0" applyProtection="0"/>
    <xf numFmtId="0" fontId="25" fillId="0" borderId="100">
      <alignment horizontal="left" vertical="center"/>
    </xf>
    <xf numFmtId="0" fontId="25" fillId="0" borderId="100">
      <alignment horizontal="left" vertical="center"/>
    </xf>
    <xf numFmtId="10" fontId="24" fillId="20" borderId="99" applyNumberFormat="0" applyBorder="0" applyAlignment="0" applyProtection="0"/>
    <xf numFmtId="0" fontId="75" fillId="10" borderId="96" applyNumberFormat="0" applyAlignment="0" applyProtection="0">
      <alignment vertical="center"/>
    </xf>
    <xf numFmtId="0" fontId="71" fillId="19" borderId="98" applyNumberFormat="0" applyAlignment="0" applyProtection="0">
      <alignment vertical="center"/>
    </xf>
    <xf numFmtId="0" fontId="70" fillId="0" borderId="97" applyNumberFormat="0" applyFill="0" applyAlignment="0" applyProtection="0">
      <alignment vertical="center"/>
    </xf>
    <xf numFmtId="0" fontId="65" fillId="19" borderId="96" applyNumberFormat="0" applyAlignment="0" applyProtection="0">
      <alignment vertical="center"/>
    </xf>
    <xf numFmtId="0" fontId="10" fillId="20" borderId="95" applyNumberFormat="0" applyFont="0" applyAlignment="0" applyProtection="0">
      <alignment vertical="center"/>
    </xf>
    <xf numFmtId="0" fontId="62" fillId="20" borderId="95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0" borderId="100">
      <alignment horizontal="left" vertical="center"/>
    </xf>
    <xf numFmtId="10" fontId="24" fillId="20" borderId="99" applyNumberFormat="0" applyBorder="0" applyAlignment="0" applyProtection="0"/>
    <xf numFmtId="0" fontId="62" fillId="20" borderId="95" applyNumberFormat="0" applyFont="0" applyAlignment="0" applyProtection="0">
      <alignment vertical="center"/>
    </xf>
    <xf numFmtId="0" fontId="10" fillId="20" borderId="95" applyNumberFormat="0" applyFont="0" applyAlignment="0" applyProtection="0">
      <alignment vertical="center"/>
    </xf>
    <xf numFmtId="0" fontId="65" fillId="19" borderId="96" applyNumberFormat="0" applyAlignment="0" applyProtection="0">
      <alignment vertical="center"/>
    </xf>
    <xf numFmtId="0" fontId="70" fillId="0" borderId="97" applyNumberFormat="0" applyFill="0" applyAlignment="0" applyProtection="0">
      <alignment vertical="center"/>
    </xf>
    <xf numFmtId="0" fontId="71" fillId="19" borderId="98" applyNumberFormat="0" applyAlignment="0" applyProtection="0">
      <alignment vertical="center"/>
    </xf>
    <xf numFmtId="0" fontId="75" fillId="10" borderId="96" applyNumberFormat="0" applyAlignment="0" applyProtection="0">
      <alignment vertical="center"/>
    </xf>
    <xf numFmtId="0" fontId="3" fillId="0" borderId="0">
      <alignment vertical="center"/>
    </xf>
    <xf numFmtId="0" fontId="25" fillId="0" borderId="100">
      <alignment horizontal="left" vertical="center"/>
    </xf>
    <xf numFmtId="10" fontId="24" fillId="20" borderId="99" applyNumberFormat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62" fillId="20" borderId="101" applyNumberFormat="0" applyFont="0" applyAlignment="0" applyProtection="0">
      <alignment vertical="center"/>
    </xf>
    <xf numFmtId="0" fontId="10" fillId="20" borderId="101" applyNumberFormat="0" applyFont="0" applyAlignment="0" applyProtection="0">
      <alignment vertical="center"/>
    </xf>
    <xf numFmtId="0" fontId="65" fillId="19" borderId="102" applyNumberFormat="0" applyAlignment="0" applyProtection="0">
      <alignment vertical="center"/>
    </xf>
    <xf numFmtId="0" fontId="70" fillId="0" borderId="103" applyNumberFormat="0" applyFill="0" applyAlignment="0" applyProtection="0">
      <alignment vertical="center"/>
    </xf>
    <xf numFmtId="0" fontId="71" fillId="19" borderId="104" applyNumberFormat="0" applyAlignment="0" applyProtection="0">
      <alignment vertical="center"/>
    </xf>
    <xf numFmtId="0" fontId="75" fillId="10" borderId="102" applyNumberFormat="0" applyAlignment="0" applyProtection="0">
      <alignment vertical="center"/>
    </xf>
    <xf numFmtId="0" fontId="3" fillId="0" borderId="0">
      <alignment vertical="center"/>
    </xf>
    <xf numFmtId="10" fontId="24" fillId="20" borderId="99" applyNumberFormat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25" fillId="0" borderId="90">
      <alignment horizontal="left" vertical="center"/>
    </xf>
    <xf numFmtId="0" fontId="71" fillId="19" borderId="98" applyNumberFormat="0" applyAlignment="0" applyProtection="0">
      <alignment vertical="center"/>
    </xf>
    <xf numFmtId="0" fontId="3" fillId="0" borderId="0">
      <alignment vertical="center"/>
    </xf>
    <xf numFmtId="0" fontId="75" fillId="10" borderId="160" applyNumberFormat="0" applyAlignment="0" applyProtection="0">
      <alignment vertical="center"/>
    </xf>
    <xf numFmtId="0" fontId="65" fillId="19" borderId="166" applyNumberFormat="0" applyAlignment="0" applyProtection="0">
      <alignment vertical="center"/>
    </xf>
    <xf numFmtId="0" fontId="71" fillId="19" borderId="168" applyNumberFormat="0" applyAlignment="0" applyProtection="0">
      <alignment vertical="center"/>
    </xf>
    <xf numFmtId="0" fontId="10" fillId="20" borderId="165" applyNumberFormat="0" applyFont="0" applyAlignment="0" applyProtection="0">
      <alignment vertical="center"/>
    </xf>
    <xf numFmtId="0" fontId="65" fillId="19" borderId="166" applyNumberFormat="0" applyAlignment="0" applyProtection="0">
      <alignment vertical="center"/>
    </xf>
    <xf numFmtId="10" fontId="24" fillId="20" borderId="217" applyNumberFormat="0" applyBorder="0" applyAlignment="0" applyProtection="0"/>
    <xf numFmtId="0" fontId="25" fillId="0" borderId="164">
      <alignment horizontal="left" vertical="center"/>
    </xf>
    <xf numFmtId="0" fontId="75" fillId="10" borderId="166" applyNumberFormat="0" applyAlignment="0" applyProtection="0">
      <alignment vertical="center"/>
    </xf>
    <xf numFmtId="0" fontId="65" fillId="19" borderId="136" applyNumberFormat="0" applyAlignment="0" applyProtection="0">
      <alignment vertical="center"/>
    </xf>
    <xf numFmtId="10" fontId="24" fillId="20" borderId="205" applyNumberFormat="0" applyBorder="0" applyAlignment="0" applyProtection="0"/>
    <xf numFmtId="0" fontId="62" fillId="20" borderId="219" applyNumberFormat="0" applyFont="0" applyAlignment="0" applyProtection="0">
      <alignment vertical="center"/>
    </xf>
    <xf numFmtId="0" fontId="70" fillId="0" borderId="221" applyNumberFormat="0" applyFill="0" applyAlignment="0" applyProtection="0">
      <alignment vertical="center"/>
    </xf>
    <xf numFmtId="0" fontId="75" fillId="10" borderId="124" applyNumberFormat="0" applyAlignment="0" applyProtection="0">
      <alignment vertical="center"/>
    </xf>
    <xf numFmtId="0" fontId="71" fillId="19" borderId="126" applyNumberFormat="0" applyAlignment="0" applyProtection="0">
      <alignment vertical="center"/>
    </xf>
    <xf numFmtId="0" fontId="70" fillId="0" borderId="125" applyNumberFormat="0" applyFill="0" applyAlignment="0" applyProtection="0">
      <alignment vertical="center"/>
    </xf>
    <xf numFmtId="0" fontId="65" fillId="19" borderId="124" applyNumberFormat="0" applyAlignment="0" applyProtection="0">
      <alignment vertical="center"/>
    </xf>
    <xf numFmtId="0" fontId="65" fillId="19" borderId="154" applyNumberFormat="0" applyAlignment="0" applyProtection="0">
      <alignment vertical="center"/>
    </xf>
    <xf numFmtId="0" fontId="10" fillId="20" borderId="123" applyNumberFormat="0" applyFont="0" applyAlignment="0" applyProtection="0">
      <alignment vertical="center"/>
    </xf>
    <xf numFmtId="0" fontId="62" fillId="20" borderId="123" applyNumberFormat="0" applyFont="0" applyAlignment="0" applyProtection="0">
      <alignment vertical="center"/>
    </xf>
    <xf numFmtId="0" fontId="65" fillId="19" borderId="136" applyNumberFormat="0" applyAlignment="0" applyProtection="0">
      <alignment vertical="center"/>
    </xf>
    <xf numFmtId="0" fontId="10" fillId="20" borderId="135" applyNumberFormat="0" applyFont="0" applyAlignment="0" applyProtection="0">
      <alignment vertical="center"/>
    </xf>
    <xf numFmtId="10" fontId="24" fillId="20" borderId="121" applyNumberFormat="0" applyBorder="0" applyAlignment="0" applyProtection="0"/>
    <xf numFmtId="0" fontId="25" fillId="0" borderId="122">
      <alignment horizontal="left" vertical="center"/>
    </xf>
    <xf numFmtId="0" fontId="62" fillId="20" borderId="135" applyNumberFormat="0" applyFont="0" applyAlignment="0" applyProtection="0">
      <alignment vertical="center"/>
    </xf>
    <xf numFmtId="0" fontId="25" fillId="0" borderId="218">
      <alignment horizontal="left" vertical="center"/>
    </xf>
    <xf numFmtId="0" fontId="65" fillId="19" borderId="220" applyNumberFormat="0" applyAlignment="0" applyProtection="0">
      <alignment vertical="center"/>
    </xf>
    <xf numFmtId="0" fontId="10" fillId="20" borderId="165" applyNumberFormat="0" applyFont="0" applyAlignment="0" applyProtection="0">
      <alignment vertical="center"/>
    </xf>
    <xf numFmtId="10" fontId="24" fillId="20" borderId="163" applyNumberFormat="0" applyBorder="0" applyAlignment="0" applyProtection="0"/>
    <xf numFmtId="0" fontId="25" fillId="0" borderId="164">
      <alignment horizontal="left" vertical="center"/>
    </xf>
    <xf numFmtId="0" fontId="70" fillId="0" borderId="167" applyNumberFormat="0" applyFill="0" applyAlignment="0" applyProtection="0">
      <alignment vertical="center"/>
    </xf>
    <xf numFmtId="0" fontId="62" fillId="20" borderId="165" applyNumberFormat="0" applyFont="0" applyAlignment="0" applyProtection="0">
      <alignment vertical="center"/>
    </xf>
    <xf numFmtId="10" fontId="24" fillId="20" borderId="163" applyNumberFormat="0" applyBorder="0" applyAlignment="0" applyProtection="0"/>
    <xf numFmtId="0" fontId="25" fillId="0" borderId="218">
      <alignment horizontal="left" vertical="center"/>
    </xf>
    <xf numFmtId="0" fontId="10" fillId="20" borderId="219" applyNumberFormat="0" applyFont="0" applyAlignment="0" applyProtection="0">
      <alignment vertical="center"/>
    </xf>
    <xf numFmtId="0" fontId="10" fillId="20" borderId="135" applyNumberFormat="0" applyFont="0" applyAlignment="0" applyProtection="0">
      <alignment vertical="center"/>
    </xf>
    <xf numFmtId="10" fontId="24" fillId="20" borderId="133" applyNumberFormat="0" applyBorder="0" applyAlignment="0" applyProtection="0"/>
    <xf numFmtId="0" fontId="70" fillId="0" borderId="137" applyNumberFormat="0" applyFill="0" applyAlignment="0" applyProtection="0">
      <alignment vertical="center"/>
    </xf>
    <xf numFmtId="0" fontId="10" fillId="20" borderId="135" applyNumberFormat="0" applyFont="0" applyAlignment="0" applyProtection="0">
      <alignment vertical="center"/>
    </xf>
    <xf numFmtId="0" fontId="65" fillId="19" borderId="208" applyNumberFormat="0" applyAlignment="0" applyProtection="0">
      <alignment vertical="center"/>
    </xf>
    <xf numFmtId="10" fontId="24" fillId="20" borderId="157" applyNumberFormat="0" applyBorder="0" applyAlignment="0" applyProtection="0"/>
    <xf numFmtId="0" fontId="25" fillId="0" borderId="158">
      <alignment horizontal="left" vertical="center"/>
    </xf>
    <xf numFmtId="0" fontId="71" fillId="19" borderId="222" applyNumberFormat="0" applyAlignment="0" applyProtection="0">
      <alignment vertical="center"/>
    </xf>
    <xf numFmtId="0" fontId="62" fillId="20" borderId="135" applyNumberFormat="0" applyFont="0" applyAlignment="0" applyProtection="0">
      <alignment vertical="center"/>
    </xf>
    <xf numFmtId="0" fontId="65" fillId="19" borderId="220" applyNumberFormat="0" applyAlignment="0" applyProtection="0">
      <alignment vertical="center"/>
    </xf>
    <xf numFmtId="0" fontId="75" fillId="10" borderId="118" applyNumberFormat="0" applyAlignment="0" applyProtection="0">
      <alignment vertical="center"/>
    </xf>
    <xf numFmtId="0" fontId="71" fillId="19" borderId="222" applyNumberFormat="0" applyAlignment="0" applyProtection="0">
      <alignment vertical="center"/>
    </xf>
    <xf numFmtId="0" fontId="10" fillId="20" borderId="219" applyNumberFormat="0" applyFont="0" applyAlignment="0" applyProtection="0">
      <alignment vertical="center"/>
    </xf>
    <xf numFmtId="0" fontId="71" fillId="19" borderId="120" applyNumberFormat="0" applyAlignment="0" applyProtection="0">
      <alignment vertical="center"/>
    </xf>
    <xf numFmtId="0" fontId="70" fillId="0" borderId="119" applyNumberFormat="0" applyFill="0" applyAlignment="0" applyProtection="0">
      <alignment vertical="center"/>
    </xf>
    <xf numFmtId="0" fontId="75" fillId="10" borderId="154" applyNumberFormat="0" applyAlignment="0" applyProtection="0">
      <alignment vertical="center"/>
    </xf>
    <xf numFmtId="0" fontId="71" fillId="19" borderId="156" applyNumberFormat="0" applyAlignment="0" applyProtection="0">
      <alignment vertical="center"/>
    </xf>
    <xf numFmtId="0" fontId="70" fillId="0" borderId="155" applyNumberFormat="0" applyFill="0" applyAlignment="0" applyProtection="0">
      <alignment vertical="center"/>
    </xf>
    <xf numFmtId="0" fontId="65" fillId="19" borderId="118" applyNumberFormat="0" applyAlignment="0" applyProtection="0">
      <alignment vertical="center"/>
    </xf>
    <xf numFmtId="0" fontId="62" fillId="20" borderId="153" applyNumberFormat="0" applyFont="0" applyAlignment="0" applyProtection="0">
      <alignment vertical="center"/>
    </xf>
    <xf numFmtId="0" fontId="10" fillId="20" borderId="117" applyNumberFormat="0" applyFont="0" applyAlignment="0" applyProtection="0">
      <alignment vertical="center"/>
    </xf>
    <xf numFmtId="0" fontId="62" fillId="20" borderId="117" applyNumberFormat="0" applyFont="0" applyAlignment="0" applyProtection="0">
      <alignment vertical="center"/>
    </xf>
    <xf numFmtId="0" fontId="75" fillId="10" borderId="196" applyNumberFormat="0" applyAlignment="0" applyProtection="0">
      <alignment vertical="center"/>
    </xf>
    <xf numFmtId="10" fontId="24" fillId="20" borderId="151" applyNumberFormat="0" applyBorder="0" applyAlignment="0" applyProtection="0"/>
    <xf numFmtId="0" fontId="10" fillId="20" borderId="195" applyNumberFormat="0" applyFont="0" applyAlignment="0" applyProtection="0">
      <alignment vertical="center"/>
    </xf>
    <xf numFmtId="0" fontId="71" fillId="19" borderId="198" applyNumberFormat="0" applyAlignment="0" applyProtection="0">
      <alignment vertical="center"/>
    </xf>
    <xf numFmtId="0" fontId="70" fillId="0" borderId="197" applyNumberFormat="0" applyFill="0" applyAlignment="0" applyProtection="0">
      <alignment vertical="center"/>
    </xf>
    <xf numFmtId="0" fontId="62" fillId="20" borderId="195" applyNumberFormat="0" applyFont="0" applyAlignment="0" applyProtection="0">
      <alignment vertical="center"/>
    </xf>
    <xf numFmtId="0" fontId="62" fillId="20" borderId="159" applyNumberFormat="0" applyFont="0" applyAlignment="0" applyProtection="0">
      <alignment vertical="center"/>
    </xf>
    <xf numFmtId="0" fontId="65" fillId="19" borderId="160" applyNumberFormat="0" applyAlignment="0" applyProtection="0">
      <alignment vertical="center"/>
    </xf>
    <xf numFmtId="0" fontId="75" fillId="10" borderId="214" applyNumberFormat="0" applyAlignment="0" applyProtection="0">
      <alignment vertical="center"/>
    </xf>
    <xf numFmtId="0" fontId="65" fillId="19" borderId="196" applyNumberFormat="0" applyAlignment="0" applyProtection="0">
      <alignment vertical="center"/>
    </xf>
    <xf numFmtId="0" fontId="25" fillId="0" borderId="212">
      <alignment horizontal="left" vertical="center"/>
    </xf>
    <xf numFmtId="10" fontId="24" fillId="20" borderId="187" applyNumberFormat="0" applyBorder="0" applyAlignment="0" applyProtection="0"/>
    <xf numFmtId="0" fontId="71" fillId="19" borderId="198" applyNumberFormat="0" applyAlignment="0" applyProtection="0">
      <alignment vertical="center"/>
    </xf>
    <xf numFmtId="0" fontId="25" fillId="0" borderId="116">
      <alignment horizontal="left" vertical="center"/>
    </xf>
    <xf numFmtId="10" fontId="24" fillId="20" borderId="175" applyNumberFormat="0" applyBorder="0" applyAlignment="0" applyProtection="0"/>
    <xf numFmtId="0" fontId="25" fillId="0" borderId="176">
      <alignment horizontal="left" vertical="center"/>
    </xf>
    <xf numFmtId="0" fontId="75" fillId="10" borderId="190" applyNumberFormat="0" applyAlignment="0" applyProtection="0">
      <alignment vertical="center"/>
    </xf>
    <xf numFmtId="0" fontId="65" fillId="19" borderId="214" applyNumberFormat="0" applyAlignment="0" applyProtection="0">
      <alignment vertical="center"/>
    </xf>
    <xf numFmtId="0" fontId="25" fillId="0" borderId="140">
      <alignment horizontal="left" vertical="center"/>
    </xf>
    <xf numFmtId="0" fontId="65" fillId="19" borderId="142" applyNumberFormat="0" applyAlignment="0" applyProtection="0">
      <alignment vertical="center"/>
    </xf>
    <xf numFmtId="0" fontId="70" fillId="0" borderId="143" applyNumberFormat="0" applyFill="0" applyAlignment="0" applyProtection="0">
      <alignment vertical="center"/>
    </xf>
    <xf numFmtId="0" fontId="75" fillId="10" borderId="142" applyNumberFormat="0" applyAlignment="0" applyProtection="0">
      <alignment vertical="center"/>
    </xf>
    <xf numFmtId="0" fontId="75" fillId="10" borderId="136" applyNumberFormat="0" applyAlignment="0" applyProtection="0">
      <alignment vertical="center"/>
    </xf>
    <xf numFmtId="0" fontId="71" fillId="19" borderId="162" applyNumberFormat="0" applyAlignment="0" applyProtection="0">
      <alignment vertical="center"/>
    </xf>
    <xf numFmtId="0" fontId="10" fillId="20" borderId="159" applyNumberFormat="0" applyFont="0" applyAlignment="0" applyProtection="0">
      <alignment vertical="center"/>
    </xf>
    <xf numFmtId="0" fontId="71" fillId="19" borderId="138" applyNumberFormat="0" applyAlignment="0" applyProtection="0">
      <alignment vertical="center"/>
    </xf>
    <xf numFmtId="0" fontId="71" fillId="19" borderId="144" applyNumberFormat="0" applyAlignment="0" applyProtection="0">
      <alignment vertical="center"/>
    </xf>
    <xf numFmtId="0" fontId="3" fillId="0" borderId="0">
      <alignment vertical="center"/>
    </xf>
    <xf numFmtId="0" fontId="10" fillId="20" borderId="141" applyNumberFormat="0" applyFont="0" applyAlignment="0" applyProtection="0">
      <alignment vertical="center"/>
    </xf>
    <xf numFmtId="10" fontId="24" fillId="20" borderId="193" applyNumberFormat="0" applyBorder="0" applyAlignment="0" applyProtection="0"/>
    <xf numFmtId="0" fontId="25" fillId="0" borderId="134">
      <alignment horizontal="left" vertical="center"/>
    </xf>
    <xf numFmtId="0" fontId="3" fillId="0" borderId="0">
      <alignment vertical="center"/>
    </xf>
    <xf numFmtId="0" fontId="70" fillId="0" borderId="137" applyNumberFormat="0" applyFill="0" applyAlignment="0" applyProtection="0">
      <alignment vertical="center"/>
    </xf>
    <xf numFmtId="0" fontId="70" fillId="0" borderId="167" applyNumberFormat="0" applyFill="0" applyAlignment="0" applyProtection="0">
      <alignment vertical="center"/>
    </xf>
    <xf numFmtId="0" fontId="62" fillId="20" borderId="165" applyNumberFormat="0" applyFont="0" applyAlignment="0" applyProtection="0">
      <alignment vertical="center"/>
    </xf>
    <xf numFmtId="0" fontId="25" fillId="0" borderId="182">
      <alignment horizontal="left" vertical="center"/>
    </xf>
    <xf numFmtId="0" fontId="10" fillId="20" borderId="153" applyNumberFormat="0" applyFont="0" applyAlignment="0" applyProtection="0">
      <alignment vertical="center"/>
    </xf>
    <xf numFmtId="0" fontId="62" fillId="20" borderId="189" applyNumberFormat="0" applyFont="0" applyAlignment="0" applyProtection="0">
      <alignment vertical="center"/>
    </xf>
    <xf numFmtId="0" fontId="62" fillId="20" borderId="195" applyNumberFormat="0" applyFont="0" applyAlignment="0" applyProtection="0">
      <alignment vertical="center"/>
    </xf>
    <xf numFmtId="0" fontId="75" fillId="10" borderId="196" applyNumberFormat="0" applyAlignment="0" applyProtection="0">
      <alignment vertical="center"/>
    </xf>
    <xf numFmtId="0" fontId="70" fillId="0" borderId="197" applyNumberFormat="0" applyFill="0" applyAlignment="0" applyProtection="0">
      <alignment vertical="center"/>
    </xf>
    <xf numFmtId="0" fontId="10" fillId="20" borderId="195" applyNumberFormat="0" applyFont="0" applyAlignment="0" applyProtection="0">
      <alignment vertical="center"/>
    </xf>
    <xf numFmtId="0" fontId="70" fillId="0" borderId="161" applyNumberFormat="0" applyFill="0" applyAlignment="0" applyProtection="0">
      <alignment vertical="center"/>
    </xf>
    <xf numFmtId="0" fontId="10" fillId="20" borderId="189" applyNumberFormat="0" applyFont="0" applyAlignment="0" applyProtection="0">
      <alignment vertical="center"/>
    </xf>
    <xf numFmtId="10" fontId="24" fillId="20" borderId="133" applyNumberFormat="0" applyBorder="0" applyAlignment="0" applyProtection="0"/>
    <xf numFmtId="0" fontId="65" fillId="19" borderId="160" applyNumberFormat="0" applyAlignment="0" applyProtection="0">
      <alignment vertical="center"/>
    </xf>
    <xf numFmtId="0" fontId="75" fillId="10" borderId="160" applyNumberFormat="0" applyAlignment="0" applyProtection="0">
      <alignment vertical="center"/>
    </xf>
    <xf numFmtId="10" fontId="24" fillId="20" borderId="115" applyNumberFormat="0" applyBorder="0" applyAlignment="0" applyProtection="0"/>
    <xf numFmtId="0" fontId="62" fillId="20" borderId="141" applyNumberFormat="0" applyFont="0" applyAlignment="0" applyProtection="0">
      <alignment vertical="center"/>
    </xf>
    <xf numFmtId="0" fontId="25" fillId="0" borderId="176">
      <alignment horizontal="left" vertical="center"/>
    </xf>
    <xf numFmtId="0" fontId="10" fillId="20" borderId="195" applyNumberFormat="0" applyFont="0" applyAlignment="0" applyProtection="0">
      <alignment vertical="center"/>
    </xf>
    <xf numFmtId="10" fontId="24" fillId="20" borderId="139" applyNumberFormat="0" applyBorder="0" applyAlignment="0" applyProtection="0"/>
    <xf numFmtId="0" fontId="3" fillId="0" borderId="0">
      <alignment vertical="center"/>
    </xf>
    <xf numFmtId="0" fontId="65" fillId="19" borderId="196" applyNumberFormat="0" applyAlignment="0" applyProtection="0">
      <alignment vertical="center"/>
    </xf>
    <xf numFmtId="0" fontId="3" fillId="0" borderId="0">
      <alignment vertical="center"/>
    </xf>
    <xf numFmtId="0" fontId="65" fillId="19" borderId="196" applyNumberFormat="0" applyAlignment="0" applyProtection="0">
      <alignment vertical="center"/>
    </xf>
    <xf numFmtId="0" fontId="3" fillId="0" borderId="0">
      <alignment vertical="center"/>
    </xf>
    <xf numFmtId="0" fontId="25" fillId="0" borderId="90">
      <alignment horizontal="left" vertical="center"/>
    </xf>
    <xf numFmtId="10" fontId="24" fillId="20" borderId="99" applyNumberFormat="0" applyBorder="0" applyAlignment="0" applyProtection="0"/>
    <xf numFmtId="0" fontId="62" fillId="20" borderId="101" applyNumberFormat="0" applyFont="0" applyAlignment="0" applyProtection="0">
      <alignment vertical="center"/>
    </xf>
    <xf numFmtId="0" fontId="10" fillId="20" borderId="101" applyNumberFormat="0" applyFont="0" applyAlignment="0" applyProtection="0">
      <alignment vertical="center"/>
    </xf>
    <xf numFmtId="0" fontId="65" fillId="19" borderId="102" applyNumberFormat="0" applyAlignment="0" applyProtection="0">
      <alignment vertical="center"/>
    </xf>
    <xf numFmtId="0" fontId="70" fillId="0" borderId="103" applyNumberFormat="0" applyFill="0" applyAlignment="0" applyProtection="0">
      <alignment vertical="center"/>
    </xf>
    <xf numFmtId="0" fontId="71" fillId="19" borderId="104" applyNumberFormat="0" applyAlignment="0" applyProtection="0">
      <alignment vertical="center"/>
    </xf>
    <xf numFmtId="0" fontId="75" fillId="10" borderId="102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0" borderId="90">
      <alignment horizontal="left" vertical="center"/>
    </xf>
    <xf numFmtId="10" fontId="24" fillId="20" borderId="99" applyNumberFormat="0" applyBorder="0" applyAlignment="0" applyProtection="0"/>
    <xf numFmtId="0" fontId="62" fillId="20" borderId="101" applyNumberFormat="0" applyFont="0" applyAlignment="0" applyProtection="0">
      <alignment vertical="center"/>
    </xf>
    <xf numFmtId="0" fontId="10" fillId="20" borderId="101" applyNumberFormat="0" applyFont="0" applyAlignment="0" applyProtection="0">
      <alignment vertical="center"/>
    </xf>
    <xf numFmtId="0" fontId="65" fillId="19" borderId="102" applyNumberFormat="0" applyAlignment="0" applyProtection="0">
      <alignment vertical="center"/>
    </xf>
    <xf numFmtId="0" fontId="70" fillId="0" borderId="103" applyNumberFormat="0" applyFill="0" applyAlignment="0" applyProtection="0">
      <alignment vertical="center"/>
    </xf>
    <xf numFmtId="0" fontId="71" fillId="19" borderId="104" applyNumberFormat="0" applyAlignment="0" applyProtection="0">
      <alignment vertical="center"/>
    </xf>
    <xf numFmtId="0" fontId="75" fillId="10" borderId="102" applyNumberFormat="0" applyAlignment="0" applyProtection="0">
      <alignment vertical="center"/>
    </xf>
    <xf numFmtId="0" fontId="3" fillId="0" borderId="0">
      <alignment vertical="center"/>
    </xf>
    <xf numFmtId="0" fontId="62" fillId="20" borderId="105" applyNumberFormat="0" applyFont="0" applyAlignment="0" applyProtection="0">
      <alignment vertical="center"/>
    </xf>
    <xf numFmtId="0" fontId="10" fillId="20" borderId="105" applyNumberFormat="0" applyFont="0" applyAlignment="0" applyProtection="0">
      <alignment vertical="center"/>
    </xf>
    <xf numFmtId="0" fontId="65" fillId="19" borderId="106" applyNumberFormat="0" applyAlignment="0" applyProtection="0">
      <alignment vertical="center"/>
    </xf>
    <xf numFmtId="0" fontId="70" fillId="0" borderId="107" applyNumberFormat="0" applyFill="0" applyAlignment="0" applyProtection="0">
      <alignment vertical="center"/>
    </xf>
    <xf numFmtId="0" fontId="71" fillId="19" borderId="108" applyNumberFormat="0" applyAlignment="0" applyProtection="0">
      <alignment vertical="center"/>
    </xf>
    <xf numFmtId="0" fontId="75" fillId="10" borderId="106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2" fillId="20" borderId="105" applyNumberFormat="0" applyFont="0" applyAlignment="0" applyProtection="0">
      <alignment vertical="center"/>
    </xf>
    <xf numFmtId="0" fontId="10" fillId="20" borderId="105" applyNumberFormat="0" applyFont="0" applyAlignment="0" applyProtection="0">
      <alignment vertical="center"/>
    </xf>
    <xf numFmtId="0" fontId="65" fillId="19" borderId="106" applyNumberFormat="0" applyAlignment="0" applyProtection="0">
      <alignment vertical="center"/>
    </xf>
    <xf numFmtId="0" fontId="70" fillId="0" borderId="107" applyNumberFormat="0" applyFill="0" applyAlignment="0" applyProtection="0">
      <alignment vertical="center"/>
    </xf>
    <xf numFmtId="0" fontId="71" fillId="19" borderId="108" applyNumberFormat="0" applyAlignment="0" applyProtection="0">
      <alignment vertical="center"/>
    </xf>
    <xf numFmtId="0" fontId="75" fillId="10" borderId="106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5" fillId="10" borderId="136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6" fontId="95" fillId="0" borderId="0" applyFont="0" applyFill="0" applyBorder="0" applyAlignment="0" applyProtection="0">
      <alignment vertical="center"/>
    </xf>
    <xf numFmtId="0" fontId="62" fillId="20" borderId="135" applyNumberFormat="0" applyFont="0" applyAlignment="0" applyProtection="0">
      <alignment vertical="center"/>
    </xf>
    <xf numFmtId="6" fontId="95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0" fontId="24" fillId="20" borderId="187" applyNumberFormat="0" applyBorder="0" applyAlignment="0" applyProtection="0"/>
    <xf numFmtId="10" fontId="24" fillId="20" borderId="99" applyNumberFormat="0" applyBorder="0" applyAlignment="0" applyProtection="0"/>
    <xf numFmtId="0" fontId="25" fillId="0" borderId="90">
      <alignment horizontal="left" vertical="center"/>
    </xf>
    <xf numFmtId="0" fontId="25" fillId="0" borderId="110">
      <alignment horizontal="left" vertical="center"/>
    </xf>
    <xf numFmtId="10" fontId="24" fillId="20" borderId="109" applyNumberFormat="0" applyBorder="0" applyAlignment="0" applyProtection="0"/>
    <xf numFmtId="0" fontId="75" fillId="10" borderId="106" applyNumberFormat="0" applyAlignment="0" applyProtection="0">
      <alignment vertical="center"/>
    </xf>
    <xf numFmtId="0" fontId="71" fillId="19" borderId="108" applyNumberFormat="0" applyAlignment="0" applyProtection="0">
      <alignment vertical="center"/>
    </xf>
    <xf numFmtId="0" fontId="70" fillId="0" borderId="107" applyNumberFormat="0" applyFill="0" applyAlignment="0" applyProtection="0">
      <alignment vertical="center"/>
    </xf>
    <xf numFmtId="0" fontId="65" fillId="19" borderId="106" applyNumberFormat="0" applyAlignment="0" applyProtection="0">
      <alignment vertical="center"/>
    </xf>
    <xf numFmtId="0" fontId="10" fillId="20" borderId="105" applyNumberFormat="0" applyFont="0" applyAlignment="0" applyProtection="0">
      <alignment vertical="center"/>
    </xf>
    <xf numFmtId="0" fontId="62" fillId="20" borderId="105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0" borderId="110">
      <alignment horizontal="left" vertical="center"/>
    </xf>
    <xf numFmtId="10" fontId="24" fillId="20" borderId="109" applyNumberFormat="0" applyBorder="0" applyAlignment="0" applyProtection="0"/>
    <xf numFmtId="0" fontId="62" fillId="20" borderId="111" applyNumberFormat="0" applyFont="0" applyAlignment="0" applyProtection="0">
      <alignment vertical="center"/>
    </xf>
    <xf numFmtId="0" fontId="10" fillId="20" borderId="111" applyNumberFormat="0" applyFont="0" applyAlignment="0" applyProtection="0">
      <alignment vertical="center"/>
    </xf>
    <xf numFmtId="0" fontId="65" fillId="19" borderId="112" applyNumberFormat="0" applyAlignment="0" applyProtection="0">
      <alignment vertical="center"/>
    </xf>
    <xf numFmtId="0" fontId="70" fillId="0" borderId="113" applyNumberFormat="0" applyFill="0" applyAlignment="0" applyProtection="0">
      <alignment vertical="center"/>
    </xf>
    <xf numFmtId="0" fontId="71" fillId="19" borderId="114" applyNumberFormat="0" applyAlignment="0" applyProtection="0">
      <alignment vertical="center"/>
    </xf>
    <xf numFmtId="0" fontId="75" fillId="10" borderId="112" applyNumberFormat="0" applyAlignment="0" applyProtection="0">
      <alignment vertical="center"/>
    </xf>
    <xf numFmtId="0" fontId="3" fillId="0" borderId="0">
      <alignment vertical="center"/>
    </xf>
    <xf numFmtId="0" fontId="25" fillId="0" borderId="90">
      <alignment horizontal="left" vertical="center"/>
    </xf>
    <xf numFmtId="10" fontId="24" fillId="20" borderId="99" applyNumberFormat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62" fillId="20" borderId="111" applyNumberFormat="0" applyFont="0" applyAlignment="0" applyProtection="0">
      <alignment vertical="center"/>
    </xf>
    <xf numFmtId="0" fontId="10" fillId="20" borderId="111" applyNumberFormat="0" applyFont="0" applyAlignment="0" applyProtection="0">
      <alignment vertical="center"/>
    </xf>
    <xf numFmtId="0" fontId="65" fillId="19" borderId="112" applyNumberFormat="0" applyAlignment="0" applyProtection="0">
      <alignment vertical="center"/>
    </xf>
    <xf numFmtId="0" fontId="70" fillId="0" borderId="113" applyNumberFormat="0" applyFill="0" applyAlignment="0" applyProtection="0">
      <alignment vertical="center"/>
    </xf>
    <xf numFmtId="0" fontId="71" fillId="19" borderId="114" applyNumberFormat="0" applyAlignment="0" applyProtection="0">
      <alignment vertical="center"/>
    </xf>
    <xf numFmtId="0" fontId="75" fillId="10" borderId="112" applyNumberFormat="0" applyAlignment="0" applyProtection="0">
      <alignment vertical="center"/>
    </xf>
    <xf numFmtId="0" fontId="3" fillId="0" borderId="0">
      <alignment vertical="center"/>
    </xf>
    <xf numFmtId="10" fontId="24" fillId="20" borderId="175" applyNumberFormat="0" applyBorder="0" applyAlignment="0" applyProtection="0"/>
    <xf numFmtId="0" fontId="25" fillId="0" borderId="182">
      <alignment horizontal="left" vertical="center"/>
    </xf>
    <xf numFmtId="0" fontId="71" fillId="19" borderId="138" applyNumberFormat="0" applyAlignment="0" applyProtection="0">
      <alignment vertical="center"/>
    </xf>
    <xf numFmtId="0" fontId="10" fillId="20" borderId="135" applyNumberFormat="0" applyFont="0" applyAlignment="0" applyProtection="0">
      <alignment vertical="center"/>
    </xf>
    <xf numFmtId="0" fontId="25" fillId="0" borderId="122">
      <alignment horizontal="left" vertical="center"/>
    </xf>
    <xf numFmtId="10" fontId="24" fillId="20" borderId="121" applyNumberFormat="0" applyBorder="0" applyAlignment="0" applyProtection="0"/>
    <xf numFmtId="0" fontId="62" fillId="20" borderId="123" applyNumberFormat="0" applyFont="0" applyAlignment="0" applyProtection="0">
      <alignment vertical="center"/>
    </xf>
    <xf numFmtId="0" fontId="10" fillId="20" borderId="123" applyNumberFormat="0" applyFont="0" applyAlignment="0" applyProtection="0">
      <alignment vertical="center"/>
    </xf>
    <xf numFmtId="0" fontId="65" fillId="19" borderId="124" applyNumberFormat="0" applyAlignment="0" applyProtection="0">
      <alignment vertical="center"/>
    </xf>
    <xf numFmtId="0" fontId="70" fillId="0" borderId="125" applyNumberFormat="0" applyFill="0" applyAlignment="0" applyProtection="0">
      <alignment vertical="center"/>
    </xf>
    <xf numFmtId="0" fontId="71" fillId="19" borderId="126" applyNumberFormat="0" applyAlignment="0" applyProtection="0">
      <alignment vertical="center"/>
    </xf>
    <xf numFmtId="0" fontId="75" fillId="10" borderId="124" applyNumberFormat="0" applyAlignment="0" applyProtection="0">
      <alignment vertical="center"/>
    </xf>
    <xf numFmtId="0" fontId="75" fillId="10" borderId="136" applyNumberFormat="0" applyAlignment="0" applyProtection="0">
      <alignment vertical="center"/>
    </xf>
    <xf numFmtId="0" fontId="25" fillId="0" borderId="122">
      <alignment horizontal="left" vertical="center"/>
    </xf>
    <xf numFmtId="10" fontId="24" fillId="20" borderId="121" applyNumberFormat="0" applyBorder="0" applyAlignment="0" applyProtection="0"/>
    <xf numFmtId="0" fontId="62" fillId="20" borderId="123" applyNumberFormat="0" applyFont="0" applyAlignment="0" applyProtection="0">
      <alignment vertical="center"/>
    </xf>
    <xf numFmtId="0" fontId="10" fillId="20" borderId="123" applyNumberFormat="0" applyFont="0" applyAlignment="0" applyProtection="0">
      <alignment vertical="center"/>
    </xf>
    <xf numFmtId="0" fontId="65" fillId="19" borderId="124" applyNumberFormat="0" applyAlignment="0" applyProtection="0">
      <alignment vertical="center"/>
    </xf>
    <xf numFmtId="0" fontId="70" fillId="0" borderId="125" applyNumberFormat="0" applyFill="0" applyAlignment="0" applyProtection="0">
      <alignment vertical="center"/>
    </xf>
    <xf numFmtId="0" fontId="71" fillId="19" borderId="126" applyNumberFormat="0" applyAlignment="0" applyProtection="0">
      <alignment vertical="center"/>
    </xf>
    <xf numFmtId="0" fontId="75" fillId="10" borderId="124" applyNumberFormat="0" applyAlignment="0" applyProtection="0">
      <alignment vertical="center"/>
    </xf>
    <xf numFmtId="0" fontId="70" fillId="0" borderId="209" applyNumberFormat="0" applyFill="0" applyAlignment="0" applyProtection="0">
      <alignment vertical="center"/>
    </xf>
    <xf numFmtId="0" fontId="62" fillId="20" borderId="123" applyNumberFormat="0" applyFont="0" applyAlignment="0" applyProtection="0">
      <alignment vertical="center"/>
    </xf>
    <xf numFmtId="0" fontId="10" fillId="20" borderId="123" applyNumberFormat="0" applyFont="0" applyAlignment="0" applyProtection="0">
      <alignment vertical="center"/>
    </xf>
    <xf numFmtId="0" fontId="65" fillId="19" borderId="124" applyNumberFormat="0" applyAlignment="0" applyProtection="0">
      <alignment vertical="center"/>
    </xf>
    <xf numFmtId="0" fontId="70" fillId="0" borderId="125" applyNumberFormat="0" applyFill="0" applyAlignment="0" applyProtection="0">
      <alignment vertical="center"/>
    </xf>
    <xf numFmtId="0" fontId="71" fillId="19" borderId="126" applyNumberFormat="0" applyAlignment="0" applyProtection="0">
      <alignment vertical="center"/>
    </xf>
    <xf numFmtId="0" fontId="75" fillId="10" borderId="124" applyNumberFormat="0" applyAlignment="0" applyProtection="0">
      <alignment vertical="center"/>
    </xf>
    <xf numFmtId="0" fontId="65" fillId="19" borderId="136" applyNumberFormat="0" applyAlignment="0" applyProtection="0">
      <alignment vertical="center"/>
    </xf>
    <xf numFmtId="0" fontId="62" fillId="20" borderId="123" applyNumberFormat="0" applyFont="0" applyAlignment="0" applyProtection="0">
      <alignment vertical="center"/>
    </xf>
    <xf numFmtId="0" fontId="10" fillId="20" borderId="123" applyNumberFormat="0" applyFont="0" applyAlignment="0" applyProtection="0">
      <alignment vertical="center"/>
    </xf>
    <xf numFmtId="0" fontId="65" fillId="19" borderId="124" applyNumberFormat="0" applyAlignment="0" applyProtection="0">
      <alignment vertical="center"/>
    </xf>
    <xf numFmtId="0" fontId="70" fillId="0" borderId="125" applyNumberFormat="0" applyFill="0" applyAlignment="0" applyProtection="0">
      <alignment vertical="center"/>
    </xf>
    <xf numFmtId="0" fontId="71" fillId="19" borderId="126" applyNumberFormat="0" applyAlignment="0" applyProtection="0">
      <alignment vertical="center"/>
    </xf>
    <xf numFmtId="0" fontId="75" fillId="10" borderId="124" applyNumberFormat="0" applyAlignment="0" applyProtection="0">
      <alignment vertical="center"/>
    </xf>
    <xf numFmtId="0" fontId="62" fillId="20" borderId="207" applyNumberFormat="0" applyFont="0" applyAlignment="0" applyProtection="0">
      <alignment vertical="center"/>
    </xf>
    <xf numFmtId="0" fontId="65" fillId="19" borderId="136" applyNumberFormat="0" applyAlignment="0" applyProtection="0">
      <alignment vertical="center"/>
    </xf>
    <xf numFmtId="0" fontId="71" fillId="19" borderId="162" applyNumberFormat="0" applyAlignment="0" applyProtection="0">
      <alignment vertical="center"/>
    </xf>
    <xf numFmtId="0" fontId="71" fillId="19" borderId="138" applyNumberFormat="0" applyAlignment="0" applyProtection="0">
      <alignment vertical="center"/>
    </xf>
    <xf numFmtId="0" fontId="62" fillId="20" borderId="135" applyNumberFormat="0" applyFont="0" applyAlignment="0" applyProtection="0">
      <alignment vertical="center"/>
    </xf>
    <xf numFmtId="0" fontId="25" fillId="0" borderId="134">
      <alignment horizontal="left" vertical="center"/>
    </xf>
    <xf numFmtId="10" fontId="24" fillId="20" borderId="181" applyNumberFormat="0" applyBorder="0" applyAlignment="0" applyProtection="0"/>
    <xf numFmtId="0" fontId="70" fillId="0" borderId="137" applyNumberFormat="0" applyFill="0" applyAlignment="0" applyProtection="0">
      <alignment vertical="center"/>
    </xf>
    <xf numFmtId="0" fontId="70" fillId="0" borderId="221" applyNumberFormat="0" applyFill="0" applyAlignment="0" applyProtection="0">
      <alignment vertical="center"/>
    </xf>
    <xf numFmtId="10" fontId="24" fillId="20" borderId="121" applyNumberFormat="0" applyBorder="0" applyAlignment="0" applyProtection="0"/>
    <xf numFmtId="0" fontId="25" fillId="0" borderId="122">
      <alignment horizontal="left" vertical="center"/>
    </xf>
    <xf numFmtId="0" fontId="25" fillId="0" borderId="128">
      <alignment horizontal="left" vertical="center"/>
    </xf>
    <xf numFmtId="10" fontId="24" fillId="20" borderId="127" applyNumberFormat="0" applyBorder="0" applyAlignment="0" applyProtection="0"/>
    <xf numFmtId="0" fontId="75" fillId="10" borderId="124" applyNumberFormat="0" applyAlignment="0" applyProtection="0">
      <alignment vertical="center"/>
    </xf>
    <xf numFmtId="0" fontId="71" fillId="19" borderId="126" applyNumberFormat="0" applyAlignment="0" applyProtection="0">
      <alignment vertical="center"/>
    </xf>
    <xf numFmtId="0" fontId="70" fillId="0" borderId="125" applyNumberFormat="0" applyFill="0" applyAlignment="0" applyProtection="0">
      <alignment vertical="center"/>
    </xf>
    <xf numFmtId="0" fontId="65" fillId="19" borderId="124" applyNumberFormat="0" applyAlignment="0" applyProtection="0">
      <alignment vertical="center"/>
    </xf>
    <xf numFmtId="0" fontId="10" fillId="20" borderId="123" applyNumberFormat="0" applyFont="0" applyAlignment="0" applyProtection="0">
      <alignment vertical="center"/>
    </xf>
    <xf numFmtId="0" fontId="62" fillId="20" borderId="123" applyNumberFormat="0" applyFont="0" applyAlignment="0" applyProtection="0">
      <alignment vertical="center"/>
    </xf>
    <xf numFmtId="0" fontId="25" fillId="0" borderId="128">
      <alignment horizontal="left" vertical="center"/>
    </xf>
    <xf numFmtId="10" fontId="24" fillId="20" borderId="127" applyNumberFormat="0" applyBorder="0" applyAlignment="0" applyProtection="0"/>
    <xf numFmtId="0" fontId="62" fillId="20" borderId="129" applyNumberFormat="0" applyFont="0" applyAlignment="0" applyProtection="0">
      <alignment vertical="center"/>
    </xf>
    <xf numFmtId="0" fontId="10" fillId="20" borderId="129" applyNumberFormat="0" applyFont="0" applyAlignment="0" applyProtection="0">
      <alignment vertical="center"/>
    </xf>
    <xf numFmtId="0" fontId="65" fillId="19" borderId="130" applyNumberFormat="0" applyAlignment="0" applyProtection="0">
      <alignment vertical="center"/>
    </xf>
    <xf numFmtId="0" fontId="70" fillId="0" borderId="131" applyNumberFormat="0" applyFill="0" applyAlignment="0" applyProtection="0">
      <alignment vertical="center"/>
    </xf>
    <xf numFmtId="0" fontId="71" fillId="19" borderId="132" applyNumberFormat="0" applyAlignment="0" applyProtection="0">
      <alignment vertical="center"/>
    </xf>
    <xf numFmtId="0" fontId="75" fillId="10" borderId="130" applyNumberFormat="0" applyAlignment="0" applyProtection="0">
      <alignment vertical="center"/>
    </xf>
    <xf numFmtId="0" fontId="62" fillId="20" borderId="159" applyNumberFormat="0" applyFont="0" applyAlignment="0" applyProtection="0">
      <alignment vertical="center"/>
    </xf>
    <xf numFmtId="0" fontId="25" fillId="0" borderId="122">
      <alignment horizontal="left" vertical="center"/>
    </xf>
    <xf numFmtId="10" fontId="24" fillId="20" borderId="121" applyNumberFormat="0" applyBorder="0" applyAlignment="0" applyProtection="0"/>
    <xf numFmtId="0" fontId="70" fillId="0" borderId="161" applyNumberFormat="0" applyFill="0" applyAlignment="0" applyProtection="0">
      <alignment vertical="center"/>
    </xf>
    <xf numFmtId="10" fontId="24" fillId="20" borderId="181" applyNumberFormat="0" applyBorder="0" applyAlignment="0" applyProtection="0"/>
    <xf numFmtId="0" fontId="62" fillId="20" borderId="129" applyNumberFormat="0" applyFont="0" applyAlignment="0" applyProtection="0">
      <alignment vertical="center"/>
    </xf>
    <xf numFmtId="0" fontId="10" fillId="20" borderId="129" applyNumberFormat="0" applyFont="0" applyAlignment="0" applyProtection="0">
      <alignment vertical="center"/>
    </xf>
    <xf numFmtId="0" fontId="65" fillId="19" borderId="130" applyNumberFormat="0" applyAlignment="0" applyProtection="0">
      <alignment vertical="center"/>
    </xf>
    <xf numFmtId="0" fontId="70" fillId="0" borderId="131" applyNumberFormat="0" applyFill="0" applyAlignment="0" applyProtection="0">
      <alignment vertical="center"/>
    </xf>
    <xf numFmtId="0" fontId="71" fillId="19" borderId="132" applyNumberFormat="0" applyAlignment="0" applyProtection="0">
      <alignment vertical="center"/>
    </xf>
    <xf numFmtId="0" fontId="75" fillId="10" borderId="130" applyNumberFormat="0" applyAlignment="0" applyProtection="0">
      <alignment vertical="center"/>
    </xf>
    <xf numFmtId="0" fontId="10" fillId="20" borderId="159" applyNumberFormat="0" applyFont="0" applyAlignment="0" applyProtection="0">
      <alignment vertical="center"/>
    </xf>
    <xf numFmtId="0" fontId="25" fillId="0" borderId="140">
      <alignment horizontal="left" vertical="center"/>
    </xf>
    <xf numFmtId="10" fontId="24" fillId="20" borderId="139" applyNumberFormat="0" applyBorder="0" applyAlignment="0" applyProtection="0"/>
    <xf numFmtId="0" fontId="62" fillId="20" borderId="141" applyNumberFormat="0" applyFont="0" applyAlignment="0" applyProtection="0">
      <alignment vertical="center"/>
    </xf>
    <xf numFmtId="0" fontId="10" fillId="20" borderId="141" applyNumberFormat="0" applyFont="0" applyAlignment="0" applyProtection="0">
      <alignment vertical="center"/>
    </xf>
    <xf numFmtId="0" fontId="65" fillId="19" borderId="142" applyNumberFormat="0" applyAlignment="0" applyProtection="0">
      <alignment vertical="center"/>
    </xf>
    <xf numFmtId="0" fontId="70" fillId="0" borderId="143" applyNumberFormat="0" applyFill="0" applyAlignment="0" applyProtection="0">
      <alignment vertical="center"/>
    </xf>
    <xf numFmtId="0" fontId="71" fillId="19" borderId="144" applyNumberFormat="0" applyAlignment="0" applyProtection="0">
      <alignment vertical="center"/>
    </xf>
    <xf numFmtId="0" fontId="75" fillId="10" borderId="142" applyNumberFormat="0" applyAlignment="0" applyProtection="0">
      <alignment vertical="center"/>
    </xf>
    <xf numFmtId="10" fontId="24" fillId="20" borderId="175" applyNumberFormat="0" applyBorder="0" applyAlignment="0" applyProtection="0"/>
    <xf numFmtId="0" fontId="62" fillId="20" borderId="141" applyNumberFormat="0" applyFont="0" applyAlignment="0" applyProtection="0">
      <alignment vertical="center"/>
    </xf>
    <xf numFmtId="0" fontId="10" fillId="20" borderId="141" applyNumberFormat="0" applyFont="0" applyAlignment="0" applyProtection="0">
      <alignment vertical="center"/>
    </xf>
    <xf numFmtId="0" fontId="65" fillId="19" borderId="142" applyNumberFormat="0" applyAlignment="0" applyProtection="0">
      <alignment vertical="center"/>
    </xf>
    <xf numFmtId="0" fontId="70" fillId="0" borderId="143" applyNumberFormat="0" applyFill="0" applyAlignment="0" applyProtection="0">
      <alignment vertical="center"/>
    </xf>
    <xf numFmtId="0" fontId="71" fillId="19" borderId="144" applyNumberFormat="0" applyAlignment="0" applyProtection="0">
      <alignment vertical="center"/>
    </xf>
    <xf numFmtId="0" fontId="75" fillId="10" borderId="142" applyNumberFormat="0" applyAlignment="0" applyProtection="0">
      <alignment vertical="center"/>
    </xf>
    <xf numFmtId="0" fontId="62" fillId="20" borderId="195" applyNumberFormat="0" applyFont="0" applyAlignment="0" applyProtection="0">
      <alignment vertical="center"/>
    </xf>
    <xf numFmtId="0" fontId="62" fillId="20" borderId="141" applyNumberFormat="0" applyFont="0" applyAlignment="0" applyProtection="0">
      <alignment vertical="center"/>
    </xf>
    <xf numFmtId="0" fontId="10" fillId="20" borderId="141" applyNumberFormat="0" applyFont="0" applyAlignment="0" applyProtection="0">
      <alignment vertical="center"/>
    </xf>
    <xf numFmtId="0" fontId="65" fillId="19" borderId="142" applyNumberFormat="0" applyAlignment="0" applyProtection="0">
      <alignment vertical="center"/>
    </xf>
    <xf numFmtId="0" fontId="70" fillId="0" borderId="143" applyNumberFormat="0" applyFill="0" applyAlignment="0" applyProtection="0">
      <alignment vertical="center"/>
    </xf>
    <xf numFmtId="0" fontId="71" fillId="19" borderId="144" applyNumberFormat="0" applyAlignment="0" applyProtection="0">
      <alignment vertical="center"/>
    </xf>
    <xf numFmtId="0" fontId="75" fillId="10" borderId="142" applyNumberFormat="0" applyAlignment="0" applyProtection="0">
      <alignment vertical="center"/>
    </xf>
    <xf numFmtId="10" fontId="24" fillId="20" borderId="181" applyNumberFormat="0" applyBorder="0" applyAlignment="0" applyProtection="0"/>
    <xf numFmtId="0" fontId="71" fillId="19" borderId="210" applyNumberFormat="0" applyAlignment="0" applyProtection="0">
      <alignment vertical="center"/>
    </xf>
    <xf numFmtId="0" fontId="25" fillId="0" borderId="152">
      <alignment horizontal="left" vertical="center"/>
    </xf>
    <xf numFmtId="0" fontId="25" fillId="0" borderId="194">
      <alignment horizontal="left" vertical="center"/>
    </xf>
    <xf numFmtId="10" fontId="24" fillId="20" borderId="139" applyNumberFormat="0" applyBorder="0" applyAlignment="0" applyProtection="0"/>
    <xf numFmtId="0" fontId="25" fillId="0" borderId="140">
      <alignment horizontal="left" vertical="center"/>
    </xf>
    <xf numFmtId="0" fontId="25" fillId="0" borderId="146">
      <alignment horizontal="left" vertical="center"/>
    </xf>
    <xf numFmtId="10" fontId="24" fillId="20" borderId="145" applyNumberFormat="0" applyBorder="0" applyAlignment="0" applyProtection="0"/>
    <xf numFmtId="0" fontId="75" fillId="10" borderId="142" applyNumberFormat="0" applyAlignment="0" applyProtection="0">
      <alignment vertical="center"/>
    </xf>
    <xf numFmtId="0" fontId="71" fillId="19" borderId="144" applyNumberFormat="0" applyAlignment="0" applyProtection="0">
      <alignment vertical="center"/>
    </xf>
    <xf numFmtId="0" fontId="70" fillId="0" borderId="143" applyNumberFormat="0" applyFill="0" applyAlignment="0" applyProtection="0">
      <alignment vertical="center"/>
    </xf>
    <xf numFmtId="0" fontId="65" fillId="19" borderId="142" applyNumberFormat="0" applyAlignment="0" applyProtection="0">
      <alignment vertical="center"/>
    </xf>
    <xf numFmtId="0" fontId="10" fillId="20" borderId="141" applyNumberFormat="0" applyFont="0" applyAlignment="0" applyProtection="0">
      <alignment vertical="center"/>
    </xf>
    <xf numFmtId="0" fontId="62" fillId="20" borderId="141" applyNumberFormat="0" applyFont="0" applyAlignment="0" applyProtection="0">
      <alignment vertical="center"/>
    </xf>
    <xf numFmtId="10" fontId="24" fillId="20" borderId="211" applyNumberFormat="0" applyBorder="0" applyAlignment="0" applyProtection="0"/>
    <xf numFmtId="0" fontId="25" fillId="0" borderId="146">
      <alignment horizontal="left" vertical="center"/>
    </xf>
    <xf numFmtId="10" fontId="24" fillId="20" borderId="145" applyNumberFormat="0" applyBorder="0" applyAlignment="0" applyProtection="0"/>
    <xf numFmtId="0" fontId="62" fillId="20" borderId="147" applyNumberFormat="0" applyFont="0" applyAlignment="0" applyProtection="0">
      <alignment vertical="center"/>
    </xf>
    <xf numFmtId="0" fontId="10" fillId="20" borderId="147" applyNumberFormat="0" applyFont="0" applyAlignment="0" applyProtection="0">
      <alignment vertical="center"/>
    </xf>
    <xf numFmtId="0" fontId="65" fillId="19" borderId="148" applyNumberFormat="0" applyAlignment="0" applyProtection="0">
      <alignment vertical="center"/>
    </xf>
    <xf numFmtId="0" fontId="70" fillId="0" borderId="149" applyNumberFormat="0" applyFill="0" applyAlignment="0" applyProtection="0">
      <alignment vertical="center"/>
    </xf>
    <xf numFmtId="0" fontId="71" fillId="19" borderId="150" applyNumberFormat="0" applyAlignment="0" applyProtection="0">
      <alignment vertical="center"/>
    </xf>
    <xf numFmtId="0" fontId="75" fillId="10" borderId="148" applyNumberFormat="0" applyAlignment="0" applyProtection="0">
      <alignment vertical="center"/>
    </xf>
    <xf numFmtId="0" fontId="25" fillId="0" borderId="140">
      <alignment horizontal="left" vertical="center"/>
    </xf>
    <xf numFmtId="10" fontId="24" fillId="20" borderId="139" applyNumberFormat="0" applyBorder="0" applyAlignment="0" applyProtection="0"/>
    <xf numFmtId="0" fontId="25" fillId="0" borderId="194">
      <alignment horizontal="left" vertical="center"/>
    </xf>
    <xf numFmtId="0" fontId="62" fillId="20" borderId="147" applyNumberFormat="0" applyFont="0" applyAlignment="0" applyProtection="0">
      <alignment vertical="center"/>
    </xf>
    <xf numFmtId="0" fontId="10" fillId="20" borderId="147" applyNumberFormat="0" applyFont="0" applyAlignment="0" applyProtection="0">
      <alignment vertical="center"/>
    </xf>
    <xf numFmtId="0" fontId="65" fillId="19" borderId="148" applyNumberFormat="0" applyAlignment="0" applyProtection="0">
      <alignment vertical="center"/>
    </xf>
    <xf numFmtId="0" fontId="70" fillId="0" borderId="149" applyNumberFormat="0" applyFill="0" applyAlignment="0" applyProtection="0">
      <alignment vertical="center"/>
    </xf>
    <xf numFmtId="0" fontId="71" fillId="19" borderId="150" applyNumberFormat="0" applyAlignment="0" applyProtection="0">
      <alignment vertical="center"/>
    </xf>
    <xf numFmtId="0" fontId="75" fillId="10" borderId="148" applyNumberFormat="0" applyAlignment="0" applyProtection="0">
      <alignment vertical="center"/>
    </xf>
    <xf numFmtId="10" fontId="24" fillId="20" borderId="217" applyNumberFormat="0" applyBorder="0" applyAlignment="0" applyProtection="0"/>
    <xf numFmtId="0" fontId="71" fillId="19" borderId="168" applyNumberFormat="0" applyAlignment="0" applyProtection="0">
      <alignment vertical="center"/>
    </xf>
    <xf numFmtId="0" fontId="75" fillId="10" borderId="166" applyNumberFormat="0" applyAlignment="0" applyProtection="0">
      <alignment vertical="center"/>
    </xf>
    <xf numFmtId="0" fontId="62" fillId="20" borderId="165" applyNumberFormat="0" applyFont="0" applyAlignment="0" applyProtection="0">
      <alignment vertical="center"/>
    </xf>
    <xf numFmtId="0" fontId="10" fillId="20" borderId="165" applyNumberFormat="0" applyFont="0" applyAlignment="0" applyProtection="0">
      <alignment vertical="center"/>
    </xf>
    <xf numFmtId="0" fontId="65" fillId="19" borderId="166" applyNumberFormat="0" applyAlignment="0" applyProtection="0">
      <alignment vertical="center"/>
    </xf>
    <xf numFmtId="0" fontId="70" fillId="0" borderId="167" applyNumberFormat="0" applyFill="0" applyAlignment="0" applyProtection="0">
      <alignment vertical="center"/>
    </xf>
    <xf numFmtId="0" fontId="71" fillId="19" borderId="168" applyNumberFormat="0" applyAlignment="0" applyProtection="0">
      <alignment vertical="center"/>
    </xf>
    <xf numFmtId="0" fontId="75" fillId="10" borderId="166" applyNumberFormat="0" applyAlignment="0" applyProtection="0">
      <alignment vertical="center"/>
    </xf>
    <xf numFmtId="0" fontId="62" fillId="20" borderId="165" applyNumberFormat="0" applyFont="0" applyAlignment="0" applyProtection="0">
      <alignment vertical="center"/>
    </xf>
    <xf numFmtId="0" fontId="10" fillId="20" borderId="165" applyNumberFormat="0" applyFont="0" applyAlignment="0" applyProtection="0">
      <alignment vertical="center"/>
    </xf>
    <xf numFmtId="0" fontId="65" fillId="19" borderId="166" applyNumberFormat="0" applyAlignment="0" applyProtection="0">
      <alignment vertical="center"/>
    </xf>
    <xf numFmtId="0" fontId="70" fillId="0" borderId="167" applyNumberFormat="0" applyFill="0" applyAlignment="0" applyProtection="0">
      <alignment vertical="center"/>
    </xf>
    <xf numFmtId="0" fontId="71" fillId="19" borderId="168" applyNumberFormat="0" applyAlignment="0" applyProtection="0">
      <alignment vertical="center"/>
    </xf>
    <xf numFmtId="0" fontId="75" fillId="10" borderId="166" applyNumberFormat="0" applyAlignment="0" applyProtection="0">
      <alignment vertical="center"/>
    </xf>
    <xf numFmtId="0" fontId="75" fillId="10" borderId="208" applyNumberFormat="0" applyAlignment="0" applyProtection="0">
      <alignment vertical="center"/>
    </xf>
    <xf numFmtId="0" fontId="65" fillId="19" borderId="190" applyNumberFormat="0" applyAlignment="0" applyProtection="0">
      <alignment vertical="center"/>
    </xf>
    <xf numFmtId="0" fontId="62" fillId="20" borderId="219" applyNumberFormat="0" applyFont="0" applyAlignment="0" applyProtection="0">
      <alignment vertical="center"/>
    </xf>
    <xf numFmtId="0" fontId="25" fillId="0" borderId="176">
      <alignment horizontal="left" vertical="center"/>
    </xf>
    <xf numFmtId="0" fontId="25" fillId="0" borderId="182">
      <alignment horizontal="left" vertical="center"/>
    </xf>
    <xf numFmtId="0" fontId="75" fillId="10" borderId="220" applyNumberFormat="0" applyAlignment="0" applyProtection="0">
      <alignment vertical="center"/>
    </xf>
    <xf numFmtId="10" fontId="24" fillId="20" borderId="181" applyNumberFormat="0" applyBorder="0" applyAlignment="0" applyProtection="0"/>
    <xf numFmtId="10" fontId="24" fillId="20" borderId="163" applyNumberFormat="0" applyBorder="0" applyAlignment="0" applyProtection="0"/>
    <xf numFmtId="0" fontId="25" fillId="0" borderId="164">
      <alignment horizontal="left" vertical="center"/>
    </xf>
    <xf numFmtId="0" fontId="25" fillId="0" borderId="170">
      <alignment horizontal="left" vertical="center"/>
    </xf>
    <xf numFmtId="10" fontId="24" fillId="20" borderId="169" applyNumberFormat="0" applyBorder="0" applyAlignment="0" applyProtection="0"/>
    <xf numFmtId="0" fontId="75" fillId="10" borderId="166" applyNumberFormat="0" applyAlignment="0" applyProtection="0">
      <alignment vertical="center"/>
    </xf>
    <xf numFmtId="0" fontId="71" fillId="19" borderId="168" applyNumberFormat="0" applyAlignment="0" applyProtection="0">
      <alignment vertical="center"/>
    </xf>
    <xf numFmtId="0" fontId="70" fillId="0" borderId="167" applyNumberFormat="0" applyFill="0" applyAlignment="0" applyProtection="0">
      <alignment vertical="center"/>
    </xf>
    <xf numFmtId="0" fontId="65" fillId="19" borderId="166" applyNumberFormat="0" applyAlignment="0" applyProtection="0">
      <alignment vertical="center"/>
    </xf>
    <xf numFmtId="0" fontId="10" fillId="20" borderId="165" applyNumberFormat="0" applyFont="0" applyAlignment="0" applyProtection="0">
      <alignment vertical="center"/>
    </xf>
    <xf numFmtId="0" fontId="62" fillId="20" borderId="165" applyNumberFormat="0" applyFont="0" applyAlignment="0" applyProtection="0">
      <alignment vertical="center"/>
    </xf>
    <xf numFmtId="0" fontId="25" fillId="0" borderId="170">
      <alignment horizontal="left" vertical="center"/>
    </xf>
    <xf numFmtId="10" fontId="24" fillId="20" borderId="169" applyNumberFormat="0" applyBorder="0" applyAlignment="0" applyProtection="0"/>
    <xf numFmtId="0" fontId="62" fillId="20" borderId="171" applyNumberFormat="0" applyFont="0" applyAlignment="0" applyProtection="0">
      <alignment vertical="center"/>
    </xf>
    <xf numFmtId="0" fontId="10" fillId="20" borderId="171" applyNumberFormat="0" applyFont="0" applyAlignment="0" applyProtection="0">
      <alignment vertical="center"/>
    </xf>
    <xf numFmtId="0" fontId="65" fillId="19" borderId="172" applyNumberFormat="0" applyAlignment="0" applyProtection="0">
      <alignment vertical="center"/>
    </xf>
    <xf numFmtId="0" fontId="70" fillId="0" borderId="173" applyNumberFormat="0" applyFill="0" applyAlignment="0" applyProtection="0">
      <alignment vertical="center"/>
    </xf>
    <xf numFmtId="0" fontId="71" fillId="19" borderId="174" applyNumberFormat="0" applyAlignment="0" applyProtection="0">
      <alignment vertical="center"/>
    </xf>
    <xf numFmtId="0" fontId="75" fillId="10" borderId="172" applyNumberFormat="0" applyAlignment="0" applyProtection="0">
      <alignment vertical="center"/>
    </xf>
    <xf numFmtId="0" fontId="10" fillId="20" borderId="207" applyNumberFormat="0" applyFont="0" applyAlignment="0" applyProtection="0">
      <alignment vertical="center"/>
    </xf>
    <xf numFmtId="0" fontId="25" fillId="0" borderId="164">
      <alignment horizontal="left" vertical="center"/>
    </xf>
    <xf numFmtId="10" fontId="24" fillId="20" borderId="163" applyNumberFormat="0" applyBorder="0" applyAlignment="0" applyProtection="0"/>
    <xf numFmtId="0" fontId="62" fillId="20" borderId="171" applyNumberFormat="0" applyFont="0" applyAlignment="0" applyProtection="0">
      <alignment vertical="center"/>
    </xf>
    <xf numFmtId="0" fontId="10" fillId="20" borderId="171" applyNumberFormat="0" applyFont="0" applyAlignment="0" applyProtection="0">
      <alignment vertical="center"/>
    </xf>
    <xf numFmtId="0" fontId="65" fillId="19" borderId="172" applyNumberFormat="0" applyAlignment="0" applyProtection="0">
      <alignment vertical="center"/>
    </xf>
    <xf numFmtId="0" fontId="70" fillId="0" borderId="173" applyNumberFormat="0" applyFill="0" applyAlignment="0" applyProtection="0">
      <alignment vertical="center"/>
    </xf>
    <xf numFmtId="0" fontId="71" fillId="19" borderId="174" applyNumberFormat="0" applyAlignment="0" applyProtection="0">
      <alignment vertical="center"/>
    </xf>
    <xf numFmtId="0" fontId="75" fillId="10" borderId="172" applyNumberFormat="0" applyAlignment="0" applyProtection="0">
      <alignment vertical="center"/>
    </xf>
    <xf numFmtId="0" fontId="25" fillId="0" borderId="176">
      <alignment horizontal="left" vertical="center"/>
    </xf>
    <xf numFmtId="10" fontId="24" fillId="20" borderId="175" applyNumberFormat="0" applyBorder="0" applyAlignment="0" applyProtection="0"/>
    <xf numFmtId="0" fontId="62" fillId="20" borderId="159" applyNumberFormat="0" applyFont="0" applyAlignment="0" applyProtection="0">
      <alignment vertical="center"/>
    </xf>
    <xf numFmtId="0" fontId="10" fillId="20" borderId="159" applyNumberFormat="0" applyFont="0" applyAlignment="0" applyProtection="0">
      <alignment vertical="center"/>
    </xf>
    <xf numFmtId="0" fontId="65" fillId="19" borderId="160" applyNumberFormat="0" applyAlignment="0" applyProtection="0">
      <alignment vertical="center"/>
    </xf>
    <xf numFmtId="0" fontId="70" fillId="0" borderId="161" applyNumberFormat="0" applyFill="0" applyAlignment="0" applyProtection="0">
      <alignment vertical="center"/>
    </xf>
    <xf numFmtId="0" fontId="71" fillId="19" borderId="162" applyNumberFormat="0" applyAlignment="0" applyProtection="0">
      <alignment vertical="center"/>
    </xf>
    <xf numFmtId="0" fontId="75" fillId="10" borderId="160" applyNumberFormat="0" applyAlignment="0" applyProtection="0">
      <alignment vertical="center"/>
    </xf>
    <xf numFmtId="0" fontId="62" fillId="20" borderId="159" applyNumberFormat="0" applyFont="0" applyAlignment="0" applyProtection="0">
      <alignment vertical="center"/>
    </xf>
    <xf numFmtId="0" fontId="10" fillId="20" borderId="159" applyNumberFormat="0" applyFont="0" applyAlignment="0" applyProtection="0">
      <alignment vertical="center"/>
    </xf>
    <xf numFmtId="0" fontId="65" fillId="19" borderId="160" applyNumberFormat="0" applyAlignment="0" applyProtection="0">
      <alignment vertical="center"/>
    </xf>
    <xf numFmtId="0" fontId="70" fillId="0" borderId="161" applyNumberFormat="0" applyFill="0" applyAlignment="0" applyProtection="0">
      <alignment vertical="center"/>
    </xf>
    <xf numFmtId="0" fontId="71" fillId="19" borderId="162" applyNumberFormat="0" applyAlignment="0" applyProtection="0">
      <alignment vertical="center"/>
    </xf>
    <xf numFmtId="0" fontId="75" fillId="10" borderId="160" applyNumberFormat="0" applyAlignment="0" applyProtection="0">
      <alignment vertical="center"/>
    </xf>
    <xf numFmtId="0" fontId="62" fillId="20" borderId="159" applyNumberFormat="0" applyFont="0" applyAlignment="0" applyProtection="0">
      <alignment vertical="center"/>
    </xf>
    <xf numFmtId="0" fontId="10" fillId="20" borderId="159" applyNumberFormat="0" applyFont="0" applyAlignment="0" applyProtection="0">
      <alignment vertical="center"/>
    </xf>
    <xf numFmtId="0" fontId="65" fillId="19" borderId="160" applyNumberFormat="0" applyAlignment="0" applyProtection="0">
      <alignment vertical="center"/>
    </xf>
    <xf numFmtId="0" fontId="70" fillId="0" borderId="161" applyNumberFormat="0" applyFill="0" applyAlignment="0" applyProtection="0">
      <alignment vertical="center"/>
    </xf>
    <xf numFmtId="0" fontId="71" fillId="19" borderId="162" applyNumberFormat="0" applyAlignment="0" applyProtection="0">
      <alignment vertical="center"/>
    </xf>
    <xf numFmtId="0" fontId="75" fillId="10" borderId="160" applyNumberFormat="0" applyAlignment="0" applyProtection="0">
      <alignment vertical="center"/>
    </xf>
    <xf numFmtId="0" fontId="71" fillId="19" borderId="192" applyNumberFormat="0" applyAlignment="0" applyProtection="0">
      <alignment vertical="center"/>
    </xf>
    <xf numFmtId="0" fontId="71" fillId="19" borderId="216" applyNumberFormat="0" applyAlignment="0" applyProtection="0">
      <alignment vertical="center"/>
    </xf>
    <xf numFmtId="0" fontId="25" fillId="0" borderId="182">
      <alignment horizontal="left" vertical="center"/>
    </xf>
    <xf numFmtId="10" fontId="24" fillId="20" borderId="193" applyNumberFormat="0" applyBorder="0" applyAlignment="0" applyProtection="0"/>
    <xf numFmtId="10" fontId="24" fillId="20" borderId="175" applyNumberFormat="0" applyBorder="0" applyAlignment="0" applyProtection="0"/>
    <xf numFmtId="0" fontId="25" fillId="0" borderId="176">
      <alignment horizontal="left" vertical="center"/>
    </xf>
    <xf numFmtId="0" fontId="25" fillId="0" borderId="158">
      <alignment horizontal="left" vertical="center"/>
    </xf>
    <xf numFmtId="10" fontId="24" fillId="20" borderId="157" applyNumberFormat="0" applyBorder="0" applyAlignment="0" applyProtection="0"/>
    <xf numFmtId="0" fontId="75" fillId="10" borderId="160" applyNumberFormat="0" applyAlignment="0" applyProtection="0">
      <alignment vertical="center"/>
    </xf>
    <xf numFmtId="0" fontId="71" fillId="19" borderId="162" applyNumberFormat="0" applyAlignment="0" applyProtection="0">
      <alignment vertical="center"/>
    </xf>
    <xf numFmtId="0" fontId="70" fillId="0" borderId="161" applyNumberFormat="0" applyFill="0" applyAlignment="0" applyProtection="0">
      <alignment vertical="center"/>
    </xf>
    <xf numFmtId="0" fontId="65" fillId="19" borderId="160" applyNumberFormat="0" applyAlignment="0" applyProtection="0">
      <alignment vertical="center"/>
    </xf>
    <xf numFmtId="0" fontId="10" fillId="20" borderId="159" applyNumberFormat="0" applyFont="0" applyAlignment="0" applyProtection="0">
      <alignment vertical="center"/>
    </xf>
    <xf numFmtId="0" fontId="62" fillId="20" borderId="159" applyNumberFormat="0" applyFont="0" applyAlignment="0" applyProtection="0">
      <alignment vertical="center"/>
    </xf>
    <xf numFmtId="0" fontId="25" fillId="0" borderId="158">
      <alignment horizontal="left" vertical="center"/>
    </xf>
    <xf numFmtId="10" fontId="24" fillId="20" borderId="157" applyNumberFormat="0" applyBorder="0" applyAlignment="0" applyProtection="0"/>
    <xf numFmtId="0" fontId="62" fillId="20" borderId="177" applyNumberFormat="0" applyFont="0" applyAlignment="0" applyProtection="0">
      <alignment vertical="center"/>
    </xf>
    <xf numFmtId="0" fontId="10" fillId="20" borderId="177" applyNumberFormat="0" applyFont="0" applyAlignment="0" applyProtection="0">
      <alignment vertical="center"/>
    </xf>
    <xf numFmtId="0" fontId="65" fillId="19" borderId="178" applyNumberFormat="0" applyAlignment="0" applyProtection="0">
      <alignment vertical="center"/>
    </xf>
    <xf numFmtId="0" fontId="70" fillId="0" borderId="179" applyNumberFormat="0" applyFill="0" applyAlignment="0" applyProtection="0">
      <alignment vertical="center"/>
    </xf>
    <xf numFmtId="0" fontId="71" fillId="19" borderId="180" applyNumberFormat="0" applyAlignment="0" applyProtection="0">
      <alignment vertical="center"/>
    </xf>
    <xf numFmtId="0" fontId="75" fillId="10" borderId="178" applyNumberFormat="0" applyAlignment="0" applyProtection="0">
      <alignment vertical="center"/>
    </xf>
    <xf numFmtId="0" fontId="25" fillId="0" borderId="176">
      <alignment horizontal="left" vertical="center"/>
    </xf>
    <xf numFmtId="10" fontId="24" fillId="20" borderId="175" applyNumberFormat="0" applyBorder="0" applyAlignment="0" applyProtection="0"/>
    <xf numFmtId="0" fontId="62" fillId="20" borderId="177" applyNumberFormat="0" applyFont="0" applyAlignment="0" applyProtection="0">
      <alignment vertical="center"/>
    </xf>
    <xf numFmtId="0" fontId="10" fillId="20" borderId="177" applyNumberFormat="0" applyFont="0" applyAlignment="0" applyProtection="0">
      <alignment vertical="center"/>
    </xf>
    <xf numFmtId="0" fontId="65" fillId="19" borderId="178" applyNumberFormat="0" applyAlignment="0" applyProtection="0">
      <alignment vertical="center"/>
    </xf>
    <xf numFmtId="0" fontId="70" fillId="0" borderId="179" applyNumberFormat="0" applyFill="0" applyAlignment="0" applyProtection="0">
      <alignment vertical="center"/>
    </xf>
    <xf numFmtId="0" fontId="71" fillId="19" borderId="180" applyNumberFormat="0" applyAlignment="0" applyProtection="0">
      <alignment vertical="center"/>
    </xf>
    <xf numFmtId="0" fontId="75" fillId="10" borderId="178" applyNumberFormat="0" applyAlignment="0" applyProtection="0">
      <alignment vertical="center"/>
    </xf>
    <xf numFmtId="0" fontId="70" fillId="0" borderId="137" applyNumberFormat="0" applyFill="0" applyAlignment="0" applyProtection="0">
      <alignment vertical="center"/>
    </xf>
    <xf numFmtId="0" fontId="71" fillId="19" borderId="138" applyNumberFormat="0" applyAlignment="0" applyProtection="0">
      <alignment vertical="center"/>
    </xf>
    <xf numFmtId="0" fontId="75" fillId="10" borderId="136" applyNumberFormat="0" applyAlignment="0" applyProtection="0">
      <alignment vertical="center"/>
    </xf>
    <xf numFmtId="0" fontId="62" fillId="20" borderId="135" applyNumberFormat="0" applyFont="0" applyAlignment="0" applyProtection="0">
      <alignment vertical="center"/>
    </xf>
    <xf numFmtId="0" fontId="10" fillId="20" borderId="135" applyNumberFormat="0" applyFont="0" applyAlignment="0" applyProtection="0">
      <alignment vertical="center"/>
    </xf>
    <xf numFmtId="0" fontId="65" fillId="19" borderId="136" applyNumberFormat="0" applyAlignment="0" applyProtection="0">
      <alignment vertical="center"/>
    </xf>
    <xf numFmtId="0" fontId="70" fillId="0" borderId="137" applyNumberFormat="0" applyFill="0" applyAlignment="0" applyProtection="0">
      <alignment vertical="center"/>
    </xf>
    <xf numFmtId="0" fontId="71" fillId="19" borderId="138" applyNumberFormat="0" applyAlignment="0" applyProtection="0">
      <alignment vertical="center"/>
    </xf>
    <xf numFmtId="0" fontId="75" fillId="10" borderId="136" applyNumberFormat="0" applyAlignment="0" applyProtection="0">
      <alignment vertical="center"/>
    </xf>
    <xf numFmtId="0" fontId="70" fillId="0" borderId="191" applyNumberFormat="0" applyFill="0" applyAlignment="0" applyProtection="0">
      <alignment vertical="center"/>
    </xf>
    <xf numFmtId="0" fontId="25" fillId="0" borderId="188">
      <alignment horizontal="left" vertical="center"/>
    </xf>
    <xf numFmtId="10" fontId="24" fillId="20" borderId="181" applyNumberFormat="0" applyBorder="0" applyAlignment="0" applyProtection="0"/>
    <xf numFmtId="0" fontId="25" fillId="0" borderId="182">
      <alignment horizontal="left" vertical="center"/>
    </xf>
    <xf numFmtId="0" fontId="25" fillId="0" borderId="134">
      <alignment horizontal="left" vertical="center"/>
    </xf>
    <xf numFmtId="10" fontId="24" fillId="20" borderId="133" applyNumberFormat="0" applyBorder="0" applyAlignment="0" applyProtection="0"/>
    <xf numFmtId="0" fontId="75" fillId="10" borderId="136" applyNumberFormat="0" applyAlignment="0" applyProtection="0">
      <alignment vertical="center"/>
    </xf>
    <xf numFmtId="0" fontId="71" fillId="19" borderId="138" applyNumberFormat="0" applyAlignment="0" applyProtection="0">
      <alignment vertical="center"/>
    </xf>
    <xf numFmtId="0" fontId="70" fillId="0" borderId="137" applyNumberFormat="0" applyFill="0" applyAlignment="0" applyProtection="0">
      <alignment vertical="center"/>
    </xf>
    <xf numFmtId="0" fontId="65" fillId="19" borderId="136" applyNumberFormat="0" applyAlignment="0" applyProtection="0">
      <alignment vertical="center"/>
    </xf>
    <xf numFmtId="0" fontId="10" fillId="20" borderId="135" applyNumberFormat="0" applyFont="0" applyAlignment="0" applyProtection="0">
      <alignment vertical="center"/>
    </xf>
    <xf numFmtId="0" fontId="62" fillId="20" borderId="135" applyNumberFormat="0" applyFont="0" applyAlignment="0" applyProtection="0">
      <alignment vertical="center"/>
    </xf>
    <xf numFmtId="0" fontId="25" fillId="0" borderId="134">
      <alignment horizontal="left" vertical="center"/>
    </xf>
    <xf numFmtId="10" fontId="24" fillId="20" borderId="133" applyNumberFormat="0" applyBorder="0" applyAlignment="0" applyProtection="0"/>
    <xf numFmtId="0" fontId="62" fillId="20" borderId="183" applyNumberFormat="0" applyFont="0" applyAlignment="0" applyProtection="0">
      <alignment vertical="center"/>
    </xf>
    <xf numFmtId="0" fontId="10" fillId="20" borderId="183" applyNumberFormat="0" applyFont="0" applyAlignment="0" applyProtection="0">
      <alignment vertical="center"/>
    </xf>
    <xf numFmtId="0" fontId="65" fillId="19" borderId="184" applyNumberFormat="0" applyAlignment="0" applyProtection="0">
      <alignment vertical="center"/>
    </xf>
    <xf numFmtId="0" fontId="70" fillId="0" borderId="185" applyNumberFormat="0" applyFill="0" applyAlignment="0" applyProtection="0">
      <alignment vertical="center"/>
    </xf>
    <xf numFmtId="0" fontId="71" fillId="19" borderId="186" applyNumberFormat="0" applyAlignment="0" applyProtection="0">
      <alignment vertical="center"/>
    </xf>
    <xf numFmtId="0" fontId="75" fillId="10" borderId="184" applyNumberFormat="0" applyAlignment="0" applyProtection="0">
      <alignment vertical="center"/>
    </xf>
    <xf numFmtId="0" fontId="62" fillId="20" borderId="213" applyNumberFormat="0" applyFont="0" applyAlignment="0" applyProtection="0">
      <alignment vertical="center"/>
    </xf>
    <xf numFmtId="0" fontId="25" fillId="0" borderId="182">
      <alignment horizontal="left" vertical="center"/>
    </xf>
    <xf numFmtId="10" fontId="24" fillId="20" borderId="181" applyNumberFormat="0" applyBorder="0" applyAlignment="0" applyProtection="0"/>
    <xf numFmtId="0" fontId="70" fillId="0" borderId="215" applyNumberFormat="0" applyFill="0" applyAlignment="0" applyProtection="0">
      <alignment vertical="center"/>
    </xf>
    <xf numFmtId="0" fontId="62" fillId="20" borderId="183" applyNumberFormat="0" applyFont="0" applyAlignment="0" applyProtection="0">
      <alignment vertical="center"/>
    </xf>
    <xf numFmtId="0" fontId="10" fillId="20" borderId="183" applyNumberFormat="0" applyFont="0" applyAlignment="0" applyProtection="0">
      <alignment vertical="center"/>
    </xf>
    <xf numFmtId="0" fontId="65" fillId="19" borderId="184" applyNumberFormat="0" applyAlignment="0" applyProtection="0">
      <alignment vertical="center"/>
    </xf>
    <xf numFmtId="0" fontId="70" fillId="0" borderId="185" applyNumberFormat="0" applyFill="0" applyAlignment="0" applyProtection="0">
      <alignment vertical="center"/>
    </xf>
    <xf numFmtId="0" fontId="71" fillId="19" borderId="186" applyNumberFormat="0" applyAlignment="0" applyProtection="0">
      <alignment vertical="center"/>
    </xf>
    <xf numFmtId="0" fontId="75" fillId="10" borderId="184" applyNumberFormat="0" applyAlignment="0" applyProtection="0">
      <alignment vertical="center"/>
    </xf>
    <xf numFmtId="0" fontId="10" fillId="20" borderId="213" applyNumberFormat="0" applyFont="0" applyAlignment="0" applyProtection="0">
      <alignment vertical="center"/>
    </xf>
    <xf numFmtId="0" fontId="70" fillId="0" borderId="197" applyNumberFormat="0" applyFill="0" applyAlignment="0" applyProtection="0">
      <alignment vertical="center"/>
    </xf>
    <xf numFmtId="0" fontId="71" fillId="19" borderId="198" applyNumberFormat="0" applyAlignment="0" applyProtection="0">
      <alignment vertical="center"/>
    </xf>
    <xf numFmtId="0" fontId="75" fillId="10" borderId="196" applyNumberFormat="0" applyAlignment="0" applyProtection="0">
      <alignment vertical="center"/>
    </xf>
    <xf numFmtId="0" fontId="62" fillId="20" borderId="195" applyNumberFormat="0" applyFont="0" applyAlignment="0" applyProtection="0">
      <alignment vertical="center"/>
    </xf>
    <xf numFmtId="0" fontId="10" fillId="20" borderId="195" applyNumberFormat="0" applyFont="0" applyAlignment="0" applyProtection="0">
      <alignment vertical="center"/>
    </xf>
    <xf numFmtId="0" fontId="65" fillId="19" borderId="196" applyNumberFormat="0" applyAlignment="0" applyProtection="0">
      <alignment vertical="center"/>
    </xf>
    <xf numFmtId="0" fontId="70" fillId="0" borderId="197" applyNumberFormat="0" applyFill="0" applyAlignment="0" applyProtection="0">
      <alignment vertical="center"/>
    </xf>
    <xf numFmtId="0" fontId="71" fillId="19" borderId="198" applyNumberFormat="0" applyAlignment="0" applyProtection="0">
      <alignment vertical="center"/>
    </xf>
    <xf numFmtId="0" fontId="75" fillId="10" borderId="196" applyNumberFormat="0" applyAlignment="0" applyProtection="0">
      <alignment vertical="center"/>
    </xf>
    <xf numFmtId="0" fontId="25" fillId="0" borderId="206">
      <alignment horizontal="left" vertical="center"/>
    </xf>
    <xf numFmtId="10" fontId="24" fillId="20" borderId="193" applyNumberFormat="0" applyBorder="0" applyAlignment="0" applyProtection="0"/>
    <xf numFmtId="0" fontId="25" fillId="0" borderId="194">
      <alignment horizontal="left" vertical="center"/>
    </xf>
    <xf numFmtId="0" fontId="25" fillId="0" borderId="200">
      <alignment horizontal="left" vertical="center"/>
    </xf>
    <xf numFmtId="10" fontId="24" fillId="20" borderId="199" applyNumberFormat="0" applyBorder="0" applyAlignment="0" applyProtection="0"/>
    <xf numFmtId="0" fontId="75" fillId="10" borderId="196" applyNumberFormat="0" applyAlignment="0" applyProtection="0">
      <alignment vertical="center"/>
    </xf>
    <xf numFmtId="0" fontId="71" fillId="19" borderId="198" applyNumberFormat="0" applyAlignment="0" applyProtection="0">
      <alignment vertical="center"/>
    </xf>
    <xf numFmtId="0" fontId="70" fillId="0" borderId="197" applyNumberFormat="0" applyFill="0" applyAlignment="0" applyProtection="0">
      <alignment vertical="center"/>
    </xf>
    <xf numFmtId="0" fontId="65" fillId="19" borderId="196" applyNumberFormat="0" applyAlignment="0" applyProtection="0">
      <alignment vertical="center"/>
    </xf>
    <xf numFmtId="0" fontId="10" fillId="20" borderId="195" applyNumberFormat="0" applyFont="0" applyAlignment="0" applyProtection="0">
      <alignment vertical="center"/>
    </xf>
    <xf numFmtId="0" fontId="62" fillId="20" borderId="195" applyNumberFormat="0" applyFont="0" applyAlignment="0" applyProtection="0">
      <alignment vertical="center"/>
    </xf>
    <xf numFmtId="0" fontId="25" fillId="0" borderId="200">
      <alignment horizontal="left" vertical="center"/>
    </xf>
    <xf numFmtId="10" fontId="24" fillId="20" borderId="199" applyNumberFormat="0" applyBorder="0" applyAlignment="0" applyProtection="0"/>
    <xf numFmtId="0" fontId="62" fillId="20" borderId="201" applyNumberFormat="0" applyFont="0" applyAlignment="0" applyProtection="0">
      <alignment vertical="center"/>
    </xf>
    <xf numFmtId="0" fontId="10" fillId="20" borderId="201" applyNumberFormat="0" applyFont="0" applyAlignment="0" applyProtection="0">
      <alignment vertical="center"/>
    </xf>
    <xf numFmtId="0" fontId="65" fillId="19" borderId="202" applyNumberFormat="0" applyAlignment="0" applyProtection="0">
      <alignment vertical="center"/>
    </xf>
    <xf numFmtId="0" fontId="70" fillId="0" borderId="203" applyNumberFormat="0" applyFill="0" applyAlignment="0" applyProtection="0">
      <alignment vertical="center"/>
    </xf>
    <xf numFmtId="0" fontId="71" fillId="19" borderId="204" applyNumberFormat="0" applyAlignment="0" applyProtection="0">
      <alignment vertical="center"/>
    </xf>
    <xf numFmtId="0" fontId="75" fillId="10" borderId="202" applyNumberFormat="0" applyAlignment="0" applyProtection="0">
      <alignment vertical="center"/>
    </xf>
    <xf numFmtId="0" fontId="25" fillId="0" borderId="194">
      <alignment horizontal="left" vertical="center"/>
    </xf>
    <xf numFmtId="10" fontId="24" fillId="20" borderId="193" applyNumberFormat="0" applyBorder="0" applyAlignment="0" applyProtection="0"/>
    <xf numFmtId="0" fontId="62" fillId="20" borderId="201" applyNumberFormat="0" applyFont="0" applyAlignment="0" applyProtection="0">
      <alignment vertical="center"/>
    </xf>
    <xf numFmtId="0" fontId="10" fillId="20" borderId="201" applyNumberFormat="0" applyFont="0" applyAlignment="0" applyProtection="0">
      <alignment vertical="center"/>
    </xf>
    <xf numFmtId="0" fontId="65" fillId="19" borderId="202" applyNumberFormat="0" applyAlignment="0" applyProtection="0">
      <alignment vertical="center"/>
    </xf>
    <xf numFmtId="0" fontId="70" fillId="0" borderId="203" applyNumberFormat="0" applyFill="0" applyAlignment="0" applyProtection="0">
      <alignment vertical="center"/>
    </xf>
    <xf numFmtId="0" fontId="71" fillId="19" borderId="204" applyNumberFormat="0" applyAlignment="0" applyProtection="0">
      <alignment vertical="center"/>
    </xf>
    <xf numFmtId="0" fontId="75" fillId="10" borderId="202" applyNumberFormat="0" applyAlignment="0" applyProtection="0">
      <alignment vertical="center"/>
    </xf>
    <xf numFmtId="0" fontId="75" fillId="10" borderId="220" applyNumberFormat="0" applyAlignment="0" applyProtection="0">
      <alignment vertical="center"/>
    </xf>
    <xf numFmtId="0" fontId="62" fillId="20" borderId="219" applyNumberFormat="0" applyFont="0" applyAlignment="0" applyProtection="0">
      <alignment vertical="center"/>
    </xf>
    <xf numFmtId="0" fontId="10" fillId="20" borderId="219" applyNumberFormat="0" applyFont="0" applyAlignment="0" applyProtection="0">
      <alignment vertical="center"/>
    </xf>
    <xf numFmtId="0" fontId="65" fillId="19" borderId="220" applyNumberFormat="0" applyAlignment="0" applyProtection="0">
      <alignment vertical="center"/>
    </xf>
    <xf numFmtId="0" fontId="70" fillId="0" borderId="221" applyNumberFormat="0" applyFill="0" applyAlignment="0" applyProtection="0">
      <alignment vertical="center"/>
    </xf>
    <xf numFmtId="0" fontId="71" fillId="19" borderId="222" applyNumberFormat="0" applyAlignment="0" applyProtection="0">
      <alignment vertical="center"/>
    </xf>
    <xf numFmtId="0" fontId="75" fillId="10" borderId="220" applyNumberFormat="0" applyAlignment="0" applyProtection="0">
      <alignment vertical="center"/>
    </xf>
    <xf numFmtId="0" fontId="62" fillId="20" borderId="219" applyNumberFormat="0" applyFont="0" applyAlignment="0" applyProtection="0">
      <alignment vertical="center"/>
    </xf>
    <xf numFmtId="0" fontId="10" fillId="20" borderId="219" applyNumberFormat="0" applyFont="0" applyAlignment="0" applyProtection="0">
      <alignment vertical="center"/>
    </xf>
    <xf numFmtId="0" fontId="65" fillId="19" borderId="220" applyNumberFormat="0" applyAlignment="0" applyProtection="0">
      <alignment vertical="center"/>
    </xf>
    <xf numFmtId="0" fontId="70" fillId="0" borderId="221" applyNumberFormat="0" applyFill="0" applyAlignment="0" applyProtection="0">
      <alignment vertical="center"/>
    </xf>
    <xf numFmtId="0" fontId="71" fillId="19" borderId="222" applyNumberFormat="0" applyAlignment="0" applyProtection="0">
      <alignment vertical="center"/>
    </xf>
    <xf numFmtId="0" fontId="75" fillId="10" borderId="220" applyNumberFormat="0" applyAlignment="0" applyProtection="0">
      <alignment vertical="center"/>
    </xf>
    <xf numFmtId="10" fontId="24" fillId="20" borderId="217" applyNumberFormat="0" applyBorder="0" applyAlignment="0" applyProtection="0"/>
    <xf numFmtId="0" fontId="25" fillId="0" borderId="218">
      <alignment horizontal="left" vertical="center"/>
    </xf>
    <xf numFmtId="0" fontId="25" fillId="0" borderId="224">
      <alignment horizontal="left" vertical="center"/>
    </xf>
    <xf numFmtId="10" fontId="24" fillId="20" borderId="223" applyNumberFormat="0" applyBorder="0" applyAlignment="0" applyProtection="0"/>
    <xf numFmtId="0" fontId="75" fillId="10" borderId="220" applyNumberFormat="0" applyAlignment="0" applyProtection="0">
      <alignment vertical="center"/>
    </xf>
    <xf numFmtId="0" fontId="71" fillId="19" borderId="222" applyNumberFormat="0" applyAlignment="0" applyProtection="0">
      <alignment vertical="center"/>
    </xf>
    <xf numFmtId="0" fontId="70" fillId="0" borderId="221" applyNumberFormat="0" applyFill="0" applyAlignment="0" applyProtection="0">
      <alignment vertical="center"/>
    </xf>
    <xf numFmtId="0" fontId="65" fillId="19" borderId="220" applyNumberFormat="0" applyAlignment="0" applyProtection="0">
      <alignment vertical="center"/>
    </xf>
    <xf numFmtId="0" fontId="10" fillId="20" borderId="219" applyNumberFormat="0" applyFont="0" applyAlignment="0" applyProtection="0">
      <alignment vertical="center"/>
    </xf>
    <xf numFmtId="0" fontId="62" fillId="20" borderId="219" applyNumberFormat="0" applyFont="0" applyAlignment="0" applyProtection="0">
      <alignment vertical="center"/>
    </xf>
    <xf numFmtId="0" fontId="25" fillId="0" borderId="224">
      <alignment horizontal="left" vertical="center"/>
    </xf>
    <xf numFmtId="10" fontId="24" fillId="20" borderId="223" applyNumberFormat="0" applyBorder="0" applyAlignment="0" applyProtection="0"/>
    <xf numFmtId="0" fontId="62" fillId="20" borderId="225" applyNumberFormat="0" applyFont="0" applyAlignment="0" applyProtection="0">
      <alignment vertical="center"/>
    </xf>
    <xf numFmtId="0" fontId="10" fillId="20" borderId="225" applyNumberFormat="0" applyFont="0" applyAlignment="0" applyProtection="0">
      <alignment vertical="center"/>
    </xf>
    <xf numFmtId="0" fontId="65" fillId="19" borderId="226" applyNumberFormat="0" applyAlignment="0" applyProtection="0">
      <alignment vertical="center"/>
    </xf>
    <xf numFmtId="0" fontId="70" fillId="0" borderId="227" applyNumberFormat="0" applyFill="0" applyAlignment="0" applyProtection="0">
      <alignment vertical="center"/>
    </xf>
    <xf numFmtId="0" fontId="71" fillId="19" borderId="228" applyNumberFormat="0" applyAlignment="0" applyProtection="0">
      <alignment vertical="center"/>
    </xf>
    <xf numFmtId="0" fontId="75" fillId="10" borderId="226" applyNumberFormat="0" applyAlignment="0" applyProtection="0">
      <alignment vertical="center"/>
    </xf>
    <xf numFmtId="0" fontId="25" fillId="0" borderId="218">
      <alignment horizontal="left" vertical="center"/>
    </xf>
    <xf numFmtId="10" fontId="24" fillId="20" borderId="217" applyNumberFormat="0" applyBorder="0" applyAlignment="0" applyProtection="0"/>
    <xf numFmtId="0" fontId="62" fillId="20" borderId="225" applyNumberFormat="0" applyFont="0" applyAlignment="0" applyProtection="0">
      <alignment vertical="center"/>
    </xf>
    <xf numFmtId="0" fontId="10" fillId="20" borderId="225" applyNumberFormat="0" applyFont="0" applyAlignment="0" applyProtection="0">
      <alignment vertical="center"/>
    </xf>
    <xf numFmtId="0" fontId="65" fillId="19" borderId="226" applyNumberFormat="0" applyAlignment="0" applyProtection="0">
      <alignment vertical="center"/>
    </xf>
    <xf numFmtId="0" fontId="70" fillId="0" borderId="227" applyNumberFormat="0" applyFill="0" applyAlignment="0" applyProtection="0">
      <alignment vertical="center"/>
    </xf>
    <xf numFmtId="0" fontId="71" fillId="19" borderId="228" applyNumberFormat="0" applyAlignment="0" applyProtection="0">
      <alignment vertical="center"/>
    </xf>
    <xf numFmtId="0" fontId="75" fillId="10" borderId="226" applyNumberFormat="0" applyAlignment="0" applyProtection="0">
      <alignment vertical="center"/>
    </xf>
    <xf numFmtId="0" fontId="3" fillId="0" borderId="0">
      <alignment vertical="center"/>
    </xf>
    <xf numFmtId="0" fontId="71" fillId="19" borderId="216" applyNumberFormat="0" applyAlignment="0" applyProtection="0">
      <alignment vertical="center"/>
    </xf>
    <xf numFmtId="0" fontId="70" fillId="0" borderId="215" applyNumberFormat="0" applyFill="0" applyAlignment="0" applyProtection="0">
      <alignment vertical="center"/>
    </xf>
    <xf numFmtId="0" fontId="71" fillId="19" borderId="216" applyNumberFormat="0" applyAlignment="0" applyProtection="0">
      <alignment vertical="center"/>
    </xf>
    <xf numFmtId="0" fontId="70" fillId="0" borderId="215" applyNumberFormat="0" applyFill="0" applyAlignment="0" applyProtection="0">
      <alignment vertical="center"/>
    </xf>
    <xf numFmtId="0" fontId="65" fillId="19" borderId="214" applyNumberFormat="0" applyAlignment="0" applyProtection="0">
      <alignment vertical="center"/>
    </xf>
    <xf numFmtId="0" fontId="62" fillId="20" borderId="207" applyNumberFormat="0" applyFont="0" applyAlignment="0" applyProtection="0">
      <alignment vertical="center"/>
    </xf>
    <xf numFmtId="0" fontId="10" fillId="20" borderId="213" applyNumberFormat="0" applyFont="0" applyAlignment="0" applyProtection="0">
      <alignment vertical="center"/>
    </xf>
    <xf numFmtId="0" fontId="62" fillId="20" borderId="213" applyNumberFormat="0" applyFont="0" applyAlignment="0" applyProtection="0">
      <alignment vertical="center"/>
    </xf>
    <xf numFmtId="0" fontId="10" fillId="20" borderId="213" applyNumberFormat="0" applyFont="0" applyAlignment="0" applyProtection="0">
      <alignment vertical="center"/>
    </xf>
    <xf numFmtId="0" fontId="25" fillId="0" borderId="224">
      <alignment horizontal="left" vertical="center"/>
    </xf>
    <xf numFmtId="0" fontId="65" fillId="19" borderId="208" applyNumberFormat="0" applyAlignment="0" applyProtection="0">
      <alignment vertical="center"/>
    </xf>
    <xf numFmtId="0" fontId="70" fillId="0" borderId="209" applyNumberFormat="0" applyFill="0" applyAlignment="0" applyProtection="0">
      <alignment vertical="center"/>
    </xf>
    <xf numFmtId="0" fontId="10" fillId="20" borderId="219" applyNumberFormat="0" applyFont="0" applyAlignment="0" applyProtection="0">
      <alignment vertical="center"/>
    </xf>
    <xf numFmtId="10" fontId="24" fillId="20" borderId="211" applyNumberFormat="0" applyBorder="0" applyAlignment="0" applyProtection="0"/>
    <xf numFmtId="10" fontId="24" fillId="20" borderId="217" applyNumberFormat="0" applyBorder="0" applyAlignment="0" applyProtection="0"/>
    <xf numFmtId="10" fontId="24" fillId="20" borderId="217" applyNumberFormat="0" applyBorder="0" applyAlignment="0" applyProtection="0"/>
    <xf numFmtId="0" fontId="25" fillId="0" borderId="218">
      <alignment horizontal="left" vertical="center"/>
    </xf>
    <xf numFmtId="0" fontId="62" fillId="20" borderId="207" applyNumberFormat="0" applyFont="0" applyAlignment="0" applyProtection="0">
      <alignment vertical="center"/>
    </xf>
    <xf numFmtId="0" fontId="10" fillId="20" borderId="207" applyNumberFormat="0" applyFont="0" applyAlignment="0" applyProtection="0">
      <alignment vertical="center"/>
    </xf>
    <xf numFmtId="0" fontId="62" fillId="20" borderId="213" applyNumberFormat="0" applyFont="0" applyAlignment="0" applyProtection="0">
      <alignment vertical="center"/>
    </xf>
    <xf numFmtId="0" fontId="65" fillId="19" borderId="208" applyNumberFormat="0" applyAlignment="0" applyProtection="0">
      <alignment vertical="center"/>
    </xf>
    <xf numFmtId="0" fontId="71" fillId="19" borderId="210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1" fillId="19" borderId="210" applyNumberFormat="0" applyAlignment="0" applyProtection="0">
      <alignment vertical="center"/>
    </xf>
    <xf numFmtId="0" fontId="75" fillId="10" borderId="208" applyNumberFormat="0" applyAlignment="0" applyProtection="0">
      <alignment vertical="center"/>
    </xf>
    <xf numFmtId="0" fontId="70" fillId="0" borderId="209" applyNumberFormat="0" applyFill="0" applyAlignment="0" applyProtection="0">
      <alignment vertical="center"/>
    </xf>
    <xf numFmtId="0" fontId="75" fillId="10" borderId="208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3" fillId="0" borderId="0"/>
    <xf numFmtId="0" fontId="25" fillId="0" borderId="218">
      <alignment horizontal="left" vertical="center"/>
    </xf>
    <xf numFmtId="10" fontId="24" fillId="20" borderId="223" applyNumberFormat="0" applyBorder="0" applyAlignment="0" applyProtection="0"/>
    <xf numFmtId="0" fontId="62" fillId="20" borderId="219" applyNumberFormat="0" applyFont="0" applyAlignment="0" applyProtection="0">
      <alignment vertical="center"/>
    </xf>
    <xf numFmtId="0" fontId="10" fillId="20" borderId="219" applyNumberFormat="0" applyFont="0" applyAlignment="0" applyProtection="0">
      <alignment vertical="center"/>
    </xf>
    <xf numFmtId="0" fontId="65" fillId="19" borderId="220" applyNumberFormat="0" applyAlignment="0" applyProtection="0">
      <alignment vertical="center"/>
    </xf>
    <xf numFmtId="0" fontId="70" fillId="0" borderId="221" applyNumberFormat="0" applyFill="0" applyAlignment="0" applyProtection="0">
      <alignment vertical="center"/>
    </xf>
    <xf numFmtId="0" fontId="71" fillId="19" borderId="222" applyNumberFormat="0" applyAlignment="0" applyProtection="0">
      <alignment vertical="center"/>
    </xf>
    <xf numFmtId="0" fontId="75" fillId="10" borderId="220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0" borderId="218">
      <alignment horizontal="left" vertical="center"/>
    </xf>
    <xf numFmtId="10" fontId="24" fillId="20" borderId="223" applyNumberFormat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3" fillId="0" borderId="0"/>
    <xf numFmtId="0" fontId="75" fillId="10" borderId="214" applyNumberFormat="0" applyAlignment="0" applyProtection="0">
      <alignment vertical="center"/>
    </xf>
    <xf numFmtId="0" fontId="75" fillId="10" borderId="214" applyNumberFormat="0" applyAlignment="0" applyProtection="0">
      <alignment vertical="center"/>
    </xf>
    <xf numFmtId="10" fontId="24" fillId="20" borderId="211" applyNumberFormat="0" applyBorder="0" applyAlignment="0" applyProtection="0"/>
    <xf numFmtId="0" fontId="62" fillId="20" borderId="219" applyNumberFormat="0" applyFont="0" applyAlignment="0" applyProtection="0">
      <alignment vertical="center"/>
    </xf>
    <xf numFmtId="0" fontId="65" fillId="19" borderId="220" applyNumberFormat="0" applyAlignment="0" applyProtection="0">
      <alignment vertical="center"/>
    </xf>
    <xf numFmtId="0" fontId="75" fillId="10" borderId="220" applyNumberFormat="0" applyAlignment="0" applyProtection="0">
      <alignment vertical="center"/>
    </xf>
    <xf numFmtId="0" fontId="25" fillId="0" borderId="212">
      <alignment horizontal="left" vertical="center"/>
    </xf>
    <xf numFmtId="10" fontId="24" fillId="20" borderId="217" applyNumberFormat="0" applyBorder="0" applyAlignment="0" applyProtection="0"/>
    <xf numFmtId="0" fontId="62" fillId="20" borderId="213" applyNumberFormat="0" applyFont="0" applyAlignment="0" applyProtection="0">
      <alignment vertical="center"/>
    </xf>
    <xf numFmtId="0" fontId="10" fillId="20" borderId="213" applyNumberFormat="0" applyFont="0" applyAlignment="0" applyProtection="0">
      <alignment vertical="center"/>
    </xf>
    <xf numFmtId="0" fontId="10" fillId="20" borderId="207" applyNumberFormat="0" applyFont="0" applyAlignment="0" applyProtection="0">
      <alignment vertical="center"/>
    </xf>
    <xf numFmtId="0" fontId="65" fillId="19" borderId="214" applyNumberFormat="0" applyAlignment="0" applyProtection="0">
      <alignment vertical="center"/>
    </xf>
    <xf numFmtId="0" fontId="65" fillId="19" borderId="214" applyNumberFormat="0" applyAlignment="0" applyProtection="0">
      <alignment vertical="center"/>
    </xf>
    <xf numFmtId="0" fontId="70" fillId="0" borderId="215" applyNumberFormat="0" applyFill="0" applyAlignment="0" applyProtection="0">
      <alignment vertical="center"/>
    </xf>
    <xf numFmtId="0" fontId="71" fillId="19" borderId="216" applyNumberFormat="0" applyAlignment="0" applyProtection="0">
      <alignment vertical="center"/>
    </xf>
    <xf numFmtId="0" fontId="75" fillId="10" borderId="214" applyNumberFormat="0" applyAlignment="0" applyProtection="0">
      <alignment vertical="center"/>
    </xf>
    <xf numFmtId="0" fontId="71" fillId="19" borderId="222" applyNumberFormat="0" applyAlignment="0" applyProtection="0">
      <alignment vertical="center"/>
    </xf>
    <xf numFmtId="0" fontId="70" fillId="0" borderId="221" applyNumberFormat="0" applyFill="0" applyAlignment="0" applyProtection="0">
      <alignment vertical="center"/>
    </xf>
    <xf numFmtId="0" fontId="25" fillId="0" borderId="218">
      <alignment horizontal="left" vertical="center"/>
    </xf>
    <xf numFmtId="10" fontId="24" fillId="20" borderId="217" applyNumberFormat="0" applyBorder="0" applyAlignment="0" applyProtection="0"/>
    <xf numFmtId="0" fontId="62" fillId="20" borderId="213" applyNumberFormat="0" applyFont="0" applyAlignment="0" applyProtection="0">
      <alignment vertical="center"/>
    </xf>
    <xf numFmtId="0" fontId="10" fillId="20" borderId="213" applyNumberFormat="0" applyFont="0" applyAlignment="0" applyProtection="0">
      <alignment vertical="center"/>
    </xf>
    <xf numFmtId="0" fontId="65" fillId="19" borderId="214" applyNumberFormat="0" applyAlignment="0" applyProtection="0">
      <alignment vertical="center"/>
    </xf>
    <xf numFmtId="0" fontId="70" fillId="0" borderId="215" applyNumberFormat="0" applyFill="0" applyAlignment="0" applyProtection="0">
      <alignment vertical="center"/>
    </xf>
    <xf numFmtId="0" fontId="71" fillId="19" borderId="216" applyNumberFormat="0" applyAlignment="0" applyProtection="0">
      <alignment vertical="center"/>
    </xf>
    <xf numFmtId="0" fontId="75" fillId="10" borderId="214" applyNumberFormat="0" applyAlignment="0" applyProtection="0">
      <alignment vertical="center"/>
    </xf>
    <xf numFmtId="0" fontId="25" fillId="0" borderId="218">
      <alignment horizontal="left" vertical="center"/>
    </xf>
    <xf numFmtId="10" fontId="24" fillId="20" borderId="217" applyNumberFormat="0" applyBorder="0" applyAlignment="0" applyProtection="0"/>
    <xf numFmtId="0" fontId="25" fillId="0" borderId="212">
      <alignment horizontal="left" vertical="center"/>
    </xf>
    <xf numFmtId="10" fontId="24" fillId="20" borderId="211" applyNumberFormat="0" applyBorder="0" applyAlignment="0" applyProtection="0"/>
    <xf numFmtId="0" fontId="62" fillId="20" borderId="207" applyNumberFormat="0" applyFont="0" applyAlignment="0" applyProtection="0">
      <alignment vertical="center"/>
    </xf>
    <xf numFmtId="0" fontId="10" fillId="20" borderId="207" applyNumberFormat="0" applyFont="0" applyAlignment="0" applyProtection="0">
      <alignment vertical="center"/>
    </xf>
    <xf numFmtId="0" fontId="65" fillId="19" borderId="208" applyNumberFormat="0" applyAlignment="0" applyProtection="0">
      <alignment vertical="center"/>
    </xf>
    <xf numFmtId="0" fontId="70" fillId="0" borderId="209" applyNumberFormat="0" applyFill="0" applyAlignment="0" applyProtection="0">
      <alignment vertical="center"/>
    </xf>
    <xf numFmtId="0" fontId="71" fillId="19" borderId="210" applyNumberFormat="0" applyAlignment="0" applyProtection="0">
      <alignment vertical="center"/>
    </xf>
    <xf numFmtId="0" fontId="75" fillId="10" borderId="208" applyNumberFormat="0" applyAlignment="0" applyProtection="0">
      <alignment vertical="center"/>
    </xf>
    <xf numFmtId="0" fontId="25" fillId="0" borderId="212">
      <alignment horizontal="left" vertical="center"/>
    </xf>
    <xf numFmtId="10" fontId="24" fillId="20" borderId="211" applyNumberFormat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0" borderId="212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62" fillId="20" borderId="225" applyNumberFormat="0" applyFont="0" applyAlignment="0" applyProtection="0">
      <alignment vertical="center"/>
    </xf>
    <xf numFmtId="0" fontId="10" fillId="20" borderId="225" applyNumberFormat="0" applyFont="0" applyAlignment="0" applyProtection="0">
      <alignment vertical="center"/>
    </xf>
    <xf numFmtId="0" fontId="65" fillId="19" borderId="214" applyNumberFormat="0" applyAlignment="0" applyProtection="0">
      <alignment vertical="center"/>
    </xf>
    <xf numFmtId="0" fontId="70" fillId="0" borderId="215" applyNumberFormat="0" applyFill="0" applyAlignment="0" applyProtection="0">
      <alignment vertical="center"/>
    </xf>
    <xf numFmtId="0" fontId="71" fillId="19" borderId="216" applyNumberFormat="0" applyAlignment="0" applyProtection="0">
      <alignment vertical="center"/>
    </xf>
    <xf numFmtId="0" fontId="75" fillId="10" borderId="214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1" fillId="19" borderId="77" applyNumberFormat="0" applyAlignment="0" applyProtection="0">
      <alignment vertical="center"/>
    </xf>
    <xf numFmtId="0" fontId="65" fillId="19" borderId="75" applyNumberFormat="0" applyAlignment="0" applyProtection="0">
      <alignment vertical="center"/>
    </xf>
    <xf numFmtId="0" fontId="70" fillId="0" borderId="395" applyNumberFormat="0" applyFill="0" applyAlignment="0" applyProtection="0">
      <alignment vertical="center"/>
    </xf>
    <xf numFmtId="0" fontId="62" fillId="20" borderId="399" applyNumberFormat="0" applyFont="0" applyAlignment="0" applyProtection="0">
      <alignment vertical="center"/>
    </xf>
    <xf numFmtId="0" fontId="65" fillId="19" borderId="362" applyNumberForma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10" fillId="20" borderId="423" applyNumberFormat="0" applyFont="0" applyAlignment="0" applyProtection="0">
      <alignment vertical="center"/>
    </xf>
    <xf numFmtId="0" fontId="25" fillId="0" borderId="416">
      <alignment horizontal="left" vertical="center"/>
    </xf>
    <xf numFmtId="0" fontId="75" fillId="10" borderId="304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75" fillId="10" borderId="454" applyNumberFormat="0" applyAlignment="0" applyProtection="0">
      <alignment vertical="center"/>
    </xf>
    <xf numFmtId="0" fontId="62" fillId="20" borderId="393" applyNumberFormat="0" applyFont="0" applyAlignment="0" applyProtection="0">
      <alignment vertical="center"/>
    </xf>
    <xf numFmtId="0" fontId="70" fillId="0" borderId="383" applyNumberFormat="0" applyFill="0" applyAlignment="0" applyProtection="0">
      <alignment vertical="center"/>
    </xf>
    <xf numFmtId="10" fontId="24" fillId="20" borderId="211" applyNumberFormat="0" applyBorder="0" applyAlignment="0" applyProtection="0"/>
    <xf numFmtId="0" fontId="25" fillId="0" borderId="212">
      <alignment horizontal="left" vertical="center"/>
    </xf>
    <xf numFmtId="0" fontId="25" fillId="0" borderId="350">
      <alignment horizontal="left" vertical="center"/>
    </xf>
    <xf numFmtId="0" fontId="25" fillId="0" borderId="368">
      <alignment horizontal="left" vertical="center"/>
    </xf>
    <xf numFmtId="10" fontId="24" fillId="20" borderId="356" applyNumberFormat="0" applyBorder="0" applyAlignment="0" applyProtection="0"/>
    <xf numFmtId="0" fontId="70" fillId="0" borderId="305" applyNumberFormat="0" applyFill="0" applyAlignment="0" applyProtection="0">
      <alignment vertical="center"/>
    </xf>
    <xf numFmtId="10" fontId="24" fillId="20" borderId="421" applyNumberFormat="0" applyBorder="0" applyAlignment="0" applyProtection="0"/>
    <xf numFmtId="0" fontId="62" fillId="20" borderId="207" applyNumberFormat="0" applyFont="0" applyAlignment="0" applyProtection="0">
      <alignment vertical="center"/>
    </xf>
    <xf numFmtId="0" fontId="10" fillId="20" borderId="207" applyNumberFormat="0" applyFont="0" applyAlignment="0" applyProtection="0">
      <alignment vertical="center"/>
    </xf>
    <xf numFmtId="0" fontId="65" fillId="19" borderId="208" applyNumberFormat="0" applyAlignment="0" applyProtection="0">
      <alignment vertical="center"/>
    </xf>
    <xf numFmtId="0" fontId="70" fillId="0" borderId="209" applyNumberFormat="0" applyFill="0" applyAlignment="0" applyProtection="0">
      <alignment vertical="center"/>
    </xf>
    <xf numFmtId="0" fontId="71" fillId="19" borderId="210" applyNumberFormat="0" applyAlignment="0" applyProtection="0">
      <alignment vertical="center"/>
    </xf>
    <xf numFmtId="0" fontId="75" fillId="10" borderId="208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25" fillId="0" borderId="212">
      <alignment horizontal="left" vertical="center"/>
    </xf>
    <xf numFmtId="10" fontId="24" fillId="20" borderId="211" applyNumberFormat="0" applyBorder="0" applyAlignment="0" applyProtection="0"/>
    <xf numFmtId="0" fontId="62" fillId="20" borderId="303" applyNumberFormat="0" applyFont="0" applyAlignment="0" applyProtection="0">
      <alignment vertical="center"/>
    </xf>
    <xf numFmtId="0" fontId="65" fillId="19" borderId="424" applyNumberForma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214" applyNumberFormat="0" applyAlignment="0" applyProtection="0">
      <alignment vertical="center"/>
    </xf>
    <xf numFmtId="0" fontId="70" fillId="0" borderId="215" applyNumberFormat="0" applyFill="0" applyAlignment="0" applyProtection="0">
      <alignment vertical="center"/>
    </xf>
    <xf numFmtId="0" fontId="71" fillId="19" borderId="216" applyNumberFormat="0" applyAlignment="0" applyProtection="0">
      <alignment vertical="center"/>
    </xf>
    <xf numFmtId="0" fontId="75" fillId="10" borderId="214" applyNumberForma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10" fontId="24" fillId="20" borderId="211" applyNumberFormat="0" applyBorder="0" applyAlignment="0" applyProtection="0"/>
    <xf numFmtId="0" fontId="10" fillId="20" borderId="361" applyNumberFormat="0" applyFont="0" applyAlignment="0" applyProtection="0">
      <alignment vertical="center"/>
    </xf>
    <xf numFmtId="0" fontId="25" fillId="0" borderId="194">
      <alignment horizontal="left" vertical="center"/>
    </xf>
    <xf numFmtId="0" fontId="71" fillId="19" borderId="210" applyNumberFormat="0" applyAlignment="0" applyProtection="0">
      <alignment vertical="center"/>
    </xf>
    <xf numFmtId="0" fontId="75" fillId="10" borderId="286" applyNumberFormat="0" applyAlignment="0" applyProtection="0">
      <alignment vertical="center"/>
    </xf>
    <xf numFmtId="0" fontId="65" fillId="19" borderId="292" applyNumberFormat="0" applyAlignment="0" applyProtection="0">
      <alignment vertical="center"/>
    </xf>
    <xf numFmtId="0" fontId="71" fillId="19" borderId="294" applyNumberFormat="0" applyAlignment="0" applyProtection="0">
      <alignment vertical="center"/>
    </xf>
    <xf numFmtId="0" fontId="10" fillId="20" borderId="291" applyNumberFormat="0" applyFont="0" applyAlignment="0" applyProtection="0">
      <alignment vertical="center"/>
    </xf>
    <xf numFmtId="0" fontId="65" fillId="19" borderId="292" applyNumberFormat="0" applyAlignment="0" applyProtection="0">
      <alignment vertical="center"/>
    </xf>
    <xf numFmtId="10" fontId="24" fillId="20" borderId="343" applyNumberFormat="0" applyBorder="0" applyAlignment="0" applyProtection="0"/>
    <xf numFmtId="0" fontId="25" fillId="0" borderId="290">
      <alignment horizontal="left" vertical="center"/>
    </xf>
    <xf numFmtId="0" fontId="75" fillId="10" borderId="292" applyNumberFormat="0" applyAlignment="0" applyProtection="0">
      <alignment vertical="center"/>
    </xf>
    <xf numFmtId="0" fontId="65" fillId="19" borderId="262" applyNumberFormat="0" applyAlignment="0" applyProtection="0">
      <alignment vertical="center"/>
    </xf>
    <xf numFmtId="10" fontId="24" fillId="20" borderId="331" applyNumberFormat="0" applyBorder="0" applyAlignment="0" applyProtection="0"/>
    <xf numFmtId="0" fontId="62" fillId="20" borderId="345" applyNumberFormat="0" applyFont="0" applyAlignment="0" applyProtection="0">
      <alignment vertical="center"/>
    </xf>
    <xf numFmtId="0" fontId="70" fillId="0" borderId="347" applyNumberFormat="0" applyFill="0" applyAlignment="0" applyProtection="0">
      <alignment vertical="center"/>
    </xf>
    <xf numFmtId="0" fontId="75" fillId="10" borderId="250" applyNumberFormat="0" applyAlignment="0" applyProtection="0">
      <alignment vertical="center"/>
    </xf>
    <xf numFmtId="0" fontId="71" fillId="19" borderId="252" applyNumberFormat="0" applyAlignment="0" applyProtection="0">
      <alignment vertical="center"/>
    </xf>
    <xf numFmtId="0" fontId="70" fillId="0" borderId="251" applyNumberFormat="0" applyFill="0" applyAlignment="0" applyProtection="0">
      <alignment vertical="center"/>
    </xf>
    <xf numFmtId="0" fontId="65" fillId="19" borderId="250" applyNumberFormat="0" applyAlignment="0" applyProtection="0">
      <alignment vertical="center"/>
    </xf>
    <xf numFmtId="0" fontId="65" fillId="19" borderId="280" applyNumberFormat="0" applyAlignment="0" applyProtection="0">
      <alignment vertical="center"/>
    </xf>
    <xf numFmtId="0" fontId="10" fillId="20" borderId="249" applyNumberFormat="0" applyFont="0" applyAlignment="0" applyProtection="0">
      <alignment vertical="center"/>
    </xf>
    <xf numFmtId="0" fontId="62" fillId="20" borderId="249" applyNumberFormat="0" applyFont="0" applyAlignment="0" applyProtection="0">
      <alignment vertical="center"/>
    </xf>
    <xf numFmtId="0" fontId="65" fillId="19" borderId="262" applyNumberFormat="0" applyAlignment="0" applyProtection="0">
      <alignment vertical="center"/>
    </xf>
    <xf numFmtId="0" fontId="10" fillId="20" borderId="261" applyNumberFormat="0" applyFont="0" applyAlignment="0" applyProtection="0">
      <alignment vertical="center"/>
    </xf>
    <xf numFmtId="10" fontId="24" fillId="20" borderId="247" applyNumberFormat="0" applyBorder="0" applyAlignment="0" applyProtection="0"/>
    <xf numFmtId="0" fontId="25" fillId="0" borderId="248">
      <alignment horizontal="left" vertical="center"/>
    </xf>
    <xf numFmtId="0" fontId="62" fillId="20" borderId="261" applyNumberFormat="0" applyFont="0" applyAlignment="0" applyProtection="0">
      <alignment vertical="center"/>
    </xf>
    <xf numFmtId="0" fontId="25" fillId="0" borderId="344">
      <alignment horizontal="left" vertical="center"/>
    </xf>
    <xf numFmtId="0" fontId="65" fillId="19" borderId="346" applyNumberFormat="0" applyAlignment="0" applyProtection="0">
      <alignment vertical="center"/>
    </xf>
    <xf numFmtId="0" fontId="10" fillId="20" borderId="291" applyNumberFormat="0" applyFont="0" applyAlignment="0" applyProtection="0">
      <alignment vertical="center"/>
    </xf>
    <xf numFmtId="10" fontId="24" fillId="20" borderId="289" applyNumberFormat="0" applyBorder="0" applyAlignment="0" applyProtection="0"/>
    <xf numFmtId="0" fontId="25" fillId="0" borderId="290">
      <alignment horizontal="left" vertical="center"/>
    </xf>
    <xf numFmtId="0" fontId="70" fillId="0" borderId="293" applyNumberFormat="0" applyFill="0" applyAlignment="0" applyProtection="0">
      <alignment vertical="center"/>
    </xf>
    <xf numFmtId="0" fontId="62" fillId="20" borderId="291" applyNumberFormat="0" applyFont="0" applyAlignment="0" applyProtection="0">
      <alignment vertical="center"/>
    </xf>
    <xf numFmtId="10" fontId="24" fillId="20" borderId="289" applyNumberFormat="0" applyBorder="0" applyAlignment="0" applyProtection="0"/>
    <xf numFmtId="0" fontId="25" fillId="0" borderId="344">
      <alignment horizontal="left" vertical="center"/>
    </xf>
    <xf numFmtId="0" fontId="10" fillId="20" borderId="345" applyNumberFormat="0" applyFont="0" applyAlignment="0" applyProtection="0">
      <alignment vertical="center"/>
    </xf>
    <xf numFmtId="0" fontId="10" fillId="20" borderId="261" applyNumberFormat="0" applyFont="0" applyAlignment="0" applyProtection="0">
      <alignment vertical="center"/>
    </xf>
    <xf numFmtId="10" fontId="24" fillId="20" borderId="259" applyNumberFormat="0" applyBorder="0" applyAlignment="0" applyProtection="0"/>
    <xf numFmtId="0" fontId="70" fillId="0" borderId="263" applyNumberFormat="0" applyFill="0" applyAlignment="0" applyProtection="0">
      <alignment vertical="center"/>
    </xf>
    <xf numFmtId="0" fontId="10" fillId="20" borderId="261" applyNumberFormat="0" applyFont="0" applyAlignment="0" applyProtection="0">
      <alignment vertical="center"/>
    </xf>
    <xf numFmtId="0" fontId="65" fillId="19" borderId="334" applyNumberFormat="0" applyAlignment="0" applyProtection="0">
      <alignment vertical="center"/>
    </xf>
    <xf numFmtId="10" fontId="24" fillId="20" borderId="283" applyNumberFormat="0" applyBorder="0" applyAlignment="0" applyProtection="0"/>
    <xf numFmtId="0" fontId="25" fillId="0" borderId="284">
      <alignment horizontal="left" vertical="center"/>
    </xf>
    <xf numFmtId="0" fontId="71" fillId="19" borderId="348" applyNumberFormat="0" applyAlignment="0" applyProtection="0">
      <alignment vertical="center"/>
    </xf>
    <xf numFmtId="0" fontId="62" fillId="20" borderId="261" applyNumberFormat="0" applyFont="0" applyAlignment="0" applyProtection="0">
      <alignment vertical="center"/>
    </xf>
    <xf numFmtId="0" fontId="65" fillId="19" borderId="346" applyNumberFormat="0" applyAlignment="0" applyProtection="0">
      <alignment vertical="center"/>
    </xf>
    <xf numFmtId="0" fontId="75" fillId="10" borderId="244" applyNumberFormat="0" applyAlignment="0" applyProtection="0">
      <alignment vertical="center"/>
    </xf>
    <xf numFmtId="0" fontId="71" fillId="19" borderId="348" applyNumberFormat="0" applyAlignment="0" applyProtection="0">
      <alignment vertical="center"/>
    </xf>
    <xf numFmtId="0" fontId="10" fillId="20" borderId="345" applyNumberFormat="0" applyFont="0" applyAlignment="0" applyProtection="0">
      <alignment vertical="center"/>
    </xf>
    <xf numFmtId="0" fontId="71" fillId="19" borderId="246" applyNumberFormat="0" applyAlignment="0" applyProtection="0">
      <alignment vertical="center"/>
    </xf>
    <xf numFmtId="0" fontId="70" fillId="0" borderId="245" applyNumberFormat="0" applyFill="0" applyAlignment="0" applyProtection="0">
      <alignment vertical="center"/>
    </xf>
    <xf numFmtId="0" fontId="75" fillId="10" borderId="280" applyNumberFormat="0" applyAlignment="0" applyProtection="0">
      <alignment vertical="center"/>
    </xf>
    <xf numFmtId="0" fontId="71" fillId="19" borderId="282" applyNumberFormat="0" applyAlignment="0" applyProtection="0">
      <alignment vertical="center"/>
    </xf>
    <xf numFmtId="0" fontId="70" fillId="0" borderId="281" applyNumberFormat="0" applyFill="0" applyAlignment="0" applyProtection="0">
      <alignment vertical="center"/>
    </xf>
    <xf numFmtId="0" fontId="65" fillId="19" borderId="244" applyNumberFormat="0" applyAlignment="0" applyProtection="0">
      <alignment vertical="center"/>
    </xf>
    <xf numFmtId="0" fontId="62" fillId="20" borderId="279" applyNumberFormat="0" applyFont="0" applyAlignment="0" applyProtection="0">
      <alignment vertical="center"/>
    </xf>
    <xf numFmtId="0" fontId="10" fillId="20" borderId="243" applyNumberFormat="0" applyFont="0" applyAlignment="0" applyProtection="0">
      <alignment vertical="center"/>
    </xf>
    <xf numFmtId="0" fontId="62" fillId="20" borderId="243" applyNumberFormat="0" applyFont="0" applyAlignment="0" applyProtection="0">
      <alignment vertical="center"/>
    </xf>
    <xf numFmtId="0" fontId="75" fillId="10" borderId="322" applyNumberFormat="0" applyAlignment="0" applyProtection="0">
      <alignment vertical="center"/>
    </xf>
    <xf numFmtId="10" fontId="24" fillId="20" borderId="277" applyNumberFormat="0" applyBorder="0" applyAlignment="0" applyProtection="0"/>
    <xf numFmtId="0" fontId="10" fillId="20" borderId="321" applyNumberFormat="0" applyFont="0" applyAlignment="0" applyProtection="0">
      <alignment vertical="center"/>
    </xf>
    <xf numFmtId="0" fontId="71" fillId="19" borderId="324" applyNumberFormat="0" applyAlignment="0" applyProtection="0">
      <alignment vertical="center"/>
    </xf>
    <xf numFmtId="0" fontId="70" fillId="0" borderId="323" applyNumberFormat="0" applyFill="0" applyAlignment="0" applyProtection="0">
      <alignment vertical="center"/>
    </xf>
    <xf numFmtId="0" fontId="62" fillId="20" borderId="321" applyNumberFormat="0" applyFont="0" applyAlignment="0" applyProtection="0">
      <alignment vertical="center"/>
    </xf>
    <xf numFmtId="0" fontId="62" fillId="20" borderId="285" applyNumberFormat="0" applyFont="0" applyAlignment="0" applyProtection="0">
      <alignment vertical="center"/>
    </xf>
    <xf numFmtId="0" fontId="65" fillId="19" borderId="286" applyNumberFormat="0" applyAlignment="0" applyProtection="0">
      <alignment vertical="center"/>
    </xf>
    <xf numFmtId="0" fontId="75" fillId="10" borderId="340" applyNumberFormat="0" applyAlignment="0" applyProtection="0">
      <alignment vertical="center"/>
    </xf>
    <xf numFmtId="0" fontId="65" fillId="19" borderId="322" applyNumberFormat="0" applyAlignment="0" applyProtection="0">
      <alignment vertical="center"/>
    </xf>
    <xf numFmtId="0" fontId="25" fillId="0" borderId="338">
      <alignment horizontal="left" vertical="center"/>
    </xf>
    <xf numFmtId="10" fontId="24" fillId="20" borderId="313" applyNumberFormat="0" applyBorder="0" applyAlignment="0" applyProtection="0"/>
    <xf numFmtId="0" fontId="71" fillId="19" borderId="324" applyNumberFormat="0" applyAlignment="0" applyProtection="0">
      <alignment vertical="center"/>
    </xf>
    <xf numFmtId="0" fontId="25" fillId="0" borderId="242">
      <alignment horizontal="left" vertical="center"/>
    </xf>
    <xf numFmtId="10" fontId="24" fillId="20" borderId="301" applyNumberFormat="0" applyBorder="0" applyAlignment="0" applyProtection="0"/>
    <xf numFmtId="0" fontId="25" fillId="0" borderId="302">
      <alignment horizontal="left" vertical="center"/>
    </xf>
    <xf numFmtId="0" fontId="75" fillId="10" borderId="316" applyNumberFormat="0" applyAlignment="0" applyProtection="0">
      <alignment vertical="center"/>
    </xf>
    <xf numFmtId="0" fontId="65" fillId="19" borderId="340" applyNumberFormat="0" applyAlignment="0" applyProtection="0">
      <alignment vertical="center"/>
    </xf>
    <xf numFmtId="0" fontId="25" fillId="0" borderId="266">
      <alignment horizontal="left" vertical="center"/>
    </xf>
    <xf numFmtId="0" fontId="65" fillId="19" borderId="268" applyNumberFormat="0" applyAlignment="0" applyProtection="0">
      <alignment vertical="center"/>
    </xf>
    <xf numFmtId="0" fontId="70" fillId="0" borderId="269" applyNumberFormat="0" applyFill="0" applyAlignment="0" applyProtection="0">
      <alignment vertical="center"/>
    </xf>
    <xf numFmtId="0" fontId="75" fillId="10" borderId="268" applyNumberFormat="0" applyAlignment="0" applyProtection="0">
      <alignment vertical="center"/>
    </xf>
    <xf numFmtId="0" fontId="75" fillId="10" borderId="262" applyNumberFormat="0" applyAlignment="0" applyProtection="0">
      <alignment vertical="center"/>
    </xf>
    <xf numFmtId="0" fontId="71" fillId="19" borderId="288" applyNumberFormat="0" applyAlignment="0" applyProtection="0">
      <alignment vertical="center"/>
    </xf>
    <xf numFmtId="0" fontId="10" fillId="20" borderId="285" applyNumberFormat="0" applyFont="0" applyAlignment="0" applyProtection="0">
      <alignment vertical="center"/>
    </xf>
    <xf numFmtId="0" fontId="71" fillId="19" borderId="264" applyNumberFormat="0" applyAlignment="0" applyProtection="0">
      <alignment vertical="center"/>
    </xf>
    <xf numFmtId="0" fontId="71" fillId="19" borderId="270" applyNumberForma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10" fillId="20" borderId="267" applyNumberFormat="0" applyFont="0" applyAlignment="0" applyProtection="0">
      <alignment vertical="center"/>
    </xf>
    <xf numFmtId="10" fontId="24" fillId="20" borderId="319" applyNumberFormat="0" applyBorder="0" applyAlignment="0" applyProtection="0"/>
    <xf numFmtId="0" fontId="25" fillId="0" borderId="260">
      <alignment horizontal="left" vertical="center"/>
    </xf>
    <xf numFmtId="0" fontId="70" fillId="0" borderId="263" applyNumberFormat="0" applyFill="0" applyAlignment="0" applyProtection="0">
      <alignment vertical="center"/>
    </xf>
    <xf numFmtId="0" fontId="70" fillId="0" borderId="293" applyNumberFormat="0" applyFill="0" applyAlignment="0" applyProtection="0">
      <alignment vertical="center"/>
    </xf>
    <xf numFmtId="0" fontId="62" fillId="20" borderId="291" applyNumberFormat="0" applyFont="0" applyAlignment="0" applyProtection="0">
      <alignment vertical="center"/>
    </xf>
    <xf numFmtId="0" fontId="25" fillId="0" borderId="308">
      <alignment horizontal="left" vertical="center"/>
    </xf>
    <xf numFmtId="0" fontId="10" fillId="20" borderId="279" applyNumberFormat="0" applyFont="0" applyAlignment="0" applyProtection="0">
      <alignment vertical="center"/>
    </xf>
    <xf numFmtId="0" fontId="62" fillId="20" borderId="315" applyNumberFormat="0" applyFont="0" applyAlignment="0" applyProtection="0">
      <alignment vertical="center"/>
    </xf>
    <xf numFmtId="0" fontId="62" fillId="20" borderId="321" applyNumberFormat="0" applyFont="0" applyAlignment="0" applyProtection="0">
      <alignment vertical="center"/>
    </xf>
    <xf numFmtId="0" fontId="75" fillId="10" borderId="322" applyNumberFormat="0" applyAlignment="0" applyProtection="0">
      <alignment vertical="center"/>
    </xf>
    <xf numFmtId="0" fontId="70" fillId="0" borderId="323" applyNumberFormat="0" applyFill="0" applyAlignment="0" applyProtection="0">
      <alignment vertical="center"/>
    </xf>
    <xf numFmtId="0" fontId="10" fillId="20" borderId="321" applyNumberFormat="0" applyFont="0" applyAlignment="0" applyProtection="0">
      <alignment vertical="center"/>
    </xf>
    <xf numFmtId="0" fontId="70" fillId="0" borderId="287" applyNumberFormat="0" applyFill="0" applyAlignment="0" applyProtection="0">
      <alignment vertical="center"/>
    </xf>
    <xf numFmtId="0" fontId="10" fillId="20" borderId="315" applyNumberFormat="0" applyFont="0" applyAlignment="0" applyProtection="0">
      <alignment vertical="center"/>
    </xf>
    <xf numFmtId="10" fontId="24" fillId="20" borderId="259" applyNumberFormat="0" applyBorder="0" applyAlignment="0" applyProtection="0"/>
    <xf numFmtId="0" fontId="65" fillId="19" borderId="286" applyNumberFormat="0" applyAlignment="0" applyProtection="0">
      <alignment vertical="center"/>
    </xf>
    <xf numFmtId="0" fontId="75" fillId="10" borderId="286" applyNumberFormat="0" applyAlignment="0" applyProtection="0">
      <alignment vertical="center"/>
    </xf>
    <xf numFmtId="10" fontId="24" fillId="20" borderId="241" applyNumberFormat="0" applyBorder="0" applyAlignment="0" applyProtection="0"/>
    <xf numFmtId="0" fontId="62" fillId="20" borderId="267" applyNumberFormat="0" applyFont="0" applyAlignment="0" applyProtection="0">
      <alignment vertical="center"/>
    </xf>
    <xf numFmtId="0" fontId="25" fillId="0" borderId="302">
      <alignment horizontal="left" vertical="center"/>
    </xf>
    <xf numFmtId="0" fontId="10" fillId="20" borderId="321" applyNumberFormat="0" applyFont="0" applyAlignment="0" applyProtection="0">
      <alignment vertical="center"/>
    </xf>
    <xf numFmtId="10" fontId="24" fillId="20" borderId="265" applyNumberFormat="0" applyBorder="0" applyAlignment="0" applyProtection="0"/>
    <xf numFmtId="0" fontId="65" fillId="19" borderId="304" applyNumberFormat="0" applyAlignment="0" applyProtection="0">
      <alignment vertical="center"/>
    </xf>
    <xf numFmtId="0" fontId="65" fillId="19" borderId="322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65" fillId="19" borderId="322" applyNumberFormat="0" applyAlignment="0" applyProtection="0">
      <alignment vertical="center"/>
    </xf>
    <xf numFmtId="0" fontId="25" fillId="0" borderId="230">
      <alignment horizontal="left" vertical="center"/>
    </xf>
    <xf numFmtId="10" fontId="24" fillId="20" borderId="211" applyNumberFormat="0" applyBorder="0" applyAlignment="0" applyProtection="0"/>
    <xf numFmtId="0" fontId="62" fillId="20" borderId="225" applyNumberFormat="0" applyFont="0" applyAlignment="0" applyProtection="0">
      <alignment vertical="center"/>
    </xf>
    <xf numFmtId="0" fontId="10" fillId="20" borderId="225" applyNumberFormat="0" applyFont="0" applyAlignment="0" applyProtection="0">
      <alignment vertical="center"/>
    </xf>
    <xf numFmtId="0" fontId="65" fillId="19" borderId="214" applyNumberFormat="0" applyAlignment="0" applyProtection="0">
      <alignment vertical="center"/>
    </xf>
    <xf numFmtId="0" fontId="70" fillId="0" borderId="215" applyNumberFormat="0" applyFill="0" applyAlignment="0" applyProtection="0">
      <alignment vertical="center"/>
    </xf>
    <xf numFmtId="0" fontId="71" fillId="19" borderId="216" applyNumberFormat="0" applyAlignment="0" applyProtection="0">
      <alignment vertical="center"/>
    </xf>
    <xf numFmtId="0" fontId="75" fillId="10" borderId="214" applyNumberForma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25" fillId="0" borderId="230">
      <alignment horizontal="left" vertical="center"/>
    </xf>
    <xf numFmtId="10" fontId="24" fillId="20" borderId="211" applyNumberFormat="0" applyBorder="0" applyAlignment="0" applyProtection="0"/>
    <xf numFmtId="0" fontId="62" fillId="20" borderId="225" applyNumberFormat="0" applyFont="0" applyAlignment="0" applyProtection="0">
      <alignment vertical="center"/>
    </xf>
    <xf numFmtId="0" fontId="10" fillId="20" borderId="225" applyNumberFormat="0" applyFont="0" applyAlignment="0" applyProtection="0">
      <alignment vertical="center"/>
    </xf>
    <xf numFmtId="0" fontId="65" fillId="19" borderId="214" applyNumberFormat="0" applyAlignment="0" applyProtection="0">
      <alignment vertical="center"/>
    </xf>
    <xf numFmtId="0" fontId="70" fillId="0" borderId="215" applyNumberFormat="0" applyFill="0" applyAlignment="0" applyProtection="0">
      <alignment vertical="center"/>
    </xf>
    <xf numFmtId="0" fontId="71" fillId="19" borderId="216" applyNumberFormat="0" applyAlignment="0" applyProtection="0">
      <alignment vertical="center"/>
    </xf>
    <xf numFmtId="0" fontId="75" fillId="10" borderId="214" applyNumberForma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62" fillId="20" borderId="231" applyNumberFormat="0" applyFont="0" applyAlignment="0" applyProtection="0">
      <alignment vertical="center"/>
    </xf>
    <xf numFmtId="0" fontId="10" fillId="20" borderId="231" applyNumberFormat="0" applyFont="0" applyAlignment="0" applyProtection="0">
      <alignment vertical="center"/>
    </xf>
    <xf numFmtId="0" fontId="65" fillId="19" borderId="232" applyNumberFormat="0" applyAlignment="0" applyProtection="0">
      <alignment vertical="center"/>
    </xf>
    <xf numFmtId="0" fontId="70" fillId="0" borderId="233" applyNumberFormat="0" applyFill="0" applyAlignment="0" applyProtection="0">
      <alignment vertical="center"/>
    </xf>
    <xf numFmtId="0" fontId="71" fillId="19" borderId="234" applyNumberFormat="0" applyAlignment="0" applyProtection="0">
      <alignment vertical="center"/>
    </xf>
    <xf numFmtId="0" fontId="75" fillId="10" borderId="232" applyNumberForma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65" fillId="19" borderId="376" applyNumberFormat="0" applyAlignment="0" applyProtection="0">
      <alignment vertical="center"/>
    </xf>
    <xf numFmtId="0" fontId="62" fillId="20" borderId="231" applyNumberFormat="0" applyFont="0" applyAlignment="0" applyProtection="0">
      <alignment vertical="center"/>
    </xf>
    <xf numFmtId="0" fontId="10" fillId="20" borderId="231" applyNumberFormat="0" applyFont="0" applyAlignment="0" applyProtection="0">
      <alignment vertical="center"/>
    </xf>
    <xf numFmtId="0" fontId="65" fillId="19" borderId="232" applyNumberFormat="0" applyAlignment="0" applyProtection="0">
      <alignment vertical="center"/>
    </xf>
    <xf numFmtId="0" fontId="70" fillId="0" borderId="233" applyNumberFormat="0" applyFill="0" applyAlignment="0" applyProtection="0">
      <alignment vertical="center"/>
    </xf>
    <xf numFmtId="0" fontId="71" fillId="19" borderId="234" applyNumberFormat="0" applyAlignment="0" applyProtection="0">
      <alignment vertical="center"/>
    </xf>
    <xf numFmtId="0" fontId="75" fillId="10" borderId="232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262" applyNumberFormat="0" applyAlignment="0" applyProtection="0">
      <alignment vertical="center"/>
    </xf>
    <xf numFmtId="0" fontId="75" fillId="10" borderId="362" applyNumberForma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62" fillId="20" borderId="261" applyNumberFormat="0" applyFont="0" applyAlignment="0" applyProtection="0">
      <alignment vertical="center"/>
    </xf>
    <xf numFmtId="10" fontId="24" fillId="20" borderId="367" applyNumberFormat="0" applyBorder="0" applyAlignment="0" applyProtection="0"/>
    <xf numFmtId="0" fontId="62" fillId="20" borderId="411" applyNumberFormat="0" applyFont="0" applyAlignment="0" applyProtection="0">
      <alignment vertical="center"/>
    </xf>
    <xf numFmtId="10" fontId="24" fillId="20" borderId="313" applyNumberFormat="0" applyBorder="0" applyAlignment="0" applyProtection="0"/>
    <xf numFmtId="10" fontId="24" fillId="20" borderId="211" applyNumberFormat="0" applyBorder="0" applyAlignment="0" applyProtection="0"/>
    <xf numFmtId="0" fontId="25" fillId="0" borderId="230">
      <alignment horizontal="left" vertical="center"/>
    </xf>
    <xf numFmtId="0" fontId="25" fillId="0" borderId="236">
      <alignment horizontal="left" vertical="center"/>
    </xf>
    <xf numFmtId="10" fontId="24" fillId="20" borderId="235" applyNumberFormat="0" applyBorder="0" applyAlignment="0" applyProtection="0"/>
    <xf numFmtId="0" fontId="75" fillId="10" borderId="232" applyNumberFormat="0" applyAlignment="0" applyProtection="0">
      <alignment vertical="center"/>
    </xf>
    <xf numFmtId="0" fontId="71" fillId="19" borderId="234" applyNumberFormat="0" applyAlignment="0" applyProtection="0">
      <alignment vertical="center"/>
    </xf>
    <xf numFmtId="0" fontId="70" fillId="0" borderId="233" applyNumberFormat="0" applyFill="0" applyAlignment="0" applyProtection="0">
      <alignment vertical="center"/>
    </xf>
    <xf numFmtId="0" fontId="65" fillId="19" borderId="232" applyNumberFormat="0" applyAlignment="0" applyProtection="0">
      <alignment vertical="center"/>
    </xf>
    <xf numFmtId="0" fontId="10" fillId="20" borderId="231" applyNumberFormat="0" applyFont="0" applyAlignment="0" applyProtection="0">
      <alignment vertical="center"/>
    </xf>
    <xf numFmtId="0" fontId="62" fillId="20" borderId="231" applyNumberFormat="0" applyFon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25" fillId="0" borderId="236">
      <alignment horizontal="left" vertical="center"/>
    </xf>
    <xf numFmtId="10" fontId="24" fillId="20" borderId="235" applyNumberFormat="0" applyBorder="0" applyAlignment="0" applyProtection="0"/>
    <xf numFmtId="0" fontId="62" fillId="20" borderId="237" applyNumberFormat="0" applyFont="0" applyAlignment="0" applyProtection="0">
      <alignment vertical="center"/>
    </xf>
    <xf numFmtId="0" fontId="10" fillId="20" borderId="237" applyNumberFormat="0" applyFont="0" applyAlignment="0" applyProtection="0">
      <alignment vertical="center"/>
    </xf>
    <xf numFmtId="0" fontId="65" fillId="19" borderId="238" applyNumberFormat="0" applyAlignment="0" applyProtection="0">
      <alignment vertical="center"/>
    </xf>
    <xf numFmtId="0" fontId="70" fillId="0" borderId="239" applyNumberFormat="0" applyFill="0" applyAlignment="0" applyProtection="0">
      <alignment vertical="center"/>
    </xf>
    <xf numFmtId="0" fontId="71" fillId="19" borderId="240" applyNumberFormat="0" applyAlignment="0" applyProtection="0">
      <alignment vertical="center"/>
    </xf>
    <xf numFmtId="0" fontId="75" fillId="10" borderId="238" applyNumberForma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25" fillId="0" borderId="230">
      <alignment horizontal="left" vertical="center"/>
    </xf>
    <xf numFmtId="10" fontId="24" fillId="20" borderId="211" applyNumberFormat="0" applyBorder="0" applyAlignment="0" applyProtection="0"/>
    <xf numFmtId="0" fontId="65" fillId="19" borderId="304" applyNumberFormat="0" applyAlignment="0" applyProtection="0">
      <alignment vertical="center"/>
    </xf>
    <xf numFmtId="0" fontId="62" fillId="20" borderId="237" applyNumberFormat="0" applyFont="0" applyAlignment="0" applyProtection="0">
      <alignment vertical="center"/>
    </xf>
    <xf numFmtId="0" fontId="10" fillId="20" borderId="237" applyNumberFormat="0" applyFont="0" applyAlignment="0" applyProtection="0">
      <alignment vertical="center"/>
    </xf>
    <xf numFmtId="0" fontId="65" fillId="19" borderId="238" applyNumberFormat="0" applyAlignment="0" applyProtection="0">
      <alignment vertical="center"/>
    </xf>
    <xf numFmtId="0" fontId="70" fillId="0" borderId="239" applyNumberFormat="0" applyFill="0" applyAlignment="0" applyProtection="0">
      <alignment vertical="center"/>
    </xf>
    <xf numFmtId="0" fontId="71" fillId="19" borderId="240" applyNumberFormat="0" applyAlignment="0" applyProtection="0">
      <alignment vertical="center"/>
    </xf>
    <xf numFmtId="0" fontId="75" fillId="10" borderId="238" applyNumberFormat="0" applyAlignment="0" applyProtection="0">
      <alignment vertical="center"/>
    </xf>
    <xf numFmtId="0" fontId="71" fillId="19" borderId="396" applyNumberFormat="0" applyAlignment="0" applyProtection="0">
      <alignment vertical="center"/>
    </xf>
    <xf numFmtId="10" fontId="24" fillId="20" borderId="301" applyNumberFormat="0" applyBorder="0" applyAlignment="0" applyProtection="0"/>
    <xf numFmtId="0" fontId="25" fillId="0" borderId="308">
      <alignment horizontal="left" vertical="center"/>
    </xf>
    <xf numFmtId="0" fontId="71" fillId="19" borderId="264" applyNumberFormat="0" applyAlignment="0" applyProtection="0">
      <alignment vertical="center"/>
    </xf>
    <xf numFmtId="0" fontId="10" fillId="20" borderId="261" applyNumberFormat="0" applyFont="0" applyAlignment="0" applyProtection="0">
      <alignment vertical="center"/>
    </xf>
    <xf numFmtId="0" fontId="25" fillId="0" borderId="248">
      <alignment horizontal="left" vertical="center"/>
    </xf>
    <xf numFmtId="10" fontId="24" fillId="20" borderId="247" applyNumberFormat="0" applyBorder="0" applyAlignment="0" applyProtection="0"/>
    <xf numFmtId="0" fontId="62" fillId="20" borderId="249" applyNumberFormat="0" applyFont="0" applyAlignment="0" applyProtection="0">
      <alignment vertical="center"/>
    </xf>
    <xf numFmtId="0" fontId="10" fillId="20" borderId="249" applyNumberFormat="0" applyFont="0" applyAlignment="0" applyProtection="0">
      <alignment vertical="center"/>
    </xf>
    <xf numFmtId="0" fontId="65" fillId="19" borderId="250" applyNumberFormat="0" applyAlignment="0" applyProtection="0">
      <alignment vertical="center"/>
    </xf>
    <xf numFmtId="0" fontId="70" fillId="0" borderId="251" applyNumberFormat="0" applyFill="0" applyAlignment="0" applyProtection="0">
      <alignment vertical="center"/>
    </xf>
    <xf numFmtId="0" fontId="71" fillId="19" borderId="252" applyNumberFormat="0" applyAlignment="0" applyProtection="0">
      <alignment vertical="center"/>
    </xf>
    <xf numFmtId="0" fontId="75" fillId="10" borderId="250" applyNumberFormat="0" applyAlignment="0" applyProtection="0">
      <alignment vertical="center"/>
    </xf>
    <xf numFmtId="0" fontId="75" fillId="10" borderId="262" applyNumberFormat="0" applyAlignment="0" applyProtection="0">
      <alignment vertical="center"/>
    </xf>
    <xf numFmtId="0" fontId="25" fillId="0" borderId="248">
      <alignment horizontal="left" vertical="center"/>
    </xf>
    <xf numFmtId="10" fontId="24" fillId="20" borderId="247" applyNumberFormat="0" applyBorder="0" applyAlignment="0" applyProtection="0"/>
    <xf numFmtId="0" fontId="62" fillId="20" borderId="249" applyNumberFormat="0" applyFont="0" applyAlignment="0" applyProtection="0">
      <alignment vertical="center"/>
    </xf>
    <xf numFmtId="0" fontId="10" fillId="20" borderId="249" applyNumberFormat="0" applyFont="0" applyAlignment="0" applyProtection="0">
      <alignment vertical="center"/>
    </xf>
    <xf numFmtId="0" fontId="65" fillId="19" borderId="250" applyNumberFormat="0" applyAlignment="0" applyProtection="0">
      <alignment vertical="center"/>
    </xf>
    <xf numFmtId="0" fontId="70" fillId="0" borderId="251" applyNumberFormat="0" applyFill="0" applyAlignment="0" applyProtection="0">
      <alignment vertical="center"/>
    </xf>
    <xf numFmtId="0" fontId="71" fillId="19" borderId="252" applyNumberFormat="0" applyAlignment="0" applyProtection="0">
      <alignment vertical="center"/>
    </xf>
    <xf numFmtId="0" fontId="75" fillId="10" borderId="250" applyNumberFormat="0" applyAlignment="0" applyProtection="0">
      <alignment vertical="center"/>
    </xf>
    <xf numFmtId="0" fontId="70" fillId="0" borderId="335" applyNumberFormat="0" applyFill="0" applyAlignment="0" applyProtection="0">
      <alignment vertical="center"/>
    </xf>
    <xf numFmtId="0" fontId="62" fillId="20" borderId="249" applyNumberFormat="0" applyFont="0" applyAlignment="0" applyProtection="0">
      <alignment vertical="center"/>
    </xf>
    <xf numFmtId="0" fontId="10" fillId="20" borderId="249" applyNumberFormat="0" applyFont="0" applyAlignment="0" applyProtection="0">
      <alignment vertical="center"/>
    </xf>
    <xf numFmtId="0" fontId="65" fillId="19" borderId="250" applyNumberFormat="0" applyAlignment="0" applyProtection="0">
      <alignment vertical="center"/>
    </xf>
    <xf numFmtId="0" fontId="70" fillId="0" borderId="251" applyNumberFormat="0" applyFill="0" applyAlignment="0" applyProtection="0">
      <alignment vertical="center"/>
    </xf>
    <xf numFmtId="0" fontId="71" fillId="19" borderId="252" applyNumberFormat="0" applyAlignment="0" applyProtection="0">
      <alignment vertical="center"/>
    </xf>
    <xf numFmtId="0" fontId="75" fillId="10" borderId="250" applyNumberFormat="0" applyAlignment="0" applyProtection="0">
      <alignment vertical="center"/>
    </xf>
    <xf numFmtId="0" fontId="65" fillId="19" borderId="262" applyNumberFormat="0" applyAlignment="0" applyProtection="0">
      <alignment vertical="center"/>
    </xf>
    <xf numFmtId="0" fontId="62" fillId="20" borderId="249" applyNumberFormat="0" applyFont="0" applyAlignment="0" applyProtection="0">
      <alignment vertical="center"/>
    </xf>
    <xf numFmtId="0" fontId="10" fillId="20" borderId="249" applyNumberFormat="0" applyFont="0" applyAlignment="0" applyProtection="0">
      <alignment vertical="center"/>
    </xf>
    <xf numFmtId="0" fontId="65" fillId="19" borderId="250" applyNumberFormat="0" applyAlignment="0" applyProtection="0">
      <alignment vertical="center"/>
    </xf>
    <xf numFmtId="0" fontId="70" fillId="0" borderId="251" applyNumberFormat="0" applyFill="0" applyAlignment="0" applyProtection="0">
      <alignment vertical="center"/>
    </xf>
    <xf numFmtId="0" fontId="71" fillId="19" borderId="252" applyNumberFormat="0" applyAlignment="0" applyProtection="0">
      <alignment vertical="center"/>
    </xf>
    <xf numFmtId="0" fontId="75" fillId="10" borderId="250" applyNumberFormat="0" applyAlignment="0" applyProtection="0">
      <alignment vertical="center"/>
    </xf>
    <xf numFmtId="0" fontId="62" fillId="20" borderId="333" applyNumberFormat="0" applyFont="0" applyAlignment="0" applyProtection="0">
      <alignment vertical="center"/>
    </xf>
    <xf numFmtId="0" fontId="65" fillId="19" borderId="262" applyNumberFormat="0" applyAlignment="0" applyProtection="0">
      <alignment vertical="center"/>
    </xf>
    <xf numFmtId="0" fontId="71" fillId="19" borderId="288" applyNumberFormat="0" applyAlignment="0" applyProtection="0">
      <alignment vertical="center"/>
    </xf>
    <xf numFmtId="0" fontId="71" fillId="19" borderId="264" applyNumberFormat="0" applyAlignment="0" applyProtection="0">
      <alignment vertical="center"/>
    </xf>
    <xf numFmtId="0" fontId="62" fillId="20" borderId="261" applyNumberFormat="0" applyFont="0" applyAlignment="0" applyProtection="0">
      <alignment vertical="center"/>
    </xf>
    <xf numFmtId="0" fontId="25" fillId="0" borderId="260">
      <alignment horizontal="left" vertical="center"/>
    </xf>
    <xf numFmtId="10" fontId="24" fillId="20" borderId="307" applyNumberFormat="0" applyBorder="0" applyAlignment="0" applyProtection="0"/>
    <xf numFmtId="0" fontId="70" fillId="0" borderId="263" applyNumberFormat="0" applyFill="0" applyAlignment="0" applyProtection="0">
      <alignment vertical="center"/>
    </xf>
    <xf numFmtId="0" fontId="70" fillId="0" borderId="347" applyNumberFormat="0" applyFill="0" applyAlignment="0" applyProtection="0">
      <alignment vertical="center"/>
    </xf>
    <xf numFmtId="10" fontId="24" fillId="20" borderId="247" applyNumberFormat="0" applyBorder="0" applyAlignment="0" applyProtection="0"/>
    <xf numFmtId="0" fontId="25" fillId="0" borderId="248">
      <alignment horizontal="left" vertical="center"/>
    </xf>
    <xf numFmtId="0" fontId="25" fillId="0" borderId="254">
      <alignment horizontal="left" vertical="center"/>
    </xf>
    <xf numFmtId="10" fontId="24" fillId="20" borderId="253" applyNumberFormat="0" applyBorder="0" applyAlignment="0" applyProtection="0"/>
    <xf numFmtId="0" fontId="75" fillId="10" borderId="250" applyNumberFormat="0" applyAlignment="0" applyProtection="0">
      <alignment vertical="center"/>
    </xf>
    <xf numFmtId="0" fontId="71" fillId="19" borderId="252" applyNumberFormat="0" applyAlignment="0" applyProtection="0">
      <alignment vertical="center"/>
    </xf>
    <xf numFmtId="0" fontId="70" fillId="0" borderId="251" applyNumberFormat="0" applyFill="0" applyAlignment="0" applyProtection="0">
      <alignment vertical="center"/>
    </xf>
    <xf numFmtId="0" fontId="65" fillId="19" borderId="250" applyNumberFormat="0" applyAlignment="0" applyProtection="0">
      <alignment vertical="center"/>
    </xf>
    <xf numFmtId="0" fontId="10" fillId="20" borderId="249" applyNumberFormat="0" applyFont="0" applyAlignment="0" applyProtection="0">
      <alignment vertical="center"/>
    </xf>
    <xf numFmtId="0" fontId="62" fillId="20" borderId="249" applyNumberFormat="0" applyFont="0" applyAlignment="0" applyProtection="0">
      <alignment vertical="center"/>
    </xf>
    <xf numFmtId="0" fontId="25" fillId="0" borderId="254">
      <alignment horizontal="left" vertical="center"/>
    </xf>
    <xf numFmtId="10" fontId="24" fillId="20" borderId="253" applyNumberFormat="0" applyBorder="0" applyAlignment="0" applyProtection="0"/>
    <xf numFmtId="0" fontId="62" fillId="20" borderId="255" applyNumberFormat="0" applyFont="0" applyAlignment="0" applyProtection="0">
      <alignment vertical="center"/>
    </xf>
    <xf numFmtId="0" fontId="10" fillId="20" borderId="255" applyNumberFormat="0" applyFont="0" applyAlignment="0" applyProtection="0">
      <alignment vertical="center"/>
    </xf>
    <xf numFmtId="0" fontId="65" fillId="19" borderId="256" applyNumberFormat="0" applyAlignment="0" applyProtection="0">
      <alignment vertical="center"/>
    </xf>
    <xf numFmtId="0" fontId="70" fillId="0" borderId="257" applyNumberFormat="0" applyFill="0" applyAlignment="0" applyProtection="0">
      <alignment vertical="center"/>
    </xf>
    <xf numFmtId="0" fontId="71" fillId="19" borderId="258" applyNumberFormat="0" applyAlignment="0" applyProtection="0">
      <alignment vertical="center"/>
    </xf>
    <xf numFmtId="0" fontId="75" fillId="10" borderId="256" applyNumberFormat="0" applyAlignment="0" applyProtection="0">
      <alignment vertical="center"/>
    </xf>
    <xf numFmtId="0" fontId="62" fillId="20" borderId="285" applyNumberFormat="0" applyFont="0" applyAlignment="0" applyProtection="0">
      <alignment vertical="center"/>
    </xf>
    <xf numFmtId="0" fontId="25" fillId="0" borderId="248">
      <alignment horizontal="left" vertical="center"/>
    </xf>
    <xf numFmtId="10" fontId="24" fillId="20" borderId="247" applyNumberFormat="0" applyBorder="0" applyAlignment="0" applyProtection="0"/>
    <xf numFmtId="0" fontId="70" fillId="0" borderId="287" applyNumberFormat="0" applyFill="0" applyAlignment="0" applyProtection="0">
      <alignment vertical="center"/>
    </xf>
    <xf numFmtId="10" fontId="24" fillId="20" borderId="307" applyNumberFormat="0" applyBorder="0" applyAlignment="0" applyProtection="0"/>
    <xf numFmtId="0" fontId="62" fillId="20" borderId="255" applyNumberFormat="0" applyFont="0" applyAlignment="0" applyProtection="0">
      <alignment vertical="center"/>
    </xf>
    <xf numFmtId="0" fontId="10" fillId="20" borderId="255" applyNumberFormat="0" applyFont="0" applyAlignment="0" applyProtection="0">
      <alignment vertical="center"/>
    </xf>
    <xf numFmtId="0" fontId="65" fillId="19" borderId="256" applyNumberFormat="0" applyAlignment="0" applyProtection="0">
      <alignment vertical="center"/>
    </xf>
    <xf numFmtId="0" fontId="70" fillId="0" borderId="257" applyNumberFormat="0" applyFill="0" applyAlignment="0" applyProtection="0">
      <alignment vertical="center"/>
    </xf>
    <xf numFmtId="0" fontId="71" fillId="19" borderId="258" applyNumberFormat="0" applyAlignment="0" applyProtection="0">
      <alignment vertical="center"/>
    </xf>
    <xf numFmtId="0" fontId="75" fillId="10" borderId="256" applyNumberFormat="0" applyAlignment="0" applyProtection="0">
      <alignment vertical="center"/>
    </xf>
    <xf numFmtId="0" fontId="10" fillId="20" borderId="285" applyNumberFormat="0" applyFont="0" applyAlignment="0" applyProtection="0">
      <alignment vertical="center"/>
    </xf>
    <xf numFmtId="0" fontId="25" fillId="0" borderId="266">
      <alignment horizontal="left" vertical="center"/>
    </xf>
    <xf numFmtId="10" fontId="24" fillId="20" borderId="265" applyNumberFormat="0" applyBorder="0" applyAlignment="0" applyProtection="0"/>
    <xf numFmtId="0" fontId="62" fillId="20" borderId="267" applyNumberFormat="0" applyFont="0" applyAlignment="0" applyProtection="0">
      <alignment vertical="center"/>
    </xf>
    <xf numFmtId="0" fontId="10" fillId="20" borderId="267" applyNumberFormat="0" applyFont="0" applyAlignment="0" applyProtection="0">
      <alignment vertical="center"/>
    </xf>
    <xf numFmtId="0" fontId="65" fillId="19" borderId="268" applyNumberFormat="0" applyAlignment="0" applyProtection="0">
      <alignment vertical="center"/>
    </xf>
    <xf numFmtId="0" fontId="70" fillId="0" borderId="269" applyNumberFormat="0" applyFill="0" applyAlignment="0" applyProtection="0">
      <alignment vertical="center"/>
    </xf>
    <xf numFmtId="0" fontId="71" fillId="19" borderId="270" applyNumberFormat="0" applyAlignment="0" applyProtection="0">
      <alignment vertical="center"/>
    </xf>
    <xf numFmtId="0" fontId="75" fillId="10" borderId="268" applyNumberFormat="0" applyAlignment="0" applyProtection="0">
      <alignment vertical="center"/>
    </xf>
    <xf numFmtId="10" fontId="24" fillId="20" borderId="301" applyNumberFormat="0" applyBorder="0" applyAlignment="0" applyProtection="0"/>
    <xf numFmtId="0" fontId="62" fillId="20" borderId="267" applyNumberFormat="0" applyFont="0" applyAlignment="0" applyProtection="0">
      <alignment vertical="center"/>
    </xf>
    <xf numFmtId="0" fontId="10" fillId="20" borderId="267" applyNumberFormat="0" applyFont="0" applyAlignment="0" applyProtection="0">
      <alignment vertical="center"/>
    </xf>
    <xf numFmtId="0" fontId="65" fillId="19" borderId="268" applyNumberFormat="0" applyAlignment="0" applyProtection="0">
      <alignment vertical="center"/>
    </xf>
    <xf numFmtId="0" fontId="70" fillId="0" borderId="269" applyNumberFormat="0" applyFill="0" applyAlignment="0" applyProtection="0">
      <alignment vertical="center"/>
    </xf>
    <xf numFmtId="0" fontId="71" fillId="19" borderId="270" applyNumberFormat="0" applyAlignment="0" applyProtection="0">
      <alignment vertical="center"/>
    </xf>
    <xf numFmtId="0" fontId="75" fillId="10" borderId="268" applyNumberFormat="0" applyAlignment="0" applyProtection="0">
      <alignment vertical="center"/>
    </xf>
    <xf numFmtId="0" fontId="62" fillId="20" borderId="321" applyNumberFormat="0" applyFont="0" applyAlignment="0" applyProtection="0">
      <alignment vertical="center"/>
    </xf>
    <xf numFmtId="0" fontId="62" fillId="20" borderId="267" applyNumberFormat="0" applyFont="0" applyAlignment="0" applyProtection="0">
      <alignment vertical="center"/>
    </xf>
    <xf numFmtId="0" fontId="10" fillId="20" borderId="267" applyNumberFormat="0" applyFont="0" applyAlignment="0" applyProtection="0">
      <alignment vertical="center"/>
    </xf>
    <xf numFmtId="0" fontId="65" fillId="19" borderId="268" applyNumberFormat="0" applyAlignment="0" applyProtection="0">
      <alignment vertical="center"/>
    </xf>
    <xf numFmtId="0" fontId="70" fillId="0" borderId="269" applyNumberFormat="0" applyFill="0" applyAlignment="0" applyProtection="0">
      <alignment vertical="center"/>
    </xf>
    <xf numFmtId="0" fontId="71" fillId="19" borderId="270" applyNumberFormat="0" applyAlignment="0" applyProtection="0">
      <alignment vertical="center"/>
    </xf>
    <xf numFmtId="0" fontId="75" fillId="10" borderId="268" applyNumberFormat="0" applyAlignment="0" applyProtection="0">
      <alignment vertical="center"/>
    </xf>
    <xf numFmtId="10" fontId="24" fillId="20" borderId="307" applyNumberFormat="0" applyBorder="0" applyAlignment="0" applyProtection="0"/>
    <xf numFmtId="0" fontId="71" fillId="19" borderId="336" applyNumberFormat="0" applyAlignment="0" applyProtection="0">
      <alignment vertical="center"/>
    </xf>
    <xf numFmtId="0" fontId="25" fillId="0" borderId="278">
      <alignment horizontal="left" vertical="center"/>
    </xf>
    <xf numFmtId="0" fontId="25" fillId="0" borderId="320">
      <alignment horizontal="left" vertical="center"/>
    </xf>
    <xf numFmtId="10" fontId="24" fillId="20" borderId="265" applyNumberFormat="0" applyBorder="0" applyAlignment="0" applyProtection="0"/>
    <xf numFmtId="0" fontId="25" fillId="0" borderId="266">
      <alignment horizontal="left" vertical="center"/>
    </xf>
    <xf numFmtId="0" fontId="25" fillId="0" borderId="272">
      <alignment horizontal="left" vertical="center"/>
    </xf>
    <xf numFmtId="10" fontId="24" fillId="20" borderId="271" applyNumberFormat="0" applyBorder="0" applyAlignment="0" applyProtection="0"/>
    <xf numFmtId="0" fontId="75" fillId="10" borderId="268" applyNumberFormat="0" applyAlignment="0" applyProtection="0">
      <alignment vertical="center"/>
    </xf>
    <xf numFmtId="0" fontId="71" fillId="19" borderId="270" applyNumberFormat="0" applyAlignment="0" applyProtection="0">
      <alignment vertical="center"/>
    </xf>
    <xf numFmtId="0" fontId="70" fillId="0" borderId="269" applyNumberFormat="0" applyFill="0" applyAlignment="0" applyProtection="0">
      <alignment vertical="center"/>
    </xf>
    <xf numFmtId="0" fontId="65" fillId="19" borderId="268" applyNumberFormat="0" applyAlignment="0" applyProtection="0">
      <alignment vertical="center"/>
    </xf>
    <xf numFmtId="0" fontId="10" fillId="20" borderId="267" applyNumberFormat="0" applyFont="0" applyAlignment="0" applyProtection="0">
      <alignment vertical="center"/>
    </xf>
    <xf numFmtId="0" fontId="62" fillId="20" borderId="267" applyNumberFormat="0" applyFont="0" applyAlignment="0" applyProtection="0">
      <alignment vertical="center"/>
    </xf>
    <xf numFmtId="10" fontId="24" fillId="20" borderId="337" applyNumberFormat="0" applyBorder="0" applyAlignment="0" applyProtection="0"/>
    <xf numFmtId="0" fontId="25" fillId="0" borderId="272">
      <alignment horizontal="left" vertical="center"/>
    </xf>
    <xf numFmtId="10" fontId="24" fillId="20" borderId="271" applyNumberFormat="0" applyBorder="0" applyAlignment="0" applyProtection="0"/>
    <xf numFmtId="0" fontId="62" fillId="20" borderId="273" applyNumberFormat="0" applyFont="0" applyAlignment="0" applyProtection="0">
      <alignment vertical="center"/>
    </xf>
    <xf numFmtId="0" fontId="10" fillId="20" borderId="273" applyNumberFormat="0" applyFont="0" applyAlignment="0" applyProtection="0">
      <alignment vertical="center"/>
    </xf>
    <xf numFmtId="0" fontId="65" fillId="19" borderId="274" applyNumberFormat="0" applyAlignment="0" applyProtection="0">
      <alignment vertical="center"/>
    </xf>
    <xf numFmtId="0" fontId="70" fillId="0" borderId="275" applyNumberFormat="0" applyFill="0" applyAlignment="0" applyProtection="0">
      <alignment vertical="center"/>
    </xf>
    <xf numFmtId="0" fontId="71" fillId="19" borderId="276" applyNumberFormat="0" applyAlignment="0" applyProtection="0">
      <alignment vertical="center"/>
    </xf>
    <xf numFmtId="0" fontId="75" fillId="10" borderId="274" applyNumberFormat="0" applyAlignment="0" applyProtection="0">
      <alignment vertical="center"/>
    </xf>
    <xf numFmtId="0" fontId="25" fillId="0" borderId="266">
      <alignment horizontal="left" vertical="center"/>
    </xf>
    <xf numFmtId="10" fontId="24" fillId="20" borderId="265" applyNumberFormat="0" applyBorder="0" applyAlignment="0" applyProtection="0"/>
    <xf numFmtId="0" fontId="25" fillId="0" borderId="320">
      <alignment horizontal="left" vertical="center"/>
    </xf>
    <xf numFmtId="0" fontId="62" fillId="20" borderId="273" applyNumberFormat="0" applyFont="0" applyAlignment="0" applyProtection="0">
      <alignment vertical="center"/>
    </xf>
    <xf numFmtId="0" fontId="10" fillId="20" borderId="273" applyNumberFormat="0" applyFont="0" applyAlignment="0" applyProtection="0">
      <alignment vertical="center"/>
    </xf>
    <xf numFmtId="0" fontId="65" fillId="19" borderId="274" applyNumberFormat="0" applyAlignment="0" applyProtection="0">
      <alignment vertical="center"/>
    </xf>
    <xf numFmtId="0" fontId="70" fillId="0" borderId="275" applyNumberFormat="0" applyFill="0" applyAlignment="0" applyProtection="0">
      <alignment vertical="center"/>
    </xf>
    <xf numFmtId="0" fontId="71" fillId="19" borderId="276" applyNumberFormat="0" applyAlignment="0" applyProtection="0">
      <alignment vertical="center"/>
    </xf>
    <xf numFmtId="0" fontId="75" fillId="10" borderId="274" applyNumberFormat="0" applyAlignment="0" applyProtection="0">
      <alignment vertical="center"/>
    </xf>
    <xf numFmtId="10" fontId="24" fillId="20" borderId="343" applyNumberFormat="0" applyBorder="0" applyAlignment="0" applyProtection="0"/>
    <xf numFmtId="0" fontId="71" fillId="19" borderId="294" applyNumberFormat="0" applyAlignment="0" applyProtection="0">
      <alignment vertical="center"/>
    </xf>
    <xf numFmtId="0" fontId="75" fillId="10" borderId="292" applyNumberFormat="0" applyAlignment="0" applyProtection="0">
      <alignment vertical="center"/>
    </xf>
    <xf numFmtId="0" fontId="62" fillId="20" borderId="291" applyNumberFormat="0" applyFont="0" applyAlignment="0" applyProtection="0">
      <alignment vertical="center"/>
    </xf>
    <xf numFmtId="0" fontId="10" fillId="20" borderId="291" applyNumberFormat="0" applyFont="0" applyAlignment="0" applyProtection="0">
      <alignment vertical="center"/>
    </xf>
    <xf numFmtId="0" fontId="65" fillId="19" borderId="292" applyNumberFormat="0" applyAlignment="0" applyProtection="0">
      <alignment vertical="center"/>
    </xf>
    <xf numFmtId="0" fontId="70" fillId="0" borderId="293" applyNumberFormat="0" applyFill="0" applyAlignment="0" applyProtection="0">
      <alignment vertical="center"/>
    </xf>
    <xf numFmtId="0" fontId="71" fillId="19" borderId="294" applyNumberFormat="0" applyAlignment="0" applyProtection="0">
      <alignment vertical="center"/>
    </xf>
    <xf numFmtId="0" fontId="75" fillId="10" borderId="292" applyNumberFormat="0" applyAlignment="0" applyProtection="0">
      <alignment vertical="center"/>
    </xf>
    <xf numFmtId="0" fontId="62" fillId="20" borderId="291" applyNumberFormat="0" applyFont="0" applyAlignment="0" applyProtection="0">
      <alignment vertical="center"/>
    </xf>
    <xf numFmtId="0" fontId="10" fillId="20" borderId="291" applyNumberFormat="0" applyFont="0" applyAlignment="0" applyProtection="0">
      <alignment vertical="center"/>
    </xf>
    <xf numFmtId="0" fontId="65" fillId="19" borderId="292" applyNumberFormat="0" applyAlignment="0" applyProtection="0">
      <alignment vertical="center"/>
    </xf>
    <xf numFmtId="0" fontId="70" fillId="0" borderId="293" applyNumberFormat="0" applyFill="0" applyAlignment="0" applyProtection="0">
      <alignment vertical="center"/>
    </xf>
    <xf numFmtId="0" fontId="71" fillId="19" borderId="294" applyNumberFormat="0" applyAlignment="0" applyProtection="0">
      <alignment vertical="center"/>
    </xf>
    <xf numFmtId="0" fontId="75" fillId="10" borderId="292" applyNumberFormat="0" applyAlignment="0" applyProtection="0">
      <alignment vertical="center"/>
    </xf>
    <xf numFmtId="0" fontId="75" fillId="10" borderId="334" applyNumberFormat="0" applyAlignment="0" applyProtection="0">
      <alignment vertical="center"/>
    </xf>
    <xf numFmtId="0" fontId="65" fillId="19" borderId="316" applyNumberFormat="0" applyAlignment="0" applyProtection="0">
      <alignment vertical="center"/>
    </xf>
    <xf numFmtId="0" fontId="62" fillId="20" borderId="345" applyNumberFormat="0" applyFont="0" applyAlignment="0" applyProtection="0">
      <alignment vertical="center"/>
    </xf>
    <xf numFmtId="0" fontId="25" fillId="0" borderId="302">
      <alignment horizontal="left" vertical="center"/>
    </xf>
    <xf numFmtId="0" fontId="25" fillId="0" borderId="308">
      <alignment horizontal="left" vertical="center"/>
    </xf>
    <xf numFmtId="0" fontId="75" fillId="10" borderId="346" applyNumberFormat="0" applyAlignment="0" applyProtection="0">
      <alignment vertical="center"/>
    </xf>
    <xf numFmtId="10" fontId="24" fillId="20" borderId="307" applyNumberFormat="0" applyBorder="0" applyAlignment="0" applyProtection="0"/>
    <xf numFmtId="10" fontId="24" fillId="20" borderId="289" applyNumberFormat="0" applyBorder="0" applyAlignment="0" applyProtection="0"/>
    <xf numFmtId="0" fontId="25" fillId="0" borderId="290">
      <alignment horizontal="left" vertical="center"/>
    </xf>
    <xf numFmtId="0" fontId="25" fillId="0" borderId="296">
      <alignment horizontal="left" vertical="center"/>
    </xf>
    <xf numFmtId="10" fontId="24" fillId="20" borderId="295" applyNumberFormat="0" applyBorder="0" applyAlignment="0" applyProtection="0"/>
    <xf numFmtId="0" fontId="75" fillId="10" borderId="292" applyNumberFormat="0" applyAlignment="0" applyProtection="0">
      <alignment vertical="center"/>
    </xf>
    <xf numFmtId="0" fontId="71" fillId="19" borderId="294" applyNumberFormat="0" applyAlignment="0" applyProtection="0">
      <alignment vertical="center"/>
    </xf>
    <xf numFmtId="0" fontId="70" fillId="0" borderId="293" applyNumberFormat="0" applyFill="0" applyAlignment="0" applyProtection="0">
      <alignment vertical="center"/>
    </xf>
    <xf numFmtId="0" fontId="65" fillId="19" borderId="292" applyNumberFormat="0" applyAlignment="0" applyProtection="0">
      <alignment vertical="center"/>
    </xf>
    <xf numFmtId="0" fontId="10" fillId="20" borderId="291" applyNumberFormat="0" applyFont="0" applyAlignment="0" applyProtection="0">
      <alignment vertical="center"/>
    </xf>
    <xf numFmtId="0" fontId="62" fillId="20" borderId="291" applyNumberFormat="0" applyFont="0" applyAlignment="0" applyProtection="0">
      <alignment vertical="center"/>
    </xf>
    <xf numFmtId="0" fontId="25" fillId="0" borderId="296">
      <alignment horizontal="left" vertical="center"/>
    </xf>
    <xf numFmtId="10" fontId="24" fillId="20" borderId="295" applyNumberFormat="0" applyBorder="0" applyAlignment="0" applyProtection="0"/>
    <xf numFmtId="0" fontId="62" fillId="20" borderId="297" applyNumberFormat="0" applyFont="0" applyAlignment="0" applyProtection="0">
      <alignment vertical="center"/>
    </xf>
    <xf numFmtId="0" fontId="10" fillId="20" borderId="297" applyNumberFormat="0" applyFont="0" applyAlignment="0" applyProtection="0">
      <alignment vertical="center"/>
    </xf>
    <xf numFmtId="0" fontId="65" fillId="19" borderId="298" applyNumberFormat="0" applyAlignment="0" applyProtection="0">
      <alignment vertical="center"/>
    </xf>
    <xf numFmtId="0" fontId="70" fillId="0" borderId="299" applyNumberFormat="0" applyFill="0" applyAlignment="0" applyProtection="0">
      <alignment vertical="center"/>
    </xf>
    <xf numFmtId="0" fontId="71" fillId="19" borderId="300" applyNumberFormat="0" applyAlignment="0" applyProtection="0">
      <alignment vertical="center"/>
    </xf>
    <xf numFmtId="0" fontId="75" fillId="10" borderId="298" applyNumberFormat="0" applyAlignment="0" applyProtection="0">
      <alignment vertical="center"/>
    </xf>
    <xf numFmtId="0" fontId="10" fillId="20" borderId="333" applyNumberFormat="0" applyFont="0" applyAlignment="0" applyProtection="0">
      <alignment vertical="center"/>
    </xf>
    <xf numFmtId="0" fontId="25" fillId="0" borderId="290">
      <alignment horizontal="left" vertical="center"/>
    </xf>
    <xf numFmtId="10" fontId="24" fillId="20" borderId="289" applyNumberFormat="0" applyBorder="0" applyAlignment="0" applyProtection="0"/>
    <xf numFmtId="0" fontId="62" fillId="20" borderId="297" applyNumberFormat="0" applyFont="0" applyAlignment="0" applyProtection="0">
      <alignment vertical="center"/>
    </xf>
    <xf numFmtId="0" fontId="10" fillId="20" borderId="297" applyNumberFormat="0" applyFont="0" applyAlignment="0" applyProtection="0">
      <alignment vertical="center"/>
    </xf>
    <xf numFmtId="0" fontId="65" fillId="19" borderId="298" applyNumberFormat="0" applyAlignment="0" applyProtection="0">
      <alignment vertical="center"/>
    </xf>
    <xf numFmtId="0" fontId="70" fillId="0" borderId="299" applyNumberFormat="0" applyFill="0" applyAlignment="0" applyProtection="0">
      <alignment vertical="center"/>
    </xf>
    <xf numFmtId="0" fontId="71" fillId="19" borderId="300" applyNumberFormat="0" applyAlignment="0" applyProtection="0">
      <alignment vertical="center"/>
    </xf>
    <xf numFmtId="0" fontId="75" fillId="10" borderId="298" applyNumberFormat="0" applyAlignment="0" applyProtection="0">
      <alignment vertical="center"/>
    </xf>
    <xf numFmtId="0" fontId="25" fillId="0" borderId="302">
      <alignment horizontal="left" vertical="center"/>
    </xf>
    <xf numFmtId="10" fontId="24" fillId="20" borderId="301" applyNumberFormat="0" applyBorder="0" applyAlignment="0" applyProtection="0"/>
    <xf numFmtId="0" fontId="62" fillId="20" borderId="285" applyNumberFormat="0" applyFont="0" applyAlignment="0" applyProtection="0">
      <alignment vertical="center"/>
    </xf>
    <xf numFmtId="0" fontId="10" fillId="20" borderId="285" applyNumberFormat="0" applyFont="0" applyAlignment="0" applyProtection="0">
      <alignment vertical="center"/>
    </xf>
    <xf numFmtId="0" fontId="65" fillId="19" borderId="286" applyNumberFormat="0" applyAlignment="0" applyProtection="0">
      <alignment vertical="center"/>
    </xf>
    <xf numFmtId="0" fontId="70" fillId="0" borderId="287" applyNumberFormat="0" applyFill="0" applyAlignment="0" applyProtection="0">
      <alignment vertical="center"/>
    </xf>
    <xf numFmtId="0" fontId="71" fillId="19" borderId="288" applyNumberFormat="0" applyAlignment="0" applyProtection="0">
      <alignment vertical="center"/>
    </xf>
    <xf numFmtId="0" fontId="75" fillId="10" borderId="286" applyNumberFormat="0" applyAlignment="0" applyProtection="0">
      <alignment vertical="center"/>
    </xf>
    <xf numFmtId="0" fontId="62" fillId="20" borderId="285" applyNumberFormat="0" applyFont="0" applyAlignment="0" applyProtection="0">
      <alignment vertical="center"/>
    </xf>
    <xf numFmtId="0" fontId="10" fillId="20" borderId="285" applyNumberFormat="0" applyFont="0" applyAlignment="0" applyProtection="0">
      <alignment vertical="center"/>
    </xf>
    <xf numFmtId="0" fontId="65" fillId="19" borderId="286" applyNumberFormat="0" applyAlignment="0" applyProtection="0">
      <alignment vertical="center"/>
    </xf>
    <xf numFmtId="0" fontId="70" fillId="0" borderId="287" applyNumberFormat="0" applyFill="0" applyAlignment="0" applyProtection="0">
      <alignment vertical="center"/>
    </xf>
    <xf numFmtId="0" fontId="71" fillId="19" borderId="288" applyNumberFormat="0" applyAlignment="0" applyProtection="0">
      <alignment vertical="center"/>
    </xf>
    <xf numFmtId="0" fontId="75" fillId="10" borderId="286" applyNumberFormat="0" applyAlignment="0" applyProtection="0">
      <alignment vertical="center"/>
    </xf>
    <xf numFmtId="0" fontId="62" fillId="20" borderId="285" applyNumberFormat="0" applyFont="0" applyAlignment="0" applyProtection="0">
      <alignment vertical="center"/>
    </xf>
    <xf numFmtId="0" fontId="10" fillId="20" borderId="285" applyNumberFormat="0" applyFont="0" applyAlignment="0" applyProtection="0">
      <alignment vertical="center"/>
    </xf>
    <xf numFmtId="0" fontId="65" fillId="19" borderId="286" applyNumberFormat="0" applyAlignment="0" applyProtection="0">
      <alignment vertical="center"/>
    </xf>
    <xf numFmtId="0" fontId="70" fillId="0" borderId="287" applyNumberFormat="0" applyFill="0" applyAlignment="0" applyProtection="0">
      <alignment vertical="center"/>
    </xf>
    <xf numFmtId="0" fontId="71" fillId="19" borderId="288" applyNumberFormat="0" applyAlignment="0" applyProtection="0">
      <alignment vertical="center"/>
    </xf>
    <xf numFmtId="0" fontId="75" fillId="10" borderId="286" applyNumberFormat="0" applyAlignment="0" applyProtection="0">
      <alignment vertical="center"/>
    </xf>
    <xf numFmtId="0" fontId="71" fillId="19" borderId="318" applyNumberFormat="0" applyAlignment="0" applyProtection="0">
      <alignment vertical="center"/>
    </xf>
    <xf numFmtId="0" fontId="71" fillId="19" borderId="342" applyNumberFormat="0" applyAlignment="0" applyProtection="0">
      <alignment vertical="center"/>
    </xf>
    <xf numFmtId="0" fontId="25" fillId="0" borderId="308">
      <alignment horizontal="left" vertical="center"/>
    </xf>
    <xf numFmtId="10" fontId="24" fillId="20" borderId="319" applyNumberFormat="0" applyBorder="0" applyAlignment="0" applyProtection="0"/>
    <xf numFmtId="10" fontId="24" fillId="20" borderId="301" applyNumberFormat="0" applyBorder="0" applyAlignment="0" applyProtection="0"/>
    <xf numFmtId="0" fontId="25" fillId="0" borderId="302">
      <alignment horizontal="left" vertical="center"/>
    </xf>
    <xf numFmtId="0" fontId="25" fillId="0" borderId="284">
      <alignment horizontal="left" vertical="center"/>
    </xf>
    <xf numFmtId="10" fontId="24" fillId="20" borderId="283" applyNumberFormat="0" applyBorder="0" applyAlignment="0" applyProtection="0"/>
    <xf numFmtId="0" fontId="75" fillId="10" borderId="286" applyNumberFormat="0" applyAlignment="0" applyProtection="0">
      <alignment vertical="center"/>
    </xf>
    <xf numFmtId="0" fontId="71" fillId="19" borderId="288" applyNumberFormat="0" applyAlignment="0" applyProtection="0">
      <alignment vertical="center"/>
    </xf>
    <xf numFmtId="0" fontId="70" fillId="0" borderId="287" applyNumberFormat="0" applyFill="0" applyAlignment="0" applyProtection="0">
      <alignment vertical="center"/>
    </xf>
    <xf numFmtId="0" fontId="65" fillId="19" borderId="286" applyNumberFormat="0" applyAlignment="0" applyProtection="0">
      <alignment vertical="center"/>
    </xf>
    <xf numFmtId="0" fontId="10" fillId="20" borderId="285" applyNumberFormat="0" applyFont="0" applyAlignment="0" applyProtection="0">
      <alignment vertical="center"/>
    </xf>
    <xf numFmtId="0" fontId="62" fillId="20" borderId="285" applyNumberFormat="0" applyFont="0" applyAlignment="0" applyProtection="0">
      <alignment vertical="center"/>
    </xf>
    <xf numFmtId="0" fontId="25" fillId="0" borderId="284">
      <alignment horizontal="left" vertical="center"/>
    </xf>
    <xf numFmtId="10" fontId="24" fillId="20" borderId="283" applyNumberFormat="0" applyBorder="0" applyAlignment="0" applyProtection="0"/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25" fillId="0" borderId="302">
      <alignment horizontal="left" vertical="center"/>
    </xf>
    <xf numFmtId="10" fontId="24" fillId="20" borderId="301" applyNumberFormat="0" applyBorder="0" applyAlignment="0" applyProtection="0"/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0" fillId="0" borderId="263" applyNumberFormat="0" applyFill="0" applyAlignment="0" applyProtection="0">
      <alignment vertical="center"/>
    </xf>
    <xf numFmtId="0" fontId="71" fillId="19" borderId="264" applyNumberFormat="0" applyAlignment="0" applyProtection="0">
      <alignment vertical="center"/>
    </xf>
    <xf numFmtId="0" fontId="75" fillId="10" borderId="262" applyNumberFormat="0" applyAlignment="0" applyProtection="0">
      <alignment vertical="center"/>
    </xf>
    <xf numFmtId="0" fontId="62" fillId="20" borderId="261" applyNumberFormat="0" applyFont="0" applyAlignment="0" applyProtection="0">
      <alignment vertical="center"/>
    </xf>
    <xf numFmtId="0" fontId="10" fillId="20" borderId="261" applyNumberFormat="0" applyFont="0" applyAlignment="0" applyProtection="0">
      <alignment vertical="center"/>
    </xf>
    <xf numFmtId="0" fontId="65" fillId="19" borderId="262" applyNumberFormat="0" applyAlignment="0" applyProtection="0">
      <alignment vertical="center"/>
    </xf>
    <xf numFmtId="0" fontId="70" fillId="0" borderId="263" applyNumberFormat="0" applyFill="0" applyAlignment="0" applyProtection="0">
      <alignment vertical="center"/>
    </xf>
    <xf numFmtId="0" fontId="71" fillId="19" borderId="264" applyNumberFormat="0" applyAlignment="0" applyProtection="0">
      <alignment vertical="center"/>
    </xf>
    <xf numFmtId="0" fontId="75" fillId="10" borderId="262" applyNumberFormat="0" applyAlignment="0" applyProtection="0">
      <alignment vertical="center"/>
    </xf>
    <xf numFmtId="0" fontId="70" fillId="0" borderId="317" applyNumberFormat="0" applyFill="0" applyAlignment="0" applyProtection="0">
      <alignment vertical="center"/>
    </xf>
    <xf numFmtId="0" fontId="25" fillId="0" borderId="314">
      <alignment horizontal="left" vertical="center"/>
    </xf>
    <xf numFmtId="10" fontId="24" fillId="20" borderId="307" applyNumberFormat="0" applyBorder="0" applyAlignment="0" applyProtection="0"/>
    <xf numFmtId="0" fontId="25" fillId="0" borderId="308">
      <alignment horizontal="left" vertical="center"/>
    </xf>
    <xf numFmtId="0" fontId="25" fillId="0" borderId="260">
      <alignment horizontal="left" vertical="center"/>
    </xf>
    <xf numFmtId="10" fontId="24" fillId="20" borderId="259" applyNumberFormat="0" applyBorder="0" applyAlignment="0" applyProtection="0"/>
    <xf numFmtId="0" fontId="75" fillId="10" borderId="262" applyNumberFormat="0" applyAlignment="0" applyProtection="0">
      <alignment vertical="center"/>
    </xf>
    <xf numFmtId="0" fontId="71" fillId="19" borderId="264" applyNumberFormat="0" applyAlignment="0" applyProtection="0">
      <alignment vertical="center"/>
    </xf>
    <xf numFmtId="0" fontId="70" fillId="0" borderId="263" applyNumberFormat="0" applyFill="0" applyAlignment="0" applyProtection="0">
      <alignment vertical="center"/>
    </xf>
    <xf numFmtId="0" fontId="65" fillId="19" borderId="262" applyNumberFormat="0" applyAlignment="0" applyProtection="0">
      <alignment vertical="center"/>
    </xf>
    <xf numFmtId="0" fontId="10" fillId="20" borderId="261" applyNumberFormat="0" applyFont="0" applyAlignment="0" applyProtection="0">
      <alignment vertical="center"/>
    </xf>
    <xf numFmtId="0" fontId="62" fillId="20" borderId="261" applyNumberFormat="0" applyFont="0" applyAlignment="0" applyProtection="0">
      <alignment vertical="center"/>
    </xf>
    <xf numFmtId="0" fontId="25" fillId="0" borderId="260">
      <alignment horizontal="left" vertical="center"/>
    </xf>
    <xf numFmtId="10" fontId="24" fillId="20" borderId="259" applyNumberFormat="0" applyBorder="0" applyAlignment="0" applyProtection="0"/>
    <xf numFmtId="0" fontId="62" fillId="20" borderId="309" applyNumberFormat="0" applyFont="0" applyAlignment="0" applyProtection="0">
      <alignment vertical="center"/>
    </xf>
    <xf numFmtId="0" fontId="10" fillId="20" borderId="309" applyNumberFormat="0" applyFont="0" applyAlignment="0" applyProtection="0">
      <alignment vertical="center"/>
    </xf>
    <xf numFmtId="0" fontId="65" fillId="19" borderId="310" applyNumberFormat="0" applyAlignment="0" applyProtection="0">
      <alignment vertical="center"/>
    </xf>
    <xf numFmtId="0" fontId="70" fillId="0" borderId="311" applyNumberFormat="0" applyFill="0" applyAlignment="0" applyProtection="0">
      <alignment vertical="center"/>
    </xf>
    <xf numFmtId="0" fontId="71" fillId="19" borderId="312" applyNumberFormat="0" applyAlignment="0" applyProtection="0">
      <alignment vertical="center"/>
    </xf>
    <xf numFmtId="0" fontId="75" fillId="10" borderId="310" applyNumberFormat="0" applyAlignment="0" applyProtection="0">
      <alignment vertical="center"/>
    </xf>
    <xf numFmtId="0" fontId="62" fillId="20" borderId="339" applyNumberFormat="0" applyFont="0" applyAlignment="0" applyProtection="0">
      <alignment vertical="center"/>
    </xf>
    <xf numFmtId="0" fontId="25" fillId="0" borderId="308">
      <alignment horizontal="left" vertical="center"/>
    </xf>
    <xf numFmtId="10" fontId="24" fillId="20" borderId="307" applyNumberFormat="0" applyBorder="0" applyAlignment="0" applyProtection="0"/>
    <xf numFmtId="0" fontId="70" fillId="0" borderId="341" applyNumberFormat="0" applyFill="0" applyAlignment="0" applyProtection="0">
      <alignment vertical="center"/>
    </xf>
    <xf numFmtId="0" fontId="62" fillId="20" borderId="309" applyNumberFormat="0" applyFont="0" applyAlignment="0" applyProtection="0">
      <alignment vertical="center"/>
    </xf>
    <xf numFmtId="0" fontId="10" fillId="20" borderId="309" applyNumberFormat="0" applyFont="0" applyAlignment="0" applyProtection="0">
      <alignment vertical="center"/>
    </xf>
    <xf numFmtId="0" fontId="65" fillId="19" borderId="310" applyNumberFormat="0" applyAlignment="0" applyProtection="0">
      <alignment vertical="center"/>
    </xf>
    <xf numFmtId="0" fontId="70" fillId="0" borderId="311" applyNumberFormat="0" applyFill="0" applyAlignment="0" applyProtection="0">
      <alignment vertical="center"/>
    </xf>
    <xf numFmtId="0" fontId="71" fillId="19" borderId="312" applyNumberFormat="0" applyAlignment="0" applyProtection="0">
      <alignment vertical="center"/>
    </xf>
    <xf numFmtId="0" fontId="75" fillId="10" borderId="310" applyNumberFormat="0" applyAlignment="0" applyProtection="0">
      <alignment vertical="center"/>
    </xf>
    <xf numFmtId="0" fontId="10" fillId="20" borderId="339" applyNumberFormat="0" applyFont="0" applyAlignment="0" applyProtection="0">
      <alignment vertical="center"/>
    </xf>
    <xf numFmtId="0" fontId="70" fillId="0" borderId="323" applyNumberFormat="0" applyFill="0" applyAlignment="0" applyProtection="0">
      <alignment vertical="center"/>
    </xf>
    <xf numFmtId="0" fontId="71" fillId="19" borderId="324" applyNumberFormat="0" applyAlignment="0" applyProtection="0">
      <alignment vertical="center"/>
    </xf>
    <xf numFmtId="0" fontId="75" fillId="10" borderId="322" applyNumberFormat="0" applyAlignment="0" applyProtection="0">
      <alignment vertical="center"/>
    </xf>
    <xf numFmtId="0" fontId="62" fillId="20" borderId="321" applyNumberFormat="0" applyFont="0" applyAlignment="0" applyProtection="0">
      <alignment vertical="center"/>
    </xf>
    <xf numFmtId="0" fontId="10" fillId="20" borderId="321" applyNumberFormat="0" applyFont="0" applyAlignment="0" applyProtection="0">
      <alignment vertical="center"/>
    </xf>
    <xf numFmtId="0" fontId="65" fillId="19" borderId="322" applyNumberFormat="0" applyAlignment="0" applyProtection="0">
      <alignment vertical="center"/>
    </xf>
    <xf numFmtId="0" fontId="70" fillId="0" borderId="323" applyNumberFormat="0" applyFill="0" applyAlignment="0" applyProtection="0">
      <alignment vertical="center"/>
    </xf>
    <xf numFmtId="0" fontId="71" fillId="19" borderId="324" applyNumberFormat="0" applyAlignment="0" applyProtection="0">
      <alignment vertical="center"/>
    </xf>
    <xf numFmtId="0" fontId="75" fillId="10" borderId="322" applyNumberFormat="0" applyAlignment="0" applyProtection="0">
      <alignment vertical="center"/>
    </xf>
    <xf numFmtId="0" fontId="25" fillId="0" borderId="332">
      <alignment horizontal="left" vertical="center"/>
    </xf>
    <xf numFmtId="10" fontId="24" fillId="20" borderId="319" applyNumberFormat="0" applyBorder="0" applyAlignment="0" applyProtection="0"/>
    <xf numFmtId="0" fontId="25" fillId="0" borderId="320">
      <alignment horizontal="left" vertical="center"/>
    </xf>
    <xf numFmtId="0" fontId="25" fillId="0" borderId="326">
      <alignment horizontal="left" vertical="center"/>
    </xf>
    <xf numFmtId="10" fontId="24" fillId="20" borderId="325" applyNumberFormat="0" applyBorder="0" applyAlignment="0" applyProtection="0"/>
    <xf numFmtId="0" fontId="75" fillId="10" borderId="322" applyNumberFormat="0" applyAlignment="0" applyProtection="0">
      <alignment vertical="center"/>
    </xf>
    <xf numFmtId="0" fontId="71" fillId="19" borderId="324" applyNumberFormat="0" applyAlignment="0" applyProtection="0">
      <alignment vertical="center"/>
    </xf>
    <xf numFmtId="0" fontId="70" fillId="0" borderId="323" applyNumberFormat="0" applyFill="0" applyAlignment="0" applyProtection="0">
      <alignment vertical="center"/>
    </xf>
    <xf numFmtId="0" fontId="65" fillId="19" borderId="322" applyNumberFormat="0" applyAlignment="0" applyProtection="0">
      <alignment vertical="center"/>
    </xf>
    <xf numFmtId="0" fontId="10" fillId="20" borderId="321" applyNumberFormat="0" applyFont="0" applyAlignment="0" applyProtection="0">
      <alignment vertical="center"/>
    </xf>
    <xf numFmtId="0" fontId="62" fillId="20" borderId="321" applyNumberFormat="0" applyFont="0" applyAlignment="0" applyProtection="0">
      <alignment vertical="center"/>
    </xf>
    <xf numFmtId="0" fontId="25" fillId="0" borderId="326">
      <alignment horizontal="left" vertical="center"/>
    </xf>
    <xf numFmtId="10" fontId="24" fillId="20" borderId="325" applyNumberFormat="0" applyBorder="0" applyAlignment="0" applyProtection="0"/>
    <xf numFmtId="0" fontId="62" fillId="20" borderId="327" applyNumberFormat="0" applyFont="0" applyAlignment="0" applyProtection="0">
      <alignment vertical="center"/>
    </xf>
    <xf numFmtId="0" fontId="10" fillId="20" borderId="327" applyNumberFormat="0" applyFont="0" applyAlignment="0" applyProtection="0">
      <alignment vertical="center"/>
    </xf>
    <xf numFmtId="0" fontId="65" fillId="19" borderId="328" applyNumberFormat="0" applyAlignment="0" applyProtection="0">
      <alignment vertical="center"/>
    </xf>
    <xf numFmtId="0" fontId="70" fillId="0" borderId="329" applyNumberFormat="0" applyFill="0" applyAlignment="0" applyProtection="0">
      <alignment vertical="center"/>
    </xf>
    <xf numFmtId="0" fontId="71" fillId="19" borderId="330" applyNumberFormat="0" applyAlignment="0" applyProtection="0">
      <alignment vertical="center"/>
    </xf>
    <xf numFmtId="0" fontId="75" fillId="10" borderId="328" applyNumberFormat="0" applyAlignment="0" applyProtection="0">
      <alignment vertical="center"/>
    </xf>
    <xf numFmtId="0" fontId="25" fillId="0" borderId="320">
      <alignment horizontal="left" vertical="center"/>
    </xf>
    <xf numFmtId="10" fontId="24" fillId="20" borderId="319" applyNumberFormat="0" applyBorder="0" applyAlignment="0" applyProtection="0"/>
    <xf numFmtId="0" fontId="62" fillId="20" borderId="327" applyNumberFormat="0" applyFont="0" applyAlignment="0" applyProtection="0">
      <alignment vertical="center"/>
    </xf>
    <xf numFmtId="0" fontId="10" fillId="20" borderId="327" applyNumberFormat="0" applyFont="0" applyAlignment="0" applyProtection="0">
      <alignment vertical="center"/>
    </xf>
    <xf numFmtId="0" fontId="65" fillId="19" borderId="328" applyNumberFormat="0" applyAlignment="0" applyProtection="0">
      <alignment vertical="center"/>
    </xf>
    <xf numFmtId="0" fontId="70" fillId="0" borderId="329" applyNumberFormat="0" applyFill="0" applyAlignment="0" applyProtection="0">
      <alignment vertical="center"/>
    </xf>
    <xf numFmtId="0" fontId="71" fillId="19" borderId="330" applyNumberFormat="0" applyAlignment="0" applyProtection="0">
      <alignment vertical="center"/>
    </xf>
    <xf numFmtId="0" fontId="75" fillId="10" borderId="328" applyNumberFormat="0" applyAlignment="0" applyProtection="0">
      <alignment vertical="center"/>
    </xf>
    <xf numFmtId="0" fontId="75" fillId="10" borderId="346" applyNumberFormat="0" applyAlignment="0" applyProtection="0">
      <alignment vertical="center"/>
    </xf>
    <xf numFmtId="0" fontId="62" fillId="20" borderId="345" applyNumberFormat="0" applyFont="0" applyAlignment="0" applyProtection="0">
      <alignment vertical="center"/>
    </xf>
    <xf numFmtId="0" fontId="10" fillId="20" borderId="345" applyNumberFormat="0" applyFont="0" applyAlignment="0" applyProtection="0">
      <alignment vertical="center"/>
    </xf>
    <xf numFmtId="0" fontId="65" fillId="19" borderId="346" applyNumberFormat="0" applyAlignment="0" applyProtection="0">
      <alignment vertical="center"/>
    </xf>
    <xf numFmtId="0" fontId="70" fillId="0" borderId="347" applyNumberFormat="0" applyFill="0" applyAlignment="0" applyProtection="0">
      <alignment vertical="center"/>
    </xf>
    <xf numFmtId="0" fontId="71" fillId="19" borderId="348" applyNumberFormat="0" applyAlignment="0" applyProtection="0">
      <alignment vertical="center"/>
    </xf>
    <xf numFmtId="0" fontId="75" fillId="10" borderId="346" applyNumberFormat="0" applyAlignment="0" applyProtection="0">
      <alignment vertical="center"/>
    </xf>
    <xf numFmtId="0" fontId="62" fillId="20" borderId="345" applyNumberFormat="0" applyFont="0" applyAlignment="0" applyProtection="0">
      <alignment vertical="center"/>
    </xf>
    <xf numFmtId="0" fontId="10" fillId="20" borderId="345" applyNumberFormat="0" applyFont="0" applyAlignment="0" applyProtection="0">
      <alignment vertical="center"/>
    </xf>
    <xf numFmtId="0" fontId="65" fillId="19" borderId="346" applyNumberFormat="0" applyAlignment="0" applyProtection="0">
      <alignment vertical="center"/>
    </xf>
    <xf numFmtId="0" fontId="70" fillId="0" borderId="347" applyNumberFormat="0" applyFill="0" applyAlignment="0" applyProtection="0">
      <alignment vertical="center"/>
    </xf>
    <xf numFmtId="0" fontId="71" fillId="19" borderId="348" applyNumberFormat="0" applyAlignment="0" applyProtection="0">
      <alignment vertical="center"/>
    </xf>
    <xf numFmtId="0" fontId="75" fillId="10" borderId="346" applyNumberFormat="0" applyAlignment="0" applyProtection="0">
      <alignment vertical="center"/>
    </xf>
    <xf numFmtId="10" fontId="24" fillId="20" borderId="343" applyNumberFormat="0" applyBorder="0" applyAlignment="0" applyProtection="0"/>
    <xf numFmtId="0" fontId="25" fillId="0" borderId="344">
      <alignment horizontal="left" vertical="center"/>
    </xf>
    <xf numFmtId="0" fontId="25" fillId="0" borderId="350">
      <alignment horizontal="left" vertical="center"/>
    </xf>
    <xf numFmtId="10" fontId="24" fillId="20" borderId="349" applyNumberFormat="0" applyBorder="0" applyAlignment="0" applyProtection="0"/>
    <xf numFmtId="0" fontId="75" fillId="10" borderId="346" applyNumberFormat="0" applyAlignment="0" applyProtection="0">
      <alignment vertical="center"/>
    </xf>
    <xf numFmtId="0" fontId="71" fillId="19" borderId="348" applyNumberFormat="0" applyAlignment="0" applyProtection="0">
      <alignment vertical="center"/>
    </xf>
    <xf numFmtId="0" fontId="70" fillId="0" borderId="347" applyNumberFormat="0" applyFill="0" applyAlignment="0" applyProtection="0">
      <alignment vertical="center"/>
    </xf>
    <xf numFmtId="0" fontId="65" fillId="19" borderId="346" applyNumberFormat="0" applyAlignment="0" applyProtection="0">
      <alignment vertical="center"/>
    </xf>
    <xf numFmtId="0" fontId="10" fillId="20" borderId="345" applyNumberFormat="0" applyFont="0" applyAlignment="0" applyProtection="0">
      <alignment vertical="center"/>
    </xf>
    <xf numFmtId="0" fontId="62" fillId="20" borderId="345" applyNumberFormat="0" applyFont="0" applyAlignment="0" applyProtection="0">
      <alignment vertical="center"/>
    </xf>
    <xf numFmtId="0" fontId="25" fillId="0" borderId="350">
      <alignment horizontal="left" vertical="center"/>
    </xf>
    <xf numFmtId="10" fontId="24" fillId="20" borderId="349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25" fillId="0" borderId="344">
      <alignment horizontal="left" vertical="center"/>
    </xf>
    <xf numFmtId="10" fontId="24" fillId="20" borderId="343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71" fillId="19" borderId="342" applyNumberFormat="0" applyAlignment="0" applyProtection="0">
      <alignment vertical="center"/>
    </xf>
    <xf numFmtId="0" fontId="70" fillId="0" borderId="341" applyNumberFormat="0" applyFill="0" applyAlignment="0" applyProtection="0">
      <alignment vertical="center"/>
    </xf>
    <xf numFmtId="0" fontId="71" fillId="19" borderId="342" applyNumberFormat="0" applyAlignment="0" applyProtection="0">
      <alignment vertical="center"/>
    </xf>
    <xf numFmtId="0" fontId="70" fillId="0" borderId="341" applyNumberFormat="0" applyFill="0" applyAlignment="0" applyProtection="0">
      <alignment vertical="center"/>
    </xf>
    <xf numFmtId="0" fontId="65" fillId="19" borderId="340" applyNumberFormat="0" applyAlignment="0" applyProtection="0">
      <alignment vertical="center"/>
    </xf>
    <xf numFmtId="0" fontId="62" fillId="20" borderId="327" applyNumberFormat="0" applyFont="0" applyAlignment="0" applyProtection="0">
      <alignment vertical="center"/>
    </xf>
    <xf numFmtId="0" fontId="10" fillId="20" borderId="339" applyNumberFormat="0" applyFont="0" applyAlignment="0" applyProtection="0">
      <alignment vertical="center"/>
    </xf>
    <xf numFmtId="0" fontId="62" fillId="20" borderId="339" applyNumberFormat="0" applyFont="0" applyAlignment="0" applyProtection="0">
      <alignment vertical="center"/>
    </xf>
    <xf numFmtId="0" fontId="10" fillId="20" borderId="339" applyNumberFormat="0" applyFont="0" applyAlignment="0" applyProtection="0">
      <alignment vertical="center"/>
    </xf>
    <xf numFmtId="0" fontId="25" fillId="0" borderId="350">
      <alignment horizontal="left" vertical="center"/>
    </xf>
    <xf numFmtId="0" fontId="65" fillId="19" borderId="328" applyNumberFormat="0" applyAlignment="0" applyProtection="0">
      <alignment vertical="center"/>
    </xf>
    <xf numFmtId="0" fontId="70" fillId="0" borderId="329" applyNumberFormat="0" applyFill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10" fontId="24" fillId="20" borderId="331" applyNumberFormat="0" applyBorder="0" applyAlignment="0" applyProtection="0"/>
    <xf numFmtId="10" fontId="24" fillId="20" borderId="343" applyNumberFormat="0" applyBorder="0" applyAlignment="0" applyProtection="0"/>
    <xf numFmtId="10" fontId="24" fillId="20" borderId="343" applyNumberFormat="0" applyBorder="0" applyAlignment="0" applyProtection="0"/>
    <xf numFmtId="0" fontId="25" fillId="0" borderId="350">
      <alignment horizontal="left" vertical="center"/>
    </xf>
    <xf numFmtId="0" fontId="62" fillId="20" borderId="327" applyNumberFormat="0" applyFont="0" applyAlignment="0" applyProtection="0">
      <alignment vertical="center"/>
    </xf>
    <xf numFmtId="0" fontId="10" fillId="20" borderId="327" applyNumberFormat="0" applyFont="0" applyAlignment="0" applyProtection="0">
      <alignment vertical="center"/>
    </xf>
    <xf numFmtId="0" fontId="62" fillId="20" borderId="339" applyNumberFormat="0" applyFont="0" applyAlignment="0" applyProtection="0">
      <alignment vertical="center"/>
    </xf>
    <xf numFmtId="0" fontId="65" fillId="19" borderId="328" applyNumberFormat="0" applyAlignment="0" applyProtection="0">
      <alignment vertical="center"/>
    </xf>
    <xf numFmtId="0" fontId="71" fillId="19" borderId="330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30" applyNumberFormat="0" applyAlignment="0" applyProtection="0">
      <alignment vertical="center"/>
    </xf>
    <xf numFmtId="0" fontId="75" fillId="10" borderId="328" applyNumberFormat="0" applyAlignment="0" applyProtection="0">
      <alignment vertical="center"/>
    </xf>
    <xf numFmtId="0" fontId="70" fillId="0" borderId="329" applyNumberFormat="0" applyFill="0" applyAlignment="0" applyProtection="0">
      <alignment vertical="center"/>
    </xf>
    <xf numFmtId="0" fontId="75" fillId="10" borderId="328" applyNumberFormat="0" applyAlignment="0" applyProtection="0">
      <alignment vertical="center"/>
    </xf>
    <xf numFmtId="0" fontId="25" fillId="0" borderId="392">
      <alignment horizontal="left" vertical="center"/>
    </xf>
    <xf numFmtId="0" fontId="25" fillId="0" borderId="350">
      <alignment horizontal="left" vertical="center"/>
    </xf>
    <xf numFmtId="0" fontId="25" fillId="0" borderId="350">
      <alignment horizontal="left" vertical="center"/>
    </xf>
    <xf numFmtId="10" fontId="24" fillId="20" borderId="343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25" fillId="0" borderId="350">
      <alignment horizontal="left" vertical="center"/>
    </xf>
    <xf numFmtId="10" fontId="24" fillId="20" borderId="343" applyNumberFormat="0" applyBorder="0" applyAlignment="0" applyProtection="0"/>
    <xf numFmtId="0" fontId="10" fillId="20" borderId="303" applyNumberFormat="0" applyFont="0" applyAlignment="0" applyProtection="0">
      <alignment vertical="center"/>
    </xf>
    <xf numFmtId="0" fontId="75" fillId="10" borderId="340" applyNumberFormat="0" applyAlignment="0" applyProtection="0">
      <alignment vertical="center"/>
    </xf>
    <xf numFmtId="0" fontId="75" fillId="10" borderId="340" applyNumberFormat="0" applyAlignment="0" applyProtection="0">
      <alignment vertical="center"/>
    </xf>
    <xf numFmtId="10" fontId="24" fillId="20" borderId="331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25" fillId="0" borderId="338">
      <alignment horizontal="left" vertical="center"/>
    </xf>
    <xf numFmtId="10" fontId="24" fillId="20" borderId="343" applyNumberFormat="0" applyBorder="0" applyAlignment="0" applyProtection="0"/>
    <xf numFmtId="0" fontId="62" fillId="20" borderId="339" applyNumberFormat="0" applyFont="0" applyAlignment="0" applyProtection="0">
      <alignment vertical="center"/>
    </xf>
    <xf numFmtId="0" fontId="10" fillId="20" borderId="339" applyNumberFormat="0" applyFont="0" applyAlignment="0" applyProtection="0">
      <alignment vertical="center"/>
    </xf>
    <xf numFmtId="0" fontId="10" fillId="20" borderId="327" applyNumberFormat="0" applyFont="0" applyAlignment="0" applyProtection="0">
      <alignment vertical="center"/>
    </xf>
    <xf numFmtId="0" fontId="65" fillId="19" borderId="340" applyNumberFormat="0" applyAlignment="0" applyProtection="0">
      <alignment vertical="center"/>
    </xf>
    <xf numFmtId="0" fontId="65" fillId="19" borderId="340" applyNumberFormat="0" applyAlignment="0" applyProtection="0">
      <alignment vertical="center"/>
    </xf>
    <xf numFmtId="0" fontId="70" fillId="0" borderId="341" applyNumberFormat="0" applyFill="0" applyAlignment="0" applyProtection="0">
      <alignment vertical="center"/>
    </xf>
    <xf numFmtId="0" fontId="71" fillId="19" borderId="342" applyNumberFormat="0" applyAlignment="0" applyProtection="0">
      <alignment vertical="center"/>
    </xf>
    <xf numFmtId="0" fontId="75" fillId="10" borderId="340" applyNumberFormat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25" fillId="0" borderId="350">
      <alignment horizontal="left" vertical="center"/>
    </xf>
    <xf numFmtId="10" fontId="24" fillId="20" borderId="343" applyNumberFormat="0" applyBorder="0" applyAlignment="0" applyProtection="0"/>
    <xf numFmtId="0" fontId="62" fillId="20" borderId="339" applyNumberFormat="0" applyFont="0" applyAlignment="0" applyProtection="0">
      <alignment vertical="center"/>
    </xf>
    <xf numFmtId="0" fontId="10" fillId="20" borderId="339" applyNumberFormat="0" applyFont="0" applyAlignment="0" applyProtection="0">
      <alignment vertical="center"/>
    </xf>
    <xf numFmtId="0" fontId="65" fillId="19" borderId="340" applyNumberFormat="0" applyAlignment="0" applyProtection="0">
      <alignment vertical="center"/>
    </xf>
    <xf numFmtId="0" fontId="70" fillId="0" borderId="341" applyNumberFormat="0" applyFill="0" applyAlignment="0" applyProtection="0">
      <alignment vertical="center"/>
    </xf>
    <xf numFmtId="0" fontId="71" fillId="19" borderId="342" applyNumberFormat="0" applyAlignment="0" applyProtection="0">
      <alignment vertical="center"/>
    </xf>
    <xf numFmtId="0" fontId="75" fillId="10" borderId="340" applyNumberFormat="0" applyAlignment="0" applyProtection="0">
      <alignment vertical="center"/>
    </xf>
    <xf numFmtId="0" fontId="25" fillId="0" borderId="350">
      <alignment horizontal="left" vertical="center"/>
    </xf>
    <xf numFmtId="10" fontId="24" fillId="20" borderId="343" applyNumberFormat="0" applyBorder="0" applyAlignment="0" applyProtection="0"/>
    <xf numFmtId="0" fontId="25" fillId="0" borderId="338">
      <alignment horizontal="left" vertical="center"/>
    </xf>
    <xf numFmtId="10" fontId="24" fillId="20" borderId="331" applyNumberFormat="0" applyBorder="0" applyAlignment="0" applyProtection="0"/>
    <xf numFmtId="0" fontId="62" fillId="20" borderId="327" applyNumberFormat="0" applyFont="0" applyAlignment="0" applyProtection="0">
      <alignment vertical="center"/>
    </xf>
    <xf numFmtId="0" fontId="10" fillId="20" borderId="327" applyNumberFormat="0" applyFont="0" applyAlignment="0" applyProtection="0">
      <alignment vertical="center"/>
    </xf>
    <xf numFmtId="0" fontId="65" fillId="19" borderId="328" applyNumberFormat="0" applyAlignment="0" applyProtection="0">
      <alignment vertical="center"/>
    </xf>
    <xf numFmtId="0" fontId="70" fillId="0" borderId="329" applyNumberFormat="0" applyFill="0" applyAlignment="0" applyProtection="0">
      <alignment vertical="center"/>
    </xf>
    <xf numFmtId="0" fontId="71" fillId="19" borderId="330" applyNumberFormat="0" applyAlignment="0" applyProtection="0">
      <alignment vertical="center"/>
    </xf>
    <xf numFmtId="0" fontId="75" fillId="10" borderId="328" applyNumberFormat="0" applyAlignment="0" applyProtection="0">
      <alignment vertical="center"/>
    </xf>
    <xf numFmtId="0" fontId="25" fillId="0" borderId="338">
      <alignment horizontal="left" vertical="center"/>
    </xf>
    <xf numFmtId="10" fontId="24" fillId="20" borderId="331" applyNumberFormat="0" applyBorder="0" applyAlignment="0" applyProtection="0"/>
    <xf numFmtId="0" fontId="25" fillId="0" borderId="355">
      <alignment horizontal="left" vertical="center"/>
    </xf>
    <xf numFmtId="0" fontId="62" fillId="20" borderId="303" applyNumberFormat="0" applyFont="0" applyAlignment="0" applyProtection="0">
      <alignment vertical="center"/>
    </xf>
    <xf numFmtId="0" fontId="25" fillId="0" borderId="366">
      <alignment horizontal="left" vertical="center"/>
    </xf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10" fontId="24" fillId="20" borderId="356" applyNumberFormat="0" applyBorder="0" applyAlignment="0" applyProtection="0"/>
    <xf numFmtId="0" fontId="25" fillId="0" borderId="355">
      <alignment horizontal="left" vertical="center"/>
    </xf>
    <xf numFmtId="0" fontId="62" fillId="20" borderId="351" applyNumberFormat="0" applyFont="0" applyAlignment="0" applyProtection="0">
      <alignment vertical="center"/>
    </xf>
    <xf numFmtId="0" fontId="25" fillId="0" borderId="355">
      <alignment horizontal="left" vertical="center"/>
    </xf>
    <xf numFmtId="0" fontId="65" fillId="19" borderId="352" applyNumberForma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10" fontId="24" fillId="20" borderId="356" applyNumberFormat="0" applyBorder="0" applyAlignment="0" applyProtection="0"/>
    <xf numFmtId="0" fontId="25" fillId="0" borderId="355">
      <alignment horizontal="left" vertical="center"/>
    </xf>
    <xf numFmtId="0" fontId="70" fillId="0" borderId="353" applyNumberFormat="0" applyFill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10" fontId="24" fillId="20" borderId="356" applyNumberFormat="0" applyBorder="0" applyAlignment="0" applyProtection="0"/>
    <xf numFmtId="0" fontId="25" fillId="0" borderId="355">
      <alignment horizontal="left" vertical="center"/>
    </xf>
    <xf numFmtId="0" fontId="10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10" fontId="24" fillId="20" borderId="356" applyNumberFormat="0" applyBorder="0" applyAlignment="0" applyProtection="0"/>
    <xf numFmtId="0" fontId="70" fillId="0" borderId="353" applyNumberFormat="0" applyFill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10" fontId="24" fillId="20" borderId="356" applyNumberFormat="0" applyBorder="0" applyAlignment="0" applyProtection="0"/>
    <xf numFmtId="0" fontId="25" fillId="0" borderId="355">
      <alignment horizontal="left" vertical="center"/>
    </xf>
    <xf numFmtId="0" fontId="71" fillId="19" borderId="354" applyNumberForma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10" fontId="24" fillId="20" borderId="356" applyNumberFormat="0" applyBorder="0" applyAlignment="0" applyProtection="0"/>
    <xf numFmtId="0" fontId="10" fillId="20" borderId="351" applyNumberFormat="0" applyFont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71" fillId="19" borderId="354" applyNumberFormat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25" fillId="0" borderId="355">
      <alignment horizontal="left" vertical="center"/>
    </xf>
    <xf numFmtId="0" fontId="75" fillId="10" borderId="352" applyNumberForma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25" fillId="0" borderId="355">
      <alignment horizontal="left"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1" fillId="19" borderId="364" applyNumberForma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10" fontId="24" fillId="20" borderId="356" applyNumberFormat="0" applyBorder="0" applyAlignment="0" applyProtection="0"/>
    <xf numFmtId="0" fontId="25" fillId="0" borderId="355">
      <alignment horizontal="left" vertical="center"/>
    </xf>
    <xf numFmtId="0" fontId="70" fillId="0" borderId="353" applyNumberFormat="0" applyFill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25" fillId="0" borderId="355">
      <alignment horizontal="left" vertical="center"/>
    </xf>
    <xf numFmtId="0" fontId="10" fillId="20" borderId="351" applyNumberFormat="0" applyFon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10" fontId="24" fillId="20" borderId="356" applyNumberFormat="0" applyBorder="0" applyAlignment="0" applyProtection="0"/>
    <xf numFmtId="0" fontId="65" fillId="19" borderId="352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10" fontId="24" fillId="20" borderId="356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25" fillId="0" borderId="355">
      <alignment horizontal="left" vertical="center"/>
    </xf>
    <xf numFmtId="0" fontId="10" fillId="20" borderId="351" applyNumberFormat="0" applyFont="0" applyAlignment="0" applyProtection="0">
      <alignment vertical="center"/>
    </xf>
    <xf numFmtId="10" fontId="24" fillId="20" borderId="356" applyNumberFormat="0" applyBorder="0" applyAlignment="0" applyProtection="0"/>
    <xf numFmtId="0" fontId="71" fillId="19" borderId="364" applyNumberForma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65" fillId="19" borderId="382" applyNumberForma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25" fillId="0" borderId="302">
      <alignment horizontal="left" vertical="center"/>
    </xf>
    <xf numFmtId="10" fontId="24" fillId="20" borderId="307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25" fillId="0" borderId="302">
      <alignment horizontal="left" vertical="center"/>
    </xf>
    <xf numFmtId="10" fontId="24" fillId="20" borderId="307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0" fillId="0" borderId="363" applyNumberFormat="0" applyFill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0" fillId="0" borderId="363" applyNumberFormat="0" applyFill="0" applyAlignment="0" applyProtection="0">
      <alignment vertical="center"/>
    </xf>
    <xf numFmtId="0" fontId="75" fillId="10" borderId="382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71" fillId="19" borderId="426" applyNumberFormat="0" applyAlignment="0" applyProtection="0">
      <alignment vertical="center"/>
    </xf>
    <xf numFmtId="0" fontId="65" fillId="19" borderId="394" applyNumberForma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25" fillId="0" borderId="476">
      <alignment horizontal="left" vertical="center"/>
    </xf>
    <xf numFmtId="10" fontId="24" fillId="20" borderId="356" applyNumberFormat="0" applyBorder="0" applyAlignment="0" applyProtection="0"/>
    <xf numFmtId="10" fontId="24" fillId="20" borderId="307" applyNumberFormat="0" applyBorder="0" applyAlignment="0" applyProtection="0"/>
    <xf numFmtId="0" fontId="25" fillId="0" borderId="302">
      <alignment horizontal="left" vertical="center"/>
    </xf>
    <xf numFmtId="0" fontId="71" fillId="19" borderId="306" applyNumberFormat="0" applyAlignment="0" applyProtection="0">
      <alignment vertical="center"/>
    </xf>
    <xf numFmtId="10" fontId="24" fillId="20" borderId="307" applyNumberFormat="0" applyBorder="0" applyAlignment="0" applyProtection="0"/>
    <xf numFmtId="0" fontId="75" fillId="10" borderId="304" applyNumberForma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10" fontId="24" fillId="20" borderId="307" applyNumberFormat="0" applyBorder="0" applyAlignment="0" applyProtection="0"/>
    <xf numFmtId="0" fontId="25" fillId="0" borderId="422">
      <alignment horizontal="left" vertical="center"/>
    </xf>
    <xf numFmtId="0" fontId="62" fillId="20" borderId="477" applyNumberFormat="0" applyFont="0" applyAlignment="0" applyProtection="0">
      <alignment vertical="center"/>
    </xf>
    <xf numFmtId="0" fontId="25" fillId="0" borderId="302">
      <alignment horizontal="left" vertical="center"/>
    </xf>
    <xf numFmtId="10" fontId="24" fillId="20" borderId="307" applyNumberFormat="0" applyBorder="0" applyAlignment="0" applyProtection="0"/>
    <xf numFmtId="0" fontId="10" fillId="20" borderId="361" applyNumberFormat="0" applyFon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10" fillId="20" borderId="361" applyNumberFormat="0" applyFont="0" applyAlignment="0" applyProtection="0">
      <alignment vertical="center"/>
    </xf>
    <xf numFmtId="10" fontId="24" fillId="20" borderId="356" applyNumberFormat="0" applyBorder="0" applyAlignment="0" applyProtection="0"/>
    <xf numFmtId="0" fontId="25" fillId="0" borderId="355">
      <alignment horizontal="left" vertical="center"/>
    </xf>
    <xf numFmtId="0" fontId="71" fillId="19" borderId="354" applyNumberForma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70" fillId="0" borderId="353" applyNumberFormat="0" applyFill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10" fontId="24" fillId="20" borderId="356" applyNumberFormat="0" applyBorder="0" applyAlignment="0" applyProtection="0"/>
    <xf numFmtId="0" fontId="25" fillId="0" borderId="355">
      <alignment horizontal="left"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75" fillId="10" borderId="352" applyNumberFormat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70" fillId="0" borderId="353" applyNumberFormat="0" applyFill="0" applyAlignment="0" applyProtection="0">
      <alignment vertical="center"/>
    </xf>
    <xf numFmtId="10" fontId="24" fillId="20" borderId="356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10" fontId="24" fillId="20" borderId="356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10" fontId="24" fillId="20" borderId="356" applyNumberFormat="0" applyBorder="0" applyAlignment="0" applyProtection="0"/>
    <xf numFmtId="0" fontId="71" fillId="19" borderId="354" applyNumberFormat="0" applyAlignment="0" applyProtection="0">
      <alignment vertical="center"/>
    </xf>
    <xf numFmtId="0" fontId="25" fillId="0" borderId="355">
      <alignment horizontal="left"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25" fillId="0" borderId="355">
      <alignment horizontal="left"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75" fillId="10" borderId="352" applyNumberFormat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10" fontId="24" fillId="20" borderId="356" applyNumberFormat="0" applyBorder="0" applyAlignment="0" applyProtection="0"/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25" fillId="0" borderId="355">
      <alignment horizontal="left" vertical="center"/>
    </xf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10" fontId="24" fillId="20" borderId="356" applyNumberFormat="0" applyBorder="0" applyAlignment="0" applyProtection="0"/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25" fillId="0" borderId="355">
      <alignment horizontal="left" vertical="center"/>
    </xf>
    <xf numFmtId="0" fontId="25" fillId="0" borderId="355">
      <alignment horizontal="left" vertical="center"/>
    </xf>
    <xf numFmtId="0" fontId="75" fillId="10" borderId="352" applyNumberFormat="0" applyAlignment="0" applyProtection="0">
      <alignment vertical="center"/>
    </xf>
    <xf numFmtId="10" fontId="24" fillId="20" borderId="356" applyNumberFormat="0" applyBorder="0" applyAlignment="0" applyProtection="0"/>
    <xf numFmtId="10" fontId="24" fillId="20" borderId="356" applyNumberFormat="0" applyBorder="0" applyAlignment="0" applyProtection="0"/>
    <xf numFmtId="0" fontId="25" fillId="0" borderId="355">
      <alignment horizontal="left"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75" fillId="10" borderId="352" applyNumberFormat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10" fontId="24" fillId="20" borderId="356" applyNumberFormat="0" applyBorder="0" applyAlignment="0" applyProtection="0"/>
    <xf numFmtId="0" fontId="25" fillId="0" borderId="355">
      <alignment horizontal="left"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75" fillId="10" borderId="352" applyNumberFormat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25" fillId="0" borderId="355">
      <alignment horizontal="left"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75" fillId="10" borderId="352" applyNumberFormat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70" fillId="0" borderId="353" applyNumberFormat="0" applyFill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25" fillId="0" borderId="355">
      <alignment horizontal="left"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75" fillId="10" borderId="352" applyNumberFormat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10" fontId="24" fillId="20" borderId="356" applyNumberFormat="0" applyBorder="0" applyAlignment="0" applyProtection="0"/>
    <xf numFmtId="0" fontId="25" fillId="0" borderId="355">
      <alignment horizontal="left"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75" fillId="10" borderId="352" applyNumberFormat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10" fontId="24" fillId="20" borderId="451" applyNumberFormat="0" applyBorder="0" applyAlignment="0" applyProtection="0"/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71" fillId="19" borderId="354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10" fontId="24" fillId="20" borderId="307" applyNumberFormat="0" applyBorder="0" applyAlignment="0" applyProtection="0"/>
    <xf numFmtId="10" fontId="24" fillId="20" borderId="356" applyNumberFormat="0" applyBorder="0" applyAlignment="0" applyProtection="0"/>
    <xf numFmtId="10" fontId="24" fillId="20" borderId="307" applyNumberFormat="0" applyBorder="0" applyAlignment="0" applyProtection="0"/>
    <xf numFmtId="0" fontId="71" fillId="19" borderId="306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62" applyNumberForma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5" fillId="10" borderId="362" applyNumberFormat="0" applyAlignment="0" applyProtection="0">
      <alignment vertical="center"/>
    </xf>
    <xf numFmtId="0" fontId="62" fillId="20" borderId="369" applyNumberFormat="0" applyFont="0" applyAlignment="0" applyProtection="0">
      <alignment vertical="center"/>
    </xf>
    <xf numFmtId="0" fontId="62" fillId="20" borderId="369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10" fontId="24" fillId="20" borderId="307" applyNumberFormat="0" applyBorder="0" applyAlignment="0" applyProtection="0"/>
    <xf numFmtId="0" fontId="71" fillId="19" borderId="306" applyNumberFormat="0" applyAlignment="0" applyProtection="0">
      <alignment vertical="center"/>
    </xf>
    <xf numFmtId="10" fontId="24" fillId="20" borderId="307" applyNumberFormat="0" applyBorder="0" applyAlignment="0" applyProtection="0"/>
    <xf numFmtId="0" fontId="25" fillId="0" borderId="366">
      <alignment horizontal="left" vertical="center"/>
    </xf>
    <xf numFmtId="0" fontId="10" fillId="20" borderId="369" applyNumberFormat="0" applyFont="0" applyAlignment="0" applyProtection="0">
      <alignment vertical="center"/>
    </xf>
    <xf numFmtId="0" fontId="10" fillId="20" borderId="369" applyNumberFormat="0" applyFon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10" fontId="24" fillId="20" borderId="307" applyNumberFormat="0" applyBorder="0" applyAlignment="0" applyProtection="0"/>
    <xf numFmtId="0" fontId="71" fillId="19" borderId="360" applyNumberFormat="0" applyAlignment="0" applyProtection="0">
      <alignment vertical="center"/>
    </xf>
    <xf numFmtId="0" fontId="25" fillId="0" borderId="350">
      <alignment horizontal="left" vertical="center"/>
    </xf>
    <xf numFmtId="10" fontId="24" fillId="20" borderId="307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62" fillId="20" borderId="381" applyNumberFormat="0" applyFon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10" fontId="24" fillId="20" borderId="307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10" fontId="24" fillId="20" borderId="307" applyNumberFormat="0" applyBorder="0" applyAlignment="0" applyProtection="0"/>
    <xf numFmtId="0" fontId="25" fillId="0" borderId="350">
      <alignment horizontal="left" vertical="center"/>
    </xf>
    <xf numFmtId="10" fontId="24" fillId="20" borderId="307" applyNumberFormat="0" applyBorder="0" applyAlignment="0" applyProtection="0"/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25" fillId="0" borderId="350">
      <alignment horizontal="left" vertical="center"/>
    </xf>
    <xf numFmtId="10" fontId="24" fillId="20" borderId="307" applyNumberFormat="0" applyBorder="0" applyAlignment="0" applyProtection="0"/>
    <xf numFmtId="0" fontId="75" fillId="10" borderId="304" applyNumberFormat="0" applyAlignment="0" applyProtection="0">
      <alignment vertical="center"/>
    </xf>
    <xf numFmtId="0" fontId="62" fillId="20" borderId="357" applyNumberFormat="0" applyFont="0" applyAlignment="0" applyProtection="0">
      <alignment vertical="center"/>
    </xf>
    <xf numFmtId="0" fontId="10" fillId="20" borderId="357" applyNumberFormat="0" applyFont="0" applyAlignment="0" applyProtection="0">
      <alignment vertical="center"/>
    </xf>
    <xf numFmtId="0" fontId="65" fillId="19" borderId="358" applyNumberFormat="0" applyAlignment="0" applyProtection="0">
      <alignment vertical="center"/>
    </xf>
    <xf numFmtId="0" fontId="70" fillId="0" borderId="359" applyNumberFormat="0" applyFill="0" applyAlignment="0" applyProtection="0">
      <alignment vertical="center"/>
    </xf>
    <xf numFmtId="0" fontId="71" fillId="19" borderId="360" applyNumberFormat="0" applyAlignment="0" applyProtection="0">
      <alignment vertical="center"/>
    </xf>
    <xf numFmtId="0" fontId="75" fillId="10" borderId="358" applyNumberFormat="0" applyAlignment="0" applyProtection="0">
      <alignment vertical="center"/>
    </xf>
    <xf numFmtId="10" fontId="24" fillId="20" borderId="365" applyNumberFormat="0" applyBorder="0" applyAlignment="0" applyProtection="0"/>
    <xf numFmtId="0" fontId="65" fillId="19" borderId="370" applyNumberFormat="0" applyAlignment="0" applyProtection="0">
      <alignment vertical="center"/>
    </xf>
    <xf numFmtId="0" fontId="70" fillId="0" borderId="425" applyNumberFormat="0" applyFill="0" applyAlignment="0" applyProtection="0">
      <alignment vertical="center"/>
    </xf>
    <xf numFmtId="10" fontId="24" fillId="20" borderId="367" applyNumberFormat="0" applyBorder="0" applyAlignment="0" applyProtection="0"/>
    <xf numFmtId="0" fontId="71" fillId="19" borderId="306" applyNumberForma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10" fontId="24" fillId="20" borderId="445" applyNumberFormat="0" applyBorder="0" applyAlignment="0" applyProtection="0"/>
    <xf numFmtId="0" fontId="62" fillId="20" borderId="361" applyNumberFormat="0" applyFon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45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10" fontId="24" fillId="20" borderId="409" applyNumberFormat="0" applyBorder="0" applyAlignment="0" applyProtection="0"/>
    <xf numFmtId="0" fontId="65" fillId="19" borderId="304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25" fillId="0" borderId="422">
      <alignment horizontal="left" vertical="center"/>
    </xf>
    <xf numFmtId="0" fontId="62" fillId="20" borderId="303" applyNumberFormat="0" applyFont="0" applyAlignment="0" applyProtection="0">
      <alignment vertical="center"/>
    </xf>
    <xf numFmtId="0" fontId="25" fillId="0" borderId="368">
      <alignment horizontal="left" vertical="center"/>
    </xf>
    <xf numFmtId="0" fontId="10" fillId="20" borderId="303" applyNumberFormat="0" applyFont="0" applyAlignment="0" applyProtection="0">
      <alignment vertical="center"/>
    </xf>
    <xf numFmtId="0" fontId="71" fillId="19" borderId="480" applyNumberForma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65" fillId="19" borderId="454" applyNumberFormat="0" applyAlignment="0" applyProtection="0">
      <alignment vertical="center"/>
    </xf>
    <xf numFmtId="10" fontId="24" fillId="20" borderId="301" applyNumberFormat="0" applyBorder="0" applyAlignment="0" applyProtection="0"/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0" fillId="0" borderId="359" applyNumberFormat="0" applyFill="0" applyAlignment="0" applyProtection="0">
      <alignment vertical="center"/>
    </xf>
    <xf numFmtId="10" fontId="24" fillId="20" borderId="301" applyNumberFormat="0" applyBorder="0" applyAlignment="0" applyProtection="0"/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10" fontId="24" fillId="20" borderId="365" applyNumberFormat="0" applyBorder="0" applyAlignment="0" applyProtection="0"/>
    <xf numFmtId="0" fontId="75" fillId="10" borderId="304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10" fontId="24" fillId="20" borderId="301" applyNumberFormat="0" applyBorder="0" applyAlignment="0" applyProtection="0"/>
    <xf numFmtId="0" fontId="70" fillId="0" borderId="359" applyNumberFormat="0" applyFill="0" applyAlignment="0" applyProtection="0">
      <alignment vertical="center"/>
    </xf>
    <xf numFmtId="0" fontId="71" fillId="19" borderId="364" applyNumberFormat="0" applyAlignment="0" applyProtection="0">
      <alignment vertical="center"/>
    </xf>
    <xf numFmtId="0" fontId="71" fillId="19" borderId="414" applyNumberFormat="0" applyAlignment="0" applyProtection="0">
      <alignment vertical="center"/>
    </xf>
    <xf numFmtId="0" fontId="10" fillId="20" borderId="417" applyNumberFormat="0" applyFont="0" applyAlignment="0" applyProtection="0">
      <alignment vertical="center"/>
    </xf>
    <xf numFmtId="10" fontId="24" fillId="20" borderId="373" applyNumberFormat="0" applyBorder="0" applyAlignment="0" applyProtection="0"/>
    <xf numFmtId="10" fontId="24" fillId="20" borderId="301" applyNumberFormat="0" applyBorder="0" applyAlignment="0" applyProtection="0"/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65" fillId="19" borderId="478" applyNumberForma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2" fillId="20" borderId="393" applyNumberFormat="0" applyFon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65" fillId="19" borderId="358" applyNumberFormat="0" applyAlignment="0" applyProtection="0">
      <alignment vertical="center"/>
    </xf>
    <xf numFmtId="0" fontId="75" fillId="10" borderId="448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62" fillId="20" borderId="453" applyNumberFormat="0" applyFont="0" applyAlignment="0" applyProtection="0">
      <alignment vertical="center"/>
    </xf>
    <xf numFmtId="0" fontId="10" fillId="20" borderId="375" applyNumberFormat="0" applyFon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65" fillId="19" borderId="454" applyNumberFormat="0" applyAlignment="0" applyProtection="0">
      <alignment vertical="center"/>
    </xf>
    <xf numFmtId="0" fontId="65" fillId="19" borderId="358" applyNumberFormat="0" applyAlignment="0" applyProtection="0">
      <alignment vertical="center"/>
    </xf>
    <xf numFmtId="0" fontId="70" fillId="0" borderId="363" applyNumberFormat="0" applyFill="0" applyAlignment="0" applyProtection="0">
      <alignment vertical="center"/>
    </xf>
    <xf numFmtId="0" fontId="75" fillId="10" borderId="412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71" fillId="19" borderId="420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75" fillId="10" borderId="418" applyNumberFormat="0" applyAlignment="0" applyProtection="0">
      <alignment vertical="center"/>
    </xf>
    <xf numFmtId="10" fontId="24" fillId="20" borderId="391" applyNumberFormat="0" applyBorder="0" applyAlignment="0" applyProtection="0"/>
    <xf numFmtId="0" fontId="70" fillId="0" borderId="305" applyNumberFormat="0" applyFill="0" applyAlignment="0" applyProtection="0">
      <alignment vertical="center"/>
    </xf>
    <xf numFmtId="0" fontId="71" fillId="19" borderId="456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10" fillId="20" borderId="357" applyNumberFormat="0" applyFont="0" applyAlignment="0" applyProtection="0">
      <alignment vertical="center"/>
    </xf>
    <xf numFmtId="0" fontId="25" fillId="0" borderId="434">
      <alignment horizontal="left"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62" fillId="20" borderId="375" applyNumberFormat="0" applyFon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0" fillId="0" borderId="39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62" fillId="20" borderId="447" applyNumberFormat="0" applyFont="0" applyAlignment="0" applyProtection="0">
      <alignment vertical="center"/>
    </xf>
    <xf numFmtId="0" fontId="75" fillId="10" borderId="358" applyNumberFormat="0" applyAlignment="0" applyProtection="0">
      <alignment vertical="center"/>
    </xf>
    <xf numFmtId="0" fontId="75" fillId="10" borderId="472" applyNumberFormat="0" applyAlignment="0" applyProtection="0">
      <alignment vertical="center"/>
    </xf>
    <xf numFmtId="0" fontId="10" fillId="20" borderId="357" applyNumberFormat="0" applyFont="0" applyAlignment="0" applyProtection="0">
      <alignment vertical="center"/>
    </xf>
    <xf numFmtId="0" fontId="65" fillId="19" borderId="362" applyNumberFormat="0" applyAlignment="0" applyProtection="0">
      <alignment vertical="center"/>
    </xf>
    <xf numFmtId="0" fontId="70" fillId="0" borderId="377" applyNumberFormat="0" applyFill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99" applyNumberFormat="0" applyFont="0" applyAlignment="0" applyProtection="0">
      <alignment vertical="center"/>
    </xf>
    <xf numFmtId="0" fontId="75" fillId="10" borderId="394" applyNumberFormat="0" applyAlignment="0" applyProtection="0">
      <alignment vertical="center"/>
    </xf>
    <xf numFmtId="0" fontId="75" fillId="10" borderId="394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65" fillId="19" borderId="418" applyNumberFormat="0" applyAlignment="0" applyProtection="0">
      <alignment vertical="center"/>
    </xf>
    <xf numFmtId="0" fontId="10" fillId="20" borderId="393" applyNumberFormat="0" applyFont="0" applyAlignment="0" applyProtection="0">
      <alignment vertical="center"/>
    </xf>
    <xf numFmtId="0" fontId="25" fillId="0" borderId="434">
      <alignment horizontal="left"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0" fillId="0" borderId="413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411" applyNumberFormat="0" applyFon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65" fillId="19" borderId="466" applyNumberFormat="0" applyAlignment="0" applyProtection="0">
      <alignment vertical="center"/>
    </xf>
    <xf numFmtId="0" fontId="65" fillId="19" borderId="418" applyNumberFormat="0" applyAlignment="0" applyProtection="0">
      <alignment vertical="center"/>
    </xf>
    <xf numFmtId="0" fontId="62" fillId="20" borderId="357" applyNumberFormat="0" applyFont="0" applyAlignment="0" applyProtection="0">
      <alignment vertical="center"/>
    </xf>
    <xf numFmtId="0" fontId="10" fillId="20" borderId="361" applyNumberFormat="0" applyFont="0" applyAlignment="0" applyProtection="0">
      <alignment vertical="center"/>
    </xf>
    <xf numFmtId="0" fontId="71" fillId="19" borderId="378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75" fillId="10" borderId="400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10" fontId="24" fillId="20" borderId="391" applyNumberFormat="0" applyBorder="0" applyAlignment="0" applyProtection="0"/>
    <xf numFmtId="0" fontId="10" fillId="20" borderId="477" applyNumberFormat="0" applyFon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25" fillId="0" borderId="374">
      <alignment horizontal="left"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25" fillId="0" borderId="440">
      <alignment horizontal="left" vertical="center"/>
    </xf>
    <xf numFmtId="0" fontId="10" fillId="20" borderId="393" applyNumberFormat="0" applyFont="0" applyAlignment="0" applyProtection="0">
      <alignment vertical="center"/>
    </xf>
    <xf numFmtId="0" fontId="62" fillId="20" borderId="417" applyNumberFormat="0" applyFont="0" applyAlignment="0" applyProtection="0">
      <alignment vertical="center"/>
    </xf>
    <xf numFmtId="0" fontId="62" fillId="20" borderId="361" applyNumberFormat="0" applyFont="0" applyAlignment="0" applyProtection="0">
      <alignment vertical="center"/>
    </xf>
    <xf numFmtId="0" fontId="10" fillId="20" borderId="477" applyNumberFormat="0" applyFon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70" fillId="0" borderId="401" applyNumberFormat="0" applyFill="0" applyAlignment="0" applyProtection="0">
      <alignment vertical="center"/>
    </xf>
    <xf numFmtId="0" fontId="10" fillId="20" borderId="447" applyNumberFormat="0" applyFont="0" applyAlignment="0" applyProtection="0">
      <alignment vertical="center"/>
    </xf>
    <xf numFmtId="0" fontId="25" fillId="0" borderId="476">
      <alignment horizontal="left"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10" fontId="24" fillId="20" borderId="445" applyNumberFormat="0" applyBorder="0" applyAlignment="0" applyProtection="0"/>
    <xf numFmtId="0" fontId="62" fillId="20" borderId="453" applyNumberFormat="0" applyFont="0" applyAlignment="0" applyProtection="0">
      <alignment vertical="center"/>
    </xf>
    <xf numFmtId="0" fontId="75" fillId="10" borderId="362" applyNumberFormat="0" applyAlignment="0" applyProtection="0">
      <alignment vertical="center"/>
    </xf>
    <xf numFmtId="10" fontId="24" fillId="20" borderId="367" applyNumberFormat="0" applyBorder="0" applyAlignment="0" applyProtection="0"/>
    <xf numFmtId="0" fontId="71" fillId="19" borderId="480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65" fillId="19" borderId="400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70" fillId="0" borderId="419" applyNumberFormat="0" applyFill="0" applyAlignment="0" applyProtection="0">
      <alignment vertical="center"/>
    </xf>
    <xf numFmtId="10" fontId="24" fillId="20" borderId="421" applyNumberFormat="0" applyBorder="0" applyAlignment="0" applyProtection="0"/>
    <xf numFmtId="0" fontId="70" fillId="0" borderId="305" applyNumberFormat="0" applyFill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0" fillId="0" borderId="455" applyNumberFormat="0" applyFill="0" applyAlignment="0" applyProtection="0">
      <alignment vertical="center"/>
    </xf>
    <xf numFmtId="0" fontId="71" fillId="19" borderId="364" applyNumberFormat="0" applyAlignment="0" applyProtection="0">
      <alignment vertical="center"/>
    </xf>
    <xf numFmtId="0" fontId="25" fillId="0" borderId="368">
      <alignment horizontal="left" vertical="center"/>
    </xf>
    <xf numFmtId="0" fontId="75" fillId="10" borderId="37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75" fillId="10" borderId="358" applyNumberFormat="0" applyAlignment="0" applyProtection="0">
      <alignment vertical="center"/>
    </xf>
    <xf numFmtId="0" fontId="25" fillId="0" borderId="398">
      <alignment horizontal="left"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10" fillId="20" borderId="453" applyNumberFormat="0" applyFont="0" applyAlignment="0" applyProtection="0">
      <alignment vertical="center"/>
    </xf>
    <xf numFmtId="0" fontId="62" fillId="20" borderId="423" applyNumberFormat="0" applyFon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1" fillId="19" borderId="456" applyNumberFormat="0" applyAlignment="0" applyProtection="0">
      <alignment vertical="center"/>
    </xf>
    <xf numFmtId="0" fontId="70" fillId="0" borderId="363" applyNumberFormat="0" applyFill="0" applyAlignment="0" applyProtection="0">
      <alignment vertical="center"/>
    </xf>
    <xf numFmtId="0" fontId="65" fillId="19" borderId="478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71" fillId="19" borderId="360" applyNumberFormat="0" applyAlignment="0" applyProtection="0">
      <alignment vertical="center"/>
    </xf>
    <xf numFmtId="0" fontId="65" fillId="19" borderId="472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0" fillId="0" borderId="455" applyNumberFormat="0" applyFill="0" applyAlignment="0" applyProtection="0">
      <alignment vertical="center"/>
    </xf>
    <xf numFmtId="0" fontId="70" fillId="0" borderId="425" applyNumberFormat="0" applyFill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62" fillId="20" borderId="361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25" fillId="0" borderId="302">
      <alignment horizontal="left" vertical="center"/>
    </xf>
    <xf numFmtId="0" fontId="65" fillId="19" borderId="362" applyNumberFormat="0" applyAlignment="0" applyProtection="0">
      <alignment vertical="center"/>
    </xf>
    <xf numFmtId="0" fontId="70" fillId="0" borderId="363" applyNumberFormat="0" applyFill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10" fontId="24" fillId="20" borderId="301" applyNumberFormat="0" applyBorder="0" applyAlignment="0" applyProtection="0"/>
    <xf numFmtId="10" fontId="24" fillId="20" borderId="301" applyNumberFormat="0" applyBorder="0" applyAlignment="0" applyProtection="0"/>
    <xf numFmtId="0" fontId="25" fillId="0" borderId="302">
      <alignment horizontal="left" vertical="center"/>
    </xf>
    <xf numFmtId="0" fontId="62" fillId="20" borderId="361" applyNumberFormat="0" applyFont="0" applyAlignment="0" applyProtection="0">
      <alignment vertical="center"/>
    </xf>
    <xf numFmtId="0" fontId="10" fillId="20" borderId="361" applyNumberFormat="0" applyFon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65" fillId="19" borderId="362" applyNumberFormat="0" applyAlignment="0" applyProtection="0">
      <alignment vertical="center"/>
    </xf>
    <xf numFmtId="0" fontId="71" fillId="19" borderId="364" applyNumberFormat="0" applyAlignment="0" applyProtection="0">
      <alignment vertical="center"/>
    </xf>
    <xf numFmtId="0" fontId="71" fillId="19" borderId="364" applyNumberFormat="0" applyAlignment="0" applyProtection="0">
      <alignment vertical="center"/>
    </xf>
    <xf numFmtId="0" fontId="75" fillId="10" borderId="362" applyNumberFormat="0" applyAlignment="0" applyProtection="0">
      <alignment vertical="center"/>
    </xf>
    <xf numFmtId="0" fontId="70" fillId="0" borderId="363" applyNumberFormat="0" applyFill="0" applyAlignment="0" applyProtection="0">
      <alignment vertical="center"/>
    </xf>
    <xf numFmtId="0" fontId="75" fillId="10" borderId="362" applyNumberFormat="0" applyAlignment="0" applyProtection="0">
      <alignment vertical="center"/>
    </xf>
    <xf numFmtId="10" fontId="24" fillId="20" borderId="475" applyNumberFormat="0" applyBorder="0" applyAlignment="0" applyProtection="0"/>
    <xf numFmtId="0" fontId="25" fillId="0" borderId="302">
      <alignment horizontal="left" vertical="center"/>
    </xf>
    <xf numFmtId="10" fontId="24" fillId="20" borderId="301" applyNumberFormat="0" applyBorder="0" applyAlignment="0" applyProtection="0"/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25" fillId="0" borderId="302">
      <alignment horizontal="left" vertical="center"/>
    </xf>
    <xf numFmtId="10" fontId="24" fillId="20" borderId="301" applyNumberFormat="0" applyBorder="0" applyAlignment="0" applyProtection="0"/>
    <xf numFmtId="0" fontId="75" fillId="10" borderId="304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10" fontId="24" fillId="20" borderId="301" applyNumberFormat="0" applyBorder="0" applyAlignment="0" applyProtection="0"/>
    <xf numFmtId="0" fontId="62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25" fillId="0" borderId="302">
      <alignment horizontal="left" vertical="center"/>
    </xf>
    <xf numFmtId="10" fontId="24" fillId="20" borderId="301" applyNumberFormat="0" applyBorder="0" applyAlignment="0" applyProtection="0"/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10" fillId="20" borderId="361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25" fillId="0" borderId="302">
      <alignment horizontal="left" vertical="center"/>
    </xf>
    <xf numFmtId="10" fontId="24" fillId="20" borderId="301" applyNumberFormat="0" applyBorder="0" applyAlignment="0" applyProtection="0"/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25" fillId="0" borderId="302">
      <alignment horizontal="left" vertical="center"/>
    </xf>
    <xf numFmtId="10" fontId="24" fillId="20" borderId="301" applyNumberFormat="0" applyBorder="0" applyAlignment="0" applyProtection="0"/>
    <xf numFmtId="0" fontId="25" fillId="0" borderId="302">
      <alignment horizontal="left" vertical="center"/>
    </xf>
    <xf numFmtId="10" fontId="24" fillId="20" borderId="301" applyNumberFormat="0" applyBorder="0" applyAlignment="0" applyProtection="0"/>
    <xf numFmtId="0" fontId="62" fillId="20" borderId="361" applyNumberFormat="0" applyFont="0" applyAlignment="0" applyProtection="0">
      <alignment vertical="center"/>
    </xf>
    <xf numFmtId="0" fontId="10" fillId="20" borderId="361" applyNumberFormat="0" applyFont="0" applyAlignment="0" applyProtection="0">
      <alignment vertical="center"/>
    </xf>
    <xf numFmtId="0" fontId="65" fillId="19" borderId="362" applyNumberFormat="0" applyAlignment="0" applyProtection="0">
      <alignment vertical="center"/>
    </xf>
    <xf numFmtId="0" fontId="70" fillId="0" borderId="363" applyNumberFormat="0" applyFill="0" applyAlignment="0" applyProtection="0">
      <alignment vertical="center"/>
    </xf>
    <xf numFmtId="0" fontId="71" fillId="19" borderId="364" applyNumberFormat="0" applyAlignment="0" applyProtection="0">
      <alignment vertical="center"/>
    </xf>
    <xf numFmtId="0" fontId="75" fillId="10" borderId="362" applyNumberFormat="0" applyAlignment="0" applyProtection="0">
      <alignment vertical="center"/>
    </xf>
    <xf numFmtId="0" fontId="25" fillId="0" borderId="302">
      <alignment horizontal="left" vertical="center"/>
    </xf>
    <xf numFmtId="10" fontId="24" fillId="20" borderId="301" applyNumberFormat="0" applyBorder="0" applyAlignment="0" applyProtection="0"/>
    <xf numFmtId="0" fontId="65" fillId="19" borderId="370" applyNumberFormat="0" applyAlignment="0" applyProtection="0">
      <alignment vertical="center"/>
    </xf>
    <xf numFmtId="0" fontId="70" fillId="0" borderId="371" applyNumberFormat="0" applyFill="0" applyAlignment="0" applyProtection="0">
      <alignment vertical="center"/>
    </xf>
    <xf numFmtId="0" fontId="71" fillId="19" borderId="372" applyNumberFormat="0" applyAlignment="0" applyProtection="0">
      <alignment vertical="center"/>
    </xf>
    <xf numFmtId="0" fontId="75" fillId="10" borderId="370" applyNumberFormat="0" applyAlignment="0" applyProtection="0">
      <alignment vertical="center"/>
    </xf>
    <xf numFmtId="10" fontId="24" fillId="20" borderId="433" applyNumberFormat="0" applyBorder="0" applyAlignment="0" applyProtection="0"/>
    <xf numFmtId="0" fontId="25" fillId="0" borderId="440">
      <alignment horizontal="left" vertical="center"/>
    </xf>
    <xf numFmtId="0" fontId="71" fillId="19" borderId="396" applyNumberFormat="0" applyAlignment="0" applyProtection="0">
      <alignment vertical="center"/>
    </xf>
    <xf numFmtId="0" fontId="10" fillId="20" borderId="393" applyNumberFormat="0" applyFont="0" applyAlignment="0" applyProtection="0">
      <alignment vertical="center"/>
    </xf>
    <xf numFmtId="0" fontId="25" fillId="0" borderId="380">
      <alignment horizontal="left" vertical="center"/>
    </xf>
    <xf numFmtId="10" fontId="24" fillId="20" borderId="379" applyNumberFormat="0" applyBorder="0" applyAlignment="0" applyProtection="0"/>
    <xf numFmtId="0" fontId="62" fillId="20" borderId="381" applyNumberFormat="0" applyFont="0" applyAlignment="0" applyProtection="0">
      <alignment vertical="center"/>
    </xf>
    <xf numFmtId="0" fontId="10" fillId="20" borderId="381" applyNumberFormat="0" applyFont="0" applyAlignment="0" applyProtection="0">
      <alignment vertical="center"/>
    </xf>
    <xf numFmtId="0" fontId="65" fillId="19" borderId="382" applyNumberFormat="0" applyAlignment="0" applyProtection="0">
      <alignment vertical="center"/>
    </xf>
    <xf numFmtId="0" fontId="70" fillId="0" borderId="383" applyNumberFormat="0" applyFill="0" applyAlignment="0" applyProtection="0">
      <alignment vertical="center"/>
    </xf>
    <xf numFmtId="0" fontId="71" fillId="19" borderId="384" applyNumberFormat="0" applyAlignment="0" applyProtection="0">
      <alignment vertical="center"/>
    </xf>
    <xf numFmtId="0" fontId="75" fillId="10" borderId="382" applyNumberFormat="0" applyAlignment="0" applyProtection="0">
      <alignment vertical="center"/>
    </xf>
    <xf numFmtId="0" fontId="75" fillId="10" borderId="394" applyNumberFormat="0" applyAlignment="0" applyProtection="0">
      <alignment vertical="center"/>
    </xf>
    <xf numFmtId="0" fontId="25" fillId="0" borderId="380">
      <alignment horizontal="left" vertical="center"/>
    </xf>
    <xf numFmtId="10" fontId="24" fillId="20" borderId="379" applyNumberFormat="0" applyBorder="0" applyAlignment="0" applyProtection="0"/>
    <xf numFmtId="0" fontId="62" fillId="20" borderId="381" applyNumberFormat="0" applyFont="0" applyAlignment="0" applyProtection="0">
      <alignment vertical="center"/>
    </xf>
    <xf numFmtId="0" fontId="10" fillId="20" borderId="381" applyNumberFormat="0" applyFont="0" applyAlignment="0" applyProtection="0">
      <alignment vertical="center"/>
    </xf>
    <xf numFmtId="0" fontId="65" fillId="19" borderId="382" applyNumberFormat="0" applyAlignment="0" applyProtection="0">
      <alignment vertical="center"/>
    </xf>
    <xf numFmtId="0" fontId="70" fillId="0" borderId="383" applyNumberFormat="0" applyFill="0" applyAlignment="0" applyProtection="0">
      <alignment vertical="center"/>
    </xf>
    <xf numFmtId="0" fontId="71" fillId="19" borderId="384" applyNumberFormat="0" applyAlignment="0" applyProtection="0">
      <alignment vertical="center"/>
    </xf>
    <xf numFmtId="0" fontId="75" fillId="10" borderId="382" applyNumberFormat="0" applyAlignment="0" applyProtection="0">
      <alignment vertical="center"/>
    </xf>
    <xf numFmtId="0" fontId="70" fillId="0" borderId="467" applyNumberFormat="0" applyFill="0" applyAlignment="0" applyProtection="0">
      <alignment vertical="center"/>
    </xf>
    <xf numFmtId="0" fontId="62" fillId="20" borderId="381" applyNumberFormat="0" applyFont="0" applyAlignment="0" applyProtection="0">
      <alignment vertical="center"/>
    </xf>
    <xf numFmtId="0" fontId="10" fillId="20" borderId="381" applyNumberFormat="0" applyFont="0" applyAlignment="0" applyProtection="0">
      <alignment vertical="center"/>
    </xf>
    <xf numFmtId="0" fontId="65" fillId="19" borderId="382" applyNumberFormat="0" applyAlignment="0" applyProtection="0">
      <alignment vertical="center"/>
    </xf>
    <xf numFmtId="0" fontId="70" fillId="0" borderId="383" applyNumberFormat="0" applyFill="0" applyAlignment="0" applyProtection="0">
      <alignment vertical="center"/>
    </xf>
    <xf numFmtId="0" fontId="71" fillId="19" borderId="384" applyNumberFormat="0" applyAlignment="0" applyProtection="0">
      <alignment vertical="center"/>
    </xf>
    <xf numFmtId="0" fontId="75" fillId="10" borderId="382" applyNumberFormat="0" applyAlignment="0" applyProtection="0">
      <alignment vertical="center"/>
    </xf>
    <xf numFmtId="0" fontId="65" fillId="19" borderId="394" applyNumberFormat="0" applyAlignment="0" applyProtection="0">
      <alignment vertical="center"/>
    </xf>
    <xf numFmtId="0" fontId="62" fillId="20" borderId="381" applyNumberFormat="0" applyFont="0" applyAlignment="0" applyProtection="0">
      <alignment vertical="center"/>
    </xf>
    <xf numFmtId="0" fontId="10" fillId="20" borderId="381" applyNumberFormat="0" applyFont="0" applyAlignment="0" applyProtection="0">
      <alignment vertical="center"/>
    </xf>
    <xf numFmtId="0" fontId="65" fillId="19" borderId="382" applyNumberFormat="0" applyAlignment="0" applyProtection="0">
      <alignment vertical="center"/>
    </xf>
    <xf numFmtId="0" fontId="70" fillId="0" borderId="383" applyNumberFormat="0" applyFill="0" applyAlignment="0" applyProtection="0">
      <alignment vertical="center"/>
    </xf>
    <xf numFmtId="0" fontId="71" fillId="19" borderId="384" applyNumberFormat="0" applyAlignment="0" applyProtection="0">
      <alignment vertical="center"/>
    </xf>
    <xf numFmtId="0" fontId="75" fillId="10" borderId="382" applyNumberFormat="0" applyAlignment="0" applyProtection="0">
      <alignment vertical="center"/>
    </xf>
    <xf numFmtId="0" fontId="62" fillId="20" borderId="465" applyNumberFormat="0" applyFont="0" applyAlignment="0" applyProtection="0">
      <alignment vertical="center"/>
    </xf>
    <xf numFmtId="0" fontId="65" fillId="19" borderId="394" applyNumberFormat="0" applyAlignment="0" applyProtection="0">
      <alignment vertical="center"/>
    </xf>
    <xf numFmtId="0" fontId="71" fillId="19" borderId="420" applyNumberFormat="0" applyAlignment="0" applyProtection="0">
      <alignment vertical="center"/>
    </xf>
    <xf numFmtId="0" fontId="71" fillId="19" borderId="396" applyNumberFormat="0" applyAlignment="0" applyProtection="0">
      <alignment vertical="center"/>
    </xf>
    <xf numFmtId="0" fontId="62" fillId="20" borderId="393" applyNumberFormat="0" applyFont="0" applyAlignment="0" applyProtection="0">
      <alignment vertical="center"/>
    </xf>
    <xf numFmtId="0" fontId="25" fillId="0" borderId="392">
      <alignment horizontal="left" vertical="center"/>
    </xf>
    <xf numFmtId="10" fontId="24" fillId="20" borderId="439" applyNumberFormat="0" applyBorder="0" applyAlignment="0" applyProtection="0"/>
    <xf numFmtId="0" fontId="70" fillId="0" borderId="395" applyNumberFormat="0" applyFill="0" applyAlignment="0" applyProtection="0">
      <alignment vertical="center"/>
    </xf>
    <xf numFmtId="0" fontId="70" fillId="0" borderId="479" applyNumberFormat="0" applyFill="0" applyAlignment="0" applyProtection="0">
      <alignment vertical="center"/>
    </xf>
    <xf numFmtId="10" fontId="24" fillId="20" borderId="379" applyNumberFormat="0" applyBorder="0" applyAlignment="0" applyProtection="0"/>
    <xf numFmtId="0" fontId="25" fillId="0" borderId="380">
      <alignment horizontal="left" vertical="center"/>
    </xf>
    <xf numFmtId="0" fontId="25" fillId="0" borderId="386">
      <alignment horizontal="left" vertical="center"/>
    </xf>
    <xf numFmtId="10" fontId="24" fillId="20" borderId="385" applyNumberFormat="0" applyBorder="0" applyAlignment="0" applyProtection="0"/>
    <xf numFmtId="0" fontId="75" fillId="10" borderId="382" applyNumberFormat="0" applyAlignment="0" applyProtection="0">
      <alignment vertical="center"/>
    </xf>
    <xf numFmtId="0" fontId="71" fillId="19" borderId="384" applyNumberFormat="0" applyAlignment="0" applyProtection="0">
      <alignment vertical="center"/>
    </xf>
    <xf numFmtId="0" fontId="70" fillId="0" borderId="383" applyNumberFormat="0" applyFill="0" applyAlignment="0" applyProtection="0">
      <alignment vertical="center"/>
    </xf>
    <xf numFmtId="0" fontId="65" fillId="19" borderId="382" applyNumberFormat="0" applyAlignment="0" applyProtection="0">
      <alignment vertical="center"/>
    </xf>
    <xf numFmtId="0" fontId="10" fillId="20" borderId="381" applyNumberFormat="0" applyFont="0" applyAlignment="0" applyProtection="0">
      <alignment vertical="center"/>
    </xf>
    <xf numFmtId="0" fontId="62" fillId="20" borderId="381" applyNumberFormat="0" applyFont="0" applyAlignment="0" applyProtection="0">
      <alignment vertical="center"/>
    </xf>
    <xf numFmtId="0" fontId="25" fillId="0" borderId="386">
      <alignment horizontal="left" vertical="center"/>
    </xf>
    <xf numFmtId="10" fontId="24" fillId="20" borderId="385" applyNumberFormat="0" applyBorder="0" applyAlignment="0" applyProtection="0"/>
    <xf numFmtId="0" fontId="62" fillId="20" borderId="387" applyNumberFormat="0" applyFont="0" applyAlignment="0" applyProtection="0">
      <alignment vertical="center"/>
    </xf>
    <xf numFmtId="0" fontId="10" fillId="20" borderId="387" applyNumberFormat="0" applyFont="0" applyAlignment="0" applyProtection="0">
      <alignment vertical="center"/>
    </xf>
    <xf numFmtId="0" fontId="65" fillId="19" borderId="388" applyNumberFormat="0" applyAlignment="0" applyProtection="0">
      <alignment vertical="center"/>
    </xf>
    <xf numFmtId="0" fontId="70" fillId="0" borderId="389" applyNumberFormat="0" applyFill="0" applyAlignment="0" applyProtection="0">
      <alignment vertical="center"/>
    </xf>
    <xf numFmtId="0" fontId="71" fillId="19" borderId="390" applyNumberFormat="0" applyAlignment="0" applyProtection="0">
      <alignment vertical="center"/>
    </xf>
    <xf numFmtId="0" fontId="75" fillId="10" borderId="388" applyNumberFormat="0" applyAlignment="0" applyProtection="0">
      <alignment vertical="center"/>
    </xf>
    <xf numFmtId="0" fontId="62" fillId="20" borderId="417" applyNumberFormat="0" applyFont="0" applyAlignment="0" applyProtection="0">
      <alignment vertical="center"/>
    </xf>
    <xf numFmtId="0" fontId="25" fillId="0" borderId="380">
      <alignment horizontal="left" vertical="center"/>
    </xf>
    <xf numFmtId="10" fontId="24" fillId="20" borderId="379" applyNumberFormat="0" applyBorder="0" applyAlignment="0" applyProtection="0"/>
    <xf numFmtId="0" fontId="70" fillId="0" borderId="419" applyNumberFormat="0" applyFill="0" applyAlignment="0" applyProtection="0">
      <alignment vertical="center"/>
    </xf>
    <xf numFmtId="10" fontId="24" fillId="20" borderId="439" applyNumberFormat="0" applyBorder="0" applyAlignment="0" applyProtection="0"/>
    <xf numFmtId="0" fontId="62" fillId="20" borderId="387" applyNumberFormat="0" applyFont="0" applyAlignment="0" applyProtection="0">
      <alignment vertical="center"/>
    </xf>
    <xf numFmtId="0" fontId="10" fillId="20" borderId="387" applyNumberFormat="0" applyFont="0" applyAlignment="0" applyProtection="0">
      <alignment vertical="center"/>
    </xf>
    <xf numFmtId="0" fontId="65" fillId="19" borderId="388" applyNumberFormat="0" applyAlignment="0" applyProtection="0">
      <alignment vertical="center"/>
    </xf>
    <xf numFmtId="0" fontId="70" fillId="0" borderId="389" applyNumberFormat="0" applyFill="0" applyAlignment="0" applyProtection="0">
      <alignment vertical="center"/>
    </xf>
    <xf numFmtId="0" fontId="71" fillId="19" borderId="390" applyNumberFormat="0" applyAlignment="0" applyProtection="0">
      <alignment vertical="center"/>
    </xf>
    <xf numFmtId="0" fontId="75" fillId="10" borderId="388" applyNumberFormat="0" applyAlignment="0" applyProtection="0">
      <alignment vertical="center"/>
    </xf>
    <xf numFmtId="0" fontId="10" fillId="20" borderId="417" applyNumberFormat="0" applyFont="0" applyAlignment="0" applyProtection="0">
      <alignment vertical="center"/>
    </xf>
    <xf numFmtId="0" fontId="25" fillId="0" borderId="398">
      <alignment horizontal="left" vertical="center"/>
    </xf>
    <xf numFmtId="10" fontId="24" fillId="20" borderId="397" applyNumberFormat="0" applyBorder="0" applyAlignment="0" applyProtection="0"/>
    <xf numFmtId="0" fontId="62" fillId="20" borderId="399" applyNumberFormat="0" applyFont="0" applyAlignment="0" applyProtection="0">
      <alignment vertical="center"/>
    </xf>
    <xf numFmtId="0" fontId="10" fillId="20" borderId="399" applyNumberFormat="0" applyFont="0" applyAlignment="0" applyProtection="0">
      <alignment vertical="center"/>
    </xf>
    <xf numFmtId="0" fontId="65" fillId="19" borderId="400" applyNumberFormat="0" applyAlignment="0" applyProtection="0">
      <alignment vertical="center"/>
    </xf>
    <xf numFmtId="0" fontId="70" fillId="0" borderId="401" applyNumberFormat="0" applyFill="0" applyAlignment="0" applyProtection="0">
      <alignment vertical="center"/>
    </xf>
    <xf numFmtId="0" fontId="71" fillId="19" borderId="402" applyNumberFormat="0" applyAlignment="0" applyProtection="0">
      <alignment vertical="center"/>
    </xf>
    <xf numFmtId="0" fontId="75" fillId="10" borderId="400" applyNumberFormat="0" applyAlignment="0" applyProtection="0">
      <alignment vertical="center"/>
    </xf>
    <xf numFmtId="10" fontId="24" fillId="20" borderId="433" applyNumberFormat="0" applyBorder="0" applyAlignment="0" applyProtection="0"/>
    <xf numFmtId="0" fontId="62" fillId="20" borderId="399" applyNumberFormat="0" applyFont="0" applyAlignment="0" applyProtection="0">
      <alignment vertical="center"/>
    </xf>
    <xf numFmtId="0" fontId="10" fillId="20" borderId="399" applyNumberFormat="0" applyFont="0" applyAlignment="0" applyProtection="0">
      <alignment vertical="center"/>
    </xf>
    <xf numFmtId="0" fontId="65" fillId="19" borderId="400" applyNumberFormat="0" applyAlignment="0" applyProtection="0">
      <alignment vertical="center"/>
    </xf>
    <xf numFmtId="0" fontId="70" fillId="0" borderId="401" applyNumberFormat="0" applyFill="0" applyAlignment="0" applyProtection="0">
      <alignment vertical="center"/>
    </xf>
    <xf numFmtId="0" fontId="71" fillId="19" borderId="402" applyNumberFormat="0" applyAlignment="0" applyProtection="0">
      <alignment vertical="center"/>
    </xf>
    <xf numFmtId="0" fontId="75" fillId="10" borderId="400" applyNumberFormat="0" applyAlignment="0" applyProtection="0">
      <alignment vertical="center"/>
    </xf>
    <xf numFmtId="0" fontId="62" fillId="20" borderId="453" applyNumberFormat="0" applyFont="0" applyAlignment="0" applyProtection="0">
      <alignment vertical="center"/>
    </xf>
    <xf numFmtId="0" fontId="62" fillId="20" borderId="399" applyNumberFormat="0" applyFont="0" applyAlignment="0" applyProtection="0">
      <alignment vertical="center"/>
    </xf>
    <xf numFmtId="0" fontId="10" fillId="20" borderId="399" applyNumberFormat="0" applyFont="0" applyAlignment="0" applyProtection="0">
      <alignment vertical="center"/>
    </xf>
    <xf numFmtId="0" fontId="65" fillId="19" borderId="400" applyNumberFormat="0" applyAlignment="0" applyProtection="0">
      <alignment vertical="center"/>
    </xf>
    <xf numFmtId="0" fontId="70" fillId="0" borderId="401" applyNumberFormat="0" applyFill="0" applyAlignment="0" applyProtection="0">
      <alignment vertical="center"/>
    </xf>
    <xf numFmtId="0" fontId="71" fillId="19" borderId="402" applyNumberFormat="0" applyAlignment="0" applyProtection="0">
      <alignment vertical="center"/>
    </xf>
    <xf numFmtId="0" fontId="75" fillId="10" borderId="400" applyNumberFormat="0" applyAlignment="0" applyProtection="0">
      <alignment vertical="center"/>
    </xf>
    <xf numFmtId="10" fontId="24" fillId="20" borderId="439" applyNumberFormat="0" applyBorder="0" applyAlignment="0" applyProtection="0"/>
    <xf numFmtId="0" fontId="71" fillId="19" borderId="468" applyNumberFormat="0" applyAlignment="0" applyProtection="0">
      <alignment vertical="center"/>
    </xf>
    <xf numFmtId="0" fontId="25" fillId="0" borderId="410">
      <alignment horizontal="left" vertical="center"/>
    </xf>
    <xf numFmtId="0" fontId="25" fillId="0" borderId="452">
      <alignment horizontal="left" vertical="center"/>
    </xf>
    <xf numFmtId="10" fontId="24" fillId="20" borderId="397" applyNumberFormat="0" applyBorder="0" applyAlignment="0" applyProtection="0"/>
    <xf numFmtId="0" fontId="25" fillId="0" borderId="398">
      <alignment horizontal="left" vertical="center"/>
    </xf>
    <xf numFmtId="0" fontId="25" fillId="0" borderId="404">
      <alignment horizontal="left" vertical="center"/>
    </xf>
    <xf numFmtId="10" fontId="24" fillId="20" borderId="403" applyNumberFormat="0" applyBorder="0" applyAlignment="0" applyProtection="0"/>
    <xf numFmtId="0" fontId="75" fillId="10" borderId="400" applyNumberFormat="0" applyAlignment="0" applyProtection="0">
      <alignment vertical="center"/>
    </xf>
    <xf numFmtId="0" fontId="71" fillId="19" borderId="402" applyNumberFormat="0" applyAlignment="0" applyProtection="0">
      <alignment vertical="center"/>
    </xf>
    <xf numFmtId="0" fontId="70" fillId="0" borderId="401" applyNumberFormat="0" applyFill="0" applyAlignment="0" applyProtection="0">
      <alignment vertical="center"/>
    </xf>
    <xf numFmtId="0" fontId="65" fillId="19" borderId="400" applyNumberFormat="0" applyAlignment="0" applyProtection="0">
      <alignment vertical="center"/>
    </xf>
    <xf numFmtId="0" fontId="10" fillId="20" borderId="399" applyNumberFormat="0" applyFont="0" applyAlignment="0" applyProtection="0">
      <alignment vertical="center"/>
    </xf>
    <xf numFmtId="0" fontId="62" fillId="20" borderId="399" applyNumberFormat="0" applyFont="0" applyAlignment="0" applyProtection="0">
      <alignment vertical="center"/>
    </xf>
    <xf numFmtId="10" fontId="24" fillId="20" borderId="469" applyNumberFormat="0" applyBorder="0" applyAlignment="0" applyProtection="0"/>
    <xf numFmtId="0" fontId="25" fillId="0" borderId="404">
      <alignment horizontal="left" vertical="center"/>
    </xf>
    <xf numFmtId="10" fontId="24" fillId="20" borderId="403" applyNumberFormat="0" applyBorder="0" applyAlignment="0" applyProtection="0"/>
    <xf numFmtId="0" fontId="62" fillId="20" borderId="405" applyNumberFormat="0" applyFont="0" applyAlignment="0" applyProtection="0">
      <alignment vertical="center"/>
    </xf>
    <xf numFmtId="0" fontId="10" fillId="20" borderId="405" applyNumberFormat="0" applyFont="0" applyAlignment="0" applyProtection="0">
      <alignment vertical="center"/>
    </xf>
    <xf numFmtId="0" fontId="65" fillId="19" borderId="406" applyNumberFormat="0" applyAlignment="0" applyProtection="0">
      <alignment vertical="center"/>
    </xf>
    <xf numFmtId="0" fontId="70" fillId="0" borderId="407" applyNumberFormat="0" applyFill="0" applyAlignment="0" applyProtection="0">
      <alignment vertical="center"/>
    </xf>
    <xf numFmtId="0" fontId="71" fillId="19" borderId="408" applyNumberFormat="0" applyAlignment="0" applyProtection="0">
      <alignment vertical="center"/>
    </xf>
    <xf numFmtId="0" fontId="75" fillId="10" borderId="406" applyNumberFormat="0" applyAlignment="0" applyProtection="0">
      <alignment vertical="center"/>
    </xf>
    <xf numFmtId="0" fontId="25" fillId="0" borderId="398">
      <alignment horizontal="left" vertical="center"/>
    </xf>
    <xf numFmtId="10" fontId="24" fillId="20" borderId="397" applyNumberFormat="0" applyBorder="0" applyAlignment="0" applyProtection="0"/>
    <xf numFmtId="0" fontId="25" fillId="0" borderId="452">
      <alignment horizontal="left" vertical="center"/>
    </xf>
    <xf numFmtId="0" fontId="62" fillId="20" borderId="405" applyNumberFormat="0" applyFont="0" applyAlignment="0" applyProtection="0">
      <alignment vertical="center"/>
    </xf>
    <xf numFmtId="0" fontId="10" fillId="20" borderId="405" applyNumberFormat="0" applyFont="0" applyAlignment="0" applyProtection="0">
      <alignment vertical="center"/>
    </xf>
    <xf numFmtId="0" fontId="65" fillId="19" borderId="406" applyNumberFormat="0" applyAlignment="0" applyProtection="0">
      <alignment vertical="center"/>
    </xf>
    <xf numFmtId="0" fontId="70" fillId="0" borderId="407" applyNumberFormat="0" applyFill="0" applyAlignment="0" applyProtection="0">
      <alignment vertical="center"/>
    </xf>
    <xf numFmtId="0" fontId="71" fillId="19" borderId="408" applyNumberFormat="0" applyAlignment="0" applyProtection="0">
      <alignment vertical="center"/>
    </xf>
    <xf numFmtId="0" fontId="75" fillId="10" borderId="406" applyNumberFormat="0" applyAlignment="0" applyProtection="0">
      <alignment vertical="center"/>
    </xf>
    <xf numFmtId="10" fontId="24" fillId="20" borderId="475" applyNumberFormat="0" applyBorder="0" applyAlignment="0" applyProtection="0"/>
    <xf numFmtId="0" fontId="71" fillId="19" borderId="426" applyNumberFormat="0" applyAlignment="0" applyProtection="0">
      <alignment vertical="center"/>
    </xf>
    <xf numFmtId="0" fontId="75" fillId="10" borderId="424" applyNumberFormat="0" applyAlignment="0" applyProtection="0">
      <alignment vertical="center"/>
    </xf>
    <xf numFmtId="0" fontId="62" fillId="20" borderId="423" applyNumberFormat="0" applyFont="0" applyAlignment="0" applyProtection="0">
      <alignment vertical="center"/>
    </xf>
    <xf numFmtId="0" fontId="10" fillId="20" borderId="423" applyNumberFormat="0" applyFont="0" applyAlignment="0" applyProtection="0">
      <alignment vertical="center"/>
    </xf>
    <xf numFmtId="0" fontId="65" fillId="19" borderId="424" applyNumberFormat="0" applyAlignment="0" applyProtection="0">
      <alignment vertical="center"/>
    </xf>
    <xf numFmtId="0" fontId="70" fillId="0" borderId="425" applyNumberFormat="0" applyFill="0" applyAlignment="0" applyProtection="0">
      <alignment vertical="center"/>
    </xf>
    <xf numFmtId="0" fontId="71" fillId="19" borderId="426" applyNumberFormat="0" applyAlignment="0" applyProtection="0">
      <alignment vertical="center"/>
    </xf>
    <xf numFmtId="0" fontId="75" fillId="10" borderId="424" applyNumberFormat="0" applyAlignment="0" applyProtection="0">
      <alignment vertical="center"/>
    </xf>
    <xf numFmtId="0" fontId="62" fillId="20" borderId="423" applyNumberFormat="0" applyFont="0" applyAlignment="0" applyProtection="0">
      <alignment vertical="center"/>
    </xf>
    <xf numFmtId="0" fontId="10" fillId="20" borderId="423" applyNumberFormat="0" applyFont="0" applyAlignment="0" applyProtection="0">
      <alignment vertical="center"/>
    </xf>
    <xf numFmtId="0" fontId="65" fillId="19" borderId="424" applyNumberFormat="0" applyAlignment="0" applyProtection="0">
      <alignment vertical="center"/>
    </xf>
    <xf numFmtId="0" fontId="70" fillId="0" borderId="425" applyNumberFormat="0" applyFill="0" applyAlignment="0" applyProtection="0">
      <alignment vertical="center"/>
    </xf>
    <xf numFmtId="0" fontId="71" fillId="19" borderId="426" applyNumberFormat="0" applyAlignment="0" applyProtection="0">
      <alignment vertical="center"/>
    </xf>
    <xf numFmtId="0" fontId="75" fillId="10" borderId="424" applyNumberFormat="0" applyAlignment="0" applyProtection="0">
      <alignment vertical="center"/>
    </xf>
    <xf numFmtId="0" fontId="75" fillId="10" borderId="466" applyNumberFormat="0" applyAlignment="0" applyProtection="0">
      <alignment vertical="center"/>
    </xf>
    <xf numFmtId="0" fontId="65" fillId="19" borderId="448" applyNumberFormat="0" applyAlignment="0" applyProtection="0">
      <alignment vertical="center"/>
    </xf>
    <xf numFmtId="0" fontId="62" fillId="20" borderId="477" applyNumberFormat="0" applyFont="0" applyAlignment="0" applyProtection="0">
      <alignment vertical="center"/>
    </xf>
    <xf numFmtId="0" fontId="25" fillId="0" borderId="434">
      <alignment horizontal="left" vertical="center"/>
    </xf>
    <xf numFmtId="0" fontId="25" fillId="0" borderId="440">
      <alignment horizontal="left" vertical="center"/>
    </xf>
    <xf numFmtId="0" fontId="75" fillId="10" borderId="478" applyNumberFormat="0" applyAlignment="0" applyProtection="0">
      <alignment vertical="center"/>
    </xf>
    <xf numFmtId="10" fontId="24" fillId="20" borderId="439" applyNumberFormat="0" applyBorder="0" applyAlignment="0" applyProtection="0"/>
    <xf numFmtId="10" fontId="24" fillId="20" borderId="421" applyNumberFormat="0" applyBorder="0" applyAlignment="0" applyProtection="0"/>
    <xf numFmtId="0" fontId="25" fillId="0" borderId="422">
      <alignment horizontal="left" vertical="center"/>
    </xf>
    <xf numFmtId="0" fontId="25" fillId="0" borderId="428">
      <alignment horizontal="left" vertical="center"/>
    </xf>
    <xf numFmtId="10" fontId="24" fillId="20" borderId="427" applyNumberFormat="0" applyBorder="0" applyAlignment="0" applyProtection="0"/>
    <xf numFmtId="0" fontId="75" fillId="10" borderId="424" applyNumberFormat="0" applyAlignment="0" applyProtection="0">
      <alignment vertical="center"/>
    </xf>
    <xf numFmtId="0" fontId="71" fillId="19" borderId="426" applyNumberFormat="0" applyAlignment="0" applyProtection="0">
      <alignment vertical="center"/>
    </xf>
    <xf numFmtId="0" fontId="70" fillId="0" borderId="425" applyNumberFormat="0" applyFill="0" applyAlignment="0" applyProtection="0">
      <alignment vertical="center"/>
    </xf>
    <xf numFmtId="0" fontId="65" fillId="19" borderId="424" applyNumberFormat="0" applyAlignment="0" applyProtection="0">
      <alignment vertical="center"/>
    </xf>
    <xf numFmtId="0" fontId="10" fillId="20" borderId="423" applyNumberFormat="0" applyFont="0" applyAlignment="0" applyProtection="0">
      <alignment vertical="center"/>
    </xf>
    <xf numFmtId="0" fontId="62" fillId="20" borderId="423" applyNumberFormat="0" applyFont="0" applyAlignment="0" applyProtection="0">
      <alignment vertical="center"/>
    </xf>
    <xf numFmtId="0" fontId="25" fillId="0" borderId="428">
      <alignment horizontal="left" vertical="center"/>
    </xf>
    <xf numFmtId="10" fontId="24" fillId="20" borderId="427" applyNumberFormat="0" applyBorder="0" applyAlignment="0" applyProtection="0"/>
    <xf numFmtId="0" fontId="62" fillId="20" borderId="429" applyNumberFormat="0" applyFont="0" applyAlignment="0" applyProtection="0">
      <alignment vertical="center"/>
    </xf>
    <xf numFmtId="0" fontId="10" fillId="20" borderId="429" applyNumberFormat="0" applyFont="0" applyAlignment="0" applyProtection="0">
      <alignment vertical="center"/>
    </xf>
    <xf numFmtId="0" fontId="65" fillId="19" borderId="430" applyNumberFormat="0" applyAlignment="0" applyProtection="0">
      <alignment vertical="center"/>
    </xf>
    <xf numFmtId="0" fontId="70" fillId="0" borderId="431" applyNumberFormat="0" applyFill="0" applyAlignment="0" applyProtection="0">
      <alignment vertical="center"/>
    </xf>
    <xf numFmtId="0" fontId="71" fillId="19" borderId="432" applyNumberFormat="0" applyAlignment="0" applyProtection="0">
      <alignment vertical="center"/>
    </xf>
    <xf numFmtId="0" fontId="75" fillId="10" borderId="430" applyNumberFormat="0" applyAlignment="0" applyProtection="0">
      <alignment vertical="center"/>
    </xf>
    <xf numFmtId="0" fontId="10" fillId="20" borderId="465" applyNumberFormat="0" applyFont="0" applyAlignment="0" applyProtection="0">
      <alignment vertical="center"/>
    </xf>
    <xf numFmtId="0" fontId="25" fillId="0" borderId="422">
      <alignment horizontal="left" vertical="center"/>
    </xf>
    <xf numFmtId="10" fontId="24" fillId="20" borderId="421" applyNumberFormat="0" applyBorder="0" applyAlignment="0" applyProtection="0"/>
    <xf numFmtId="0" fontId="62" fillId="20" borderId="429" applyNumberFormat="0" applyFont="0" applyAlignment="0" applyProtection="0">
      <alignment vertical="center"/>
    </xf>
    <xf numFmtId="0" fontId="10" fillId="20" borderId="429" applyNumberFormat="0" applyFont="0" applyAlignment="0" applyProtection="0">
      <alignment vertical="center"/>
    </xf>
    <xf numFmtId="0" fontId="65" fillId="19" borderId="430" applyNumberFormat="0" applyAlignment="0" applyProtection="0">
      <alignment vertical="center"/>
    </xf>
    <xf numFmtId="0" fontId="70" fillId="0" borderId="431" applyNumberFormat="0" applyFill="0" applyAlignment="0" applyProtection="0">
      <alignment vertical="center"/>
    </xf>
    <xf numFmtId="0" fontId="71" fillId="19" borderId="432" applyNumberFormat="0" applyAlignment="0" applyProtection="0">
      <alignment vertical="center"/>
    </xf>
    <xf numFmtId="0" fontId="75" fillId="10" borderId="430" applyNumberFormat="0" applyAlignment="0" applyProtection="0">
      <alignment vertical="center"/>
    </xf>
    <xf numFmtId="0" fontId="25" fillId="0" borderId="434">
      <alignment horizontal="left" vertical="center"/>
    </xf>
    <xf numFmtId="10" fontId="24" fillId="20" borderId="433" applyNumberFormat="0" applyBorder="0" applyAlignment="0" applyProtection="0"/>
    <xf numFmtId="0" fontId="62" fillId="20" borderId="417" applyNumberFormat="0" applyFont="0" applyAlignment="0" applyProtection="0">
      <alignment vertical="center"/>
    </xf>
    <xf numFmtId="0" fontId="10" fillId="20" borderId="417" applyNumberFormat="0" applyFont="0" applyAlignment="0" applyProtection="0">
      <alignment vertical="center"/>
    </xf>
    <xf numFmtId="0" fontId="65" fillId="19" borderId="418" applyNumberFormat="0" applyAlignment="0" applyProtection="0">
      <alignment vertical="center"/>
    </xf>
    <xf numFmtId="0" fontId="70" fillId="0" borderId="419" applyNumberFormat="0" applyFill="0" applyAlignment="0" applyProtection="0">
      <alignment vertical="center"/>
    </xf>
    <xf numFmtId="0" fontId="71" fillId="19" borderId="420" applyNumberFormat="0" applyAlignment="0" applyProtection="0">
      <alignment vertical="center"/>
    </xf>
    <xf numFmtId="0" fontId="75" fillId="10" borderId="418" applyNumberFormat="0" applyAlignment="0" applyProtection="0">
      <alignment vertical="center"/>
    </xf>
    <xf numFmtId="0" fontId="62" fillId="20" borderId="417" applyNumberFormat="0" applyFont="0" applyAlignment="0" applyProtection="0">
      <alignment vertical="center"/>
    </xf>
    <xf numFmtId="0" fontId="10" fillId="20" borderId="417" applyNumberFormat="0" applyFont="0" applyAlignment="0" applyProtection="0">
      <alignment vertical="center"/>
    </xf>
    <xf numFmtId="0" fontId="65" fillId="19" borderId="418" applyNumberFormat="0" applyAlignment="0" applyProtection="0">
      <alignment vertical="center"/>
    </xf>
    <xf numFmtId="0" fontId="70" fillId="0" borderId="419" applyNumberFormat="0" applyFill="0" applyAlignment="0" applyProtection="0">
      <alignment vertical="center"/>
    </xf>
    <xf numFmtId="0" fontId="71" fillId="19" borderId="420" applyNumberFormat="0" applyAlignment="0" applyProtection="0">
      <alignment vertical="center"/>
    </xf>
    <xf numFmtId="0" fontId="75" fillId="10" borderId="418" applyNumberFormat="0" applyAlignment="0" applyProtection="0">
      <alignment vertical="center"/>
    </xf>
    <xf numFmtId="0" fontId="62" fillId="20" borderId="417" applyNumberFormat="0" applyFont="0" applyAlignment="0" applyProtection="0">
      <alignment vertical="center"/>
    </xf>
    <xf numFmtId="0" fontId="10" fillId="20" borderId="417" applyNumberFormat="0" applyFont="0" applyAlignment="0" applyProtection="0">
      <alignment vertical="center"/>
    </xf>
    <xf numFmtId="0" fontId="65" fillId="19" borderId="418" applyNumberFormat="0" applyAlignment="0" applyProtection="0">
      <alignment vertical="center"/>
    </xf>
    <xf numFmtId="0" fontId="70" fillId="0" borderId="419" applyNumberFormat="0" applyFill="0" applyAlignment="0" applyProtection="0">
      <alignment vertical="center"/>
    </xf>
    <xf numFmtId="0" fontId="71" fillId="19" borderId="420" applyNumberFormat="0" applyAlignment="0" applyProtection="0">
      <alignment vertical="center"/>
    </xf>
    <xf numFmtId="0" fontId="75" fillId="10" borderId="418" applyNumberFormat="0" applyAlignment="0" applyProtection="0">
      <alignment vertical="center"/>
    </xf>
    <xf numFmtId="0" fontId="71" fillId="19" borderId="450" applyNumberFormat="0" applyAlignment="0" applyProtection="0">
      <alignment vertical="center"/>
    </xf>
    <xf numFmtId="0" fontId="71" fillId="19" borderId="474" applyNumberFormat="0" applyAlignment="0" applyProtection="0">
      <alignment vertical="center"/>
    </xf>
    <xf numFmtId="0" fontId="25" fillId="0" borderId="440">
      <alignment horizontal="left" vertical="center"/>
    </xf>
    <xf numFmtId="10" fontId="24" fillId="20" borderId="451" applyNumberFormat="0" applyBorder="0" applyAlignment="0" applyProtection="0"/>
    <xf numFmtId="10" fontId="24" fillId="20" borderId="433" applyNumberFormat="0" applyBorder="0" applyAlignment="0" applyProtection="0"/>
    <xf numFmtId="0" fontId="25" fillId="0" borderId="434">
      <alignment horizontal="left" vertical="center"/>
    </xf>
    <xf numFmtId="0" fontId="25" fillId="0" borderId="416">
      <alignment horizontal="left" vertical="center"/>
    </xf>
    <xf numFmtId="10" fontId="24" fillId="20" borderId="415" applyNumberFormat="0" applyBorder="0" applyAlignment="0" applyProtection="0"/>
    <xf numFmtId="0" fontId="75" fillId="10" borderId="418" applyNumberFormat="0" applyAlignment="0" applyProtection="0">
      <alignment vertical="center"/>
    </xf>
    <xf numFmtId="0" fontId="71" fillId="19" borderId="420" applyNumberFormat="0" applyAlignment="0" applyProtection="0">
      <alignment vertical="center"/>
    </xf>
    <xf numFmtId="0" fontId="70" fillId="0" borderId="419" applyNumberFormat="0" applyFill="0" applyAlignment="0" applyProtection="0">
      <alignment vertical="center"/>
    </xf>
    <xf numFmtId="0" fontId="65" fillId="19" borderId="418" applyNumberFormat="0" applyAlignment="0" applyProtection="0">
      <alignment vertical="center"/>
    </xf>
    <xf numFmtId="0" fontId="10" fillId="20" borderId="417" applyNumberFormat="0" applyFont="0" applyAlignment="0" applyProtection="0">
      <alignment vertical="center"/>
    </xf>
    <xf numFmtId="0" fontId="62" fillId="20" borderId="417" applyNumberFormat="0" applyFont="0" applyAlignment="0" applyProtection="0">
      <alignment vertical="center"/>
    </xf>
    <xf numFmtId="0" fontId="25" fillId="0" borderId="416">
      <alignment horizontal="left" vertical="center"/>
    </xf>
    <xf numFmtId="10" fontId="24" fillId="20" borderId="415" applyNumberFormat="0" applyBorder="0" applyAlignment="0" applyProtection="0"/>
    <xf numFmtId="0" fontId="62" fillId="20" borderId="435" applyNumberFormat="0" applyFont="0" applyAlignment="0" applyProtection="0">
      <alignment vertical="center"/>
    </xf>
    <xf numFmtId="0" fontId="10" fillId="20" borderId="435" applyNumberFormat="0" applyFont="0" applyAlignment="0" applyProtection="0">
      <alignment vertical="center"/>
    </xf>
    <xf numFmtId="0" fontId="65" fillId="19" borderId="436" applyNumberFormat="0" applyAlignment="0" applyProtection="0">
      <alignment vertical="center"/>
    </xf>
    <xf numFmtId="0" fontId="70" fillId="0" borderId="437" applyNumberFormat="0" applyFill="0" applyAlignment="0" applyProtection="0">
      <alignment vertical="center"/>
    </xf>
    <xf numFmtId="0" fontId="71" fillId="19" borderId="438" applyNumberFormat="0" applyAlignment="0" applyProtection="0">
      <alignment vertical="center"/>
    </xf>
    <xf numFmtId="0" fontId="75" fillId="10" borderId="436" applyNumberFormat="0" applyAlignment="0" applyProtection="0">
      <alignment vertical="center"/>
    </xf>
    <xf numFmtId="0" fontId="25" fillId="0" borderId="434">
      <alignment horizontal="left" vertical="center"/>
    </xf>
    <xf numFmtId="10" fontId="24" fillId="20" borderId="433" applyNumberFormat="0" applyBorder="0" applyAlignment="0" applyProtection="0"/>
    <xf numFmtId="0" fontId="62" fillId="20" borderId="435" applyNumberFormat="0" applyFont="0" applyAlignment="0" applyProtection="0">
      <alignment vertical="center"/>
    </xf>
    <xf numFmtId="0" fontId="10" fillId="20" borderId="435" applyNumberFormat="0" applyFont="0" applyAlignment="0" applyProtection="0">
      <alignment vertical="center"/>
    </xf>
    <xf numFmtId="0" fontId="65" fillId="19" borderId="436" applyNumberFormat="0" applyAlignment="0" applyProtection="0">
      <alignment vertical="center"/>
    </xf>
    <xf numFmtId="0" fontId="70" fillId="0" borderId="437" applyNumberFormat="0" applyFill="0" applyAlignment="0" applyProtection="0">
      <alignment vertical="center"/>
    </xf>
    <xf numFmtId="0" fontId="71" fillId="19" borderId="438" applyNumberFormat="0" applyAlignment="0" applyProtection="0">
      <alignment vertical="center"/>
    </xf>
    <xf numFmtId="0" fontId="75" fillId="10" borderId="436" applyNumberFormat="0" applyAlignment="0" applyProtection="0">
      <alignment vertical="center"/>
    </xf>
    <xf numFmtId="0" fontId="70" fillId="0" borderId="395" applyNumberFormat="0" applyFill="0" applyAlignment="0" applyProtection="0">
      <alignment vertical="center"/>
    </xf>
    <xf numFmtId="0" fontId="71" fillId="19" borderId="396" applyNumberFormat="0" applyAlignment="0" applyProtection="0">
      <alignment vertical="center"/>
    </xf>
    <xf numFmtId="0" fontId="75" fillId="10" borderId="394" applyNumberFormat="0" applyAlignment="0" applyProtection="0">
      <alignment vertical="center"/>
    </xf>
    <xf numFmtId="0" fontId="62" fillId="20" borderId="393" applyNumberFormat="0" applyFont="0" applyAlignment="0" applyProtection="0">
      <alignment vertical="center"/>
    </xf>
    <xf numFmtId="0" fontId="10" fillId="20" borderId="393" applyNumberFormat="0" applyFont="0" applyAlignment="0" applyProtection="0">
      <alignment vertical="center"/>
    </xf>
    <xf numFmtId="0" fontId="65" fillId="19" borderId="394" applyNumberFormat="0" applyAlignment="0" applyProtection="0">
      <alignment vertical="center"/>
    </xf>
    <xf numFmtId="0" fontId="70" fillId="0" borderId="395" applyNumberFormat="0" applyFill="0" applyAlignment="0" applyProtection="0">
      <alignment vertical="center"/>
    </xf>
    <xf numFmtId="0" fontId="71" fillId="19" borderId="396" applyNumberFormat="0" applyAlignment="0" applyProtection="0">
      <alignment vertical="center"/>
    </xf>
    <xf numFmtId="0" fontId="75" fillId="10" borderId="394" applyNumberFormat="0" applyAlignment="0" applyProtection="0">
      <alignment vertical="center"/>
    </xf>
    <xf numFmtId="0" fontId="70" fillId="0" borderId="449" applyNumberFormat="0" applyFill="0" applyAlignment="0" applyProtection="0">
      <alignment vertical="center"/>
    </xf>
    <xf numFmtId="0" fontId="25" fillId="0" borderId="446">
      <alignment horizontal="left" vertical="center"/>
    </xf>
    <xf numFmtId="10" fontId="24" fillId="20" borderId="439" applyNumberFormat="0" applyBorder="0" applyAlignment="0" applyProtection="0"/>
    <xf numFmtId="0" fontId="25" fillId="0" borderId="440">
      <alignment horizontal="left" vertical="center"/>
    </xf>
    <xf numFmtId="0" fontId="25" fillId="0" borderId="392">
      <alignment horizontal="left" vertical="center"/>
    </xf>
    <xf numFmtId="10" fontId="24" fillId="20" borderId="391" applyNumberFormat="0" applyBorder="0" applyAlignment="0" applyProtection="0"/>
    <xf numFmtId="0" fontId="75" fillId="10" borderId="394" applyNumberFormat="0" applyAlignment="0" applyProtection="0">
      <alignment vertical="center"/>
    </xf>
    <xf numFmtId="0" fontId="71" fillId="19" borderId="396" applyNumberFormat="0" applyAlignment="0" applyProtection="0">
      <alignment vertical="center"/>
    </xf>
    <xf numFmtId="0" fontId="70" fillId="0" borderId="395" applyNumberFormat="0" applyFill="0" applyAlignment="0" applyProtection="0">
      <alignment vertical="center"/>
    </xf>
    <xf numFmtId="0" fontId="65" fillId="19" borderId="394" applyNumberFormat="0" applyAlignment="0" applyProtection="0">
      <alignment vertical="center"/>
    </xf>
    <xf numFmtId="0" fontId="10" fillId="20" borderId="393" applyNumberFormat="0" applyFont="0" applyAlignment="0" applyProtection="0">
      <alignment vertical="center"/>
    </xf>
    <xf numFmtId="0" fontId="62" fillId="20" borderId="393" applyNumberFormat="0" applyFont="0" applyAlignment="0" applyProtection="0">
      <alignment vertical="center"/>
    </xf>
    <xf numFmtId="0" fontId="25" fillId="0" borderId="392">
      <alignment horizontal="left" vertical="center"/>
    </xf>
    <xf numFmtId="10" fontId="24" fillId="20" borderId="391" applyNumberFormat="0" applyBorder="0" applyAlignment="0" applyProtection="0"/>
    <xf numFmtId="0" fontId="62" fillId="20" borderId="441" applyNumberFormat="0" applyFont="0" applyAlignment="0" applyProtection="0">
      <alignment vertical="center"/>
    </xf>
    <xf numFmtId="0" fontId="10" fillId="20" borderId="441" applyNumberFormat="0" applyFont="0" applyAlignment="0" applyProtection="0">
      <alignment vertical="center"/>
    </xf>
    <xf numFmtId="0" fontId="65" fillId="19" borderId="442" applyNumberFormat="0" applyAlignment="0" applyProtection="0">
      <alignment vertical="center"/>
    </xf>
    <xf numFmtId="0" fontId="70" fillId="0" borderId="443" applyNumberFormat="0" applyFill="0" applyAlignment="0" applyProtection="0">
      <alignment vertical="center"/>
    </xf>
    <xf numFmtId="0" fontId="71" fillId="19" borderId="444" applyNumberFormat="0" applyAlignment="0" applyProtection="0">
      <alignment vertical="center"/>
    </xf>
    <xf numFmtId="0" fontId="75" fillId="10" borderId="442" applyNumberFormat="0" applyAlignment="0" applyProtection="0">
      <alignment vertical="center"/>
    </xf>
    <xf numFmtId="0" fontId="62" fillId="20" borderId="471" applyNumberFormat="0" applyFont="0" applyAlignment="0" applyProtection="0">
      <alignment vertical="center"/>
    </xf>
    <xf numFmtId="0" fontId="25" fillId="0" borderId="440">
      <alignment horizontal="left" vertical="center"/>
    </xf>
    <xf numFmtId="10" fontId="24" fillId="20" borderId="439" applyNumberFormat="0" applyBorder="0" applyAlignment="0" applyProtection="0"/>
    <xf numFmtId="0" fontId="70" fillId="0" borderId="473" applyNumberFormat="0" applyFill="0" applyAlignment="0" applyProtection="0">
      <alignment vertical="center"/>
    </xf>
    <xf numFmtId="0" fontId="62" fillId="20" borderId="441" applyNumberFormat="0" applyFont="0" applyAlignment="0" applyProtection="0">
      <alignment vertical="center"/>
    </xf>
    <xf numFmtId="0" fontId="10" fillId="20" borderId="441" applyNumberFormat="0" applyFont="0" applyAlignment="0" applyProtection="0">
      <alignment vertical="center"/>
    </xf>
    <xf numFmtId="0" fontId="65" fillId="19" borderId="442" applyNumberFormat="0" applyAlignment="0" applyProtection="0">
      <alignment vertical="center"/>
    </xf>
    <xf numFmtId="0" fontId="70" fillId="0" borderId="443" applyNumberFormat="0" applyFill="0" applyAlignment="0" applyProtection="0">
      <alignment vertical="center"/>
    </xf>
    <xf numFmtId="0" fontId="71" fillId="19" borderId="444" applyNumberFormat="0" applyAlignment="0" applyProtection="0">
      <alignment vertical="center"/>
    </xf>
    <xf numFmtId="0" fontId="75" fillId="10" borderId="442" applyNumberFormat="0" applyAlignment="0" applyProtection="0">
      <alignment vertical="center"/>
    </xf>
    <xf numFmtId="0" fontId="10" fillId="20" borderId="471" applyNumberFormat="0" applyFont="0" applyAlignment="0" applyProtection="0">
      <alignment vertical="center"/>
    </xf>
    <xf numFmtId="0" fontId="70" fillId="0" borderId="455" applyNumberFormat="0" applyFill="0" applyAlignment="0" applyProtection="0">
      <alignment vertical="center"/>
    </xf>
    <xf numFmtId="0" fontId="71" fillId="19" borderId="456" applyNumberFormat="0" applyAlignment="0" applyProtection="0">
      <alignment vertical="center"/>
    </xf>
    <xf numFmtId="0" fontId="75" fillId="10" borderId="454" applyNumberFormat="0" applyAlignment="0" applyProtection="0">
      <alignment vertical="center"/>
    </xf>
    <xf numFmtId="0" fontId="62" fillId="20" borderId="453" applyNumberFormat="0" applyFont="0" applyAlignment="0" applyProtection="0">
      <alignment vertical="center"/>
    </xf>
    <xf numFmtId="0" fontId="10" fillId="20" borderId="453" applyNumberFormat="0" applyFont="0" applyAlignment="0" applyProtection="0">
      <alignment vertical="center"/>
    </xf>
    <xf numFmtId="0" fontId="65" fillId="19" borderId="454" applyNumberFormat="0" applyAlignment="0" applyProtection="0">
      <alignment vertical="center"/>
    </xf>
    <xf numFmtId="0" fontId="70" fillId="0" borderId="455" applyNumberFormat="0" applyFill="0" applyAlignment="0" applyProtection="0">
      <alignment vertical="center"/>
    </xf>
    <xf numFmtId="0" fontId="71" fillId="19" borderId="456" applyNumberFormat="0" applyAlignment="0" applyProtection="0">
      <alignment vertical="center"/>
    </xf>
    <xf numFmtId="0" fontId="75" fillId="10" borderId="454" applyNumberFormat="0" applyAlignment="0" applyProtection="0">
      <alignment vertical="center"/>
    </xf>
    <xf numFmtId="0" fontId="25" fillId="0" borderId="464">
      <alignment horizontal="left" vertical="center"/>
    </xf>
    <xf numFmtId="10" fontId="24" fillId="20" borderId="451" applyNumberFormat="0" applyBorder="0" applyAlignment="0" applyProtection="0"/>
    <xf numFmtId="0" fontId="25" fillId="0" borderId="452">
      <alignment horizontal="left" vertical="center"/>
    </xf>
    <xf numFmtId="0" fontId="25" fillId="0" borderId="458">
      <alignment horizontal="left" vertical="center"/>
    </xf>
    <xf numFmtId="10" fontId="24" fillId="20" borderId="457" applyNumberFormat="0" applyBorder="0" applyAlignment="0" applyProtection="0"/>
    <xf numFmtId="0" fontId="75" fillId="10" borderId="454" applyNumberFormat="0" applyAlignment="0" applyProtection="0">
      <alignment vertical="center"/>
    </xf>
    <xf numFmtId="0" fontId="71" fillId="19" borderId="456" applyNumberFormat="0" applyAlignment="0" applyProtection="0">
      <alignment vertical="center"/>
    </xf>
    <xf numFmtId="0" fontId="70" fillId="0" borderId="455" applyNumberFormat="0" applyFill="0" applyAlignment="0" applyProtection="0">
      <alignment vertical="center"/>
    </xf>
    <xf numFmtId="0" fontId="65" fillId="19" borderId="454" applyNumberFormat="0" applyAlignment="0" applyProtection="0">
      <alignment vertical="center"/>
    </xf>
    <xf numFmtId="0" fontId="10" fillId="20" borderId="453" applyNumberFormat="0" applyFont="0" applyAlignment="0" applyProtection="0">
      <alignment vertical="center"/>
    </xf>
    <xf numFmtId="0" fontId="62" fillId="20" borderId="453" applyNumberFormat="0" applyFont="0" applyAlignment="0" applyProtection="0">
      <alignment vertical="center"/>
    </xf>
    <xf numFmtId="0" fontId="25" fillId="0" borderId="458">
      <alignment horizontal="left" vertical="center"/>
    </xf>
    <xf numFmtId="10" fontId="24" fillId="20" borderId="457" applyNumberFormat="0" applyBorder="0" applyAlignment="0" applyProtection="0"/>
    <xf numFmtId="0" fontId="62" fillId="20" borderId="459" applyNumberFormat="0" applyFont="0" applyAlignment="0" applyProtection="0">
      <alignment vertical="center"/>
    </xf>
    <xf numFmtId="0" fontId="10" fillId="20" borderId="459" applyNumberFormat="0" applyFont="0" applyAlignment="0" applyProtection="0">
      <alignment vertical="center"/>
    </xf>
    <xf numFmtId="0" fontId="65" fillId="19" borderId="460" applyNumberFormat="0" applyAlignment="0" applyProtection="0">
      <alignment vertical="center"/>
    </xf>
    <xf numFmtId="0" fontId="70" fillId="0" borderId="461" applyNumberFormat="0" applyFill="0" applyAlignment="0" applyProtection="0">
      <alignment vertical="center"/>
    </xf>
    <xf numFmtId="0" fontId="71" fillId="19" borderId="462" applyNumberFormat="0" applyAlignment="0" applyProtection="0">
      <alignment vertical="center"/>
    </xf>
    <xf numFmtId="0" fontId="75" fillId="10" borderId="460" applyNumberFormat="0" applyAlignment="0" applyProtection="0">
      <alignment vertical="center"/>
    </xf>
    <xf numFmtId="0" fontId="25" fillId="0" borderId="452">
      <alignment horizontal="left" vertical="center"/>
    </xf>
    <xf numFmtId="10" fontId="24" fillId="20" borderId="451" applyNumberFormat="0" applyBorder="0" applyAlignment="0" applyProtection="0"/>
    <xf numFmtId="0" fontId="62" fillId="20" borderId="459" applyNumberFormat="0" applyFont="0" applyAlignment="0" applyProtection="0">
      <alignment vertical="center"/>
    </xf>
    <xf numFmtId="0" fontId="10" fillId="20" borderId="459" applyNumberFormat="0" applyFont="0" applyAlignment="0" applyProtection="0">
      <alignment vertical="center"/>
    </xf>
    <xf numFmtId="0" fontId="65" fillId="19" borderId="460" applyNumberFormat="0" applyAlignment="0" applyProtection="0">
      <alignment vertical="center"/>
    </xf>
    <xf numFmtId="0" fontId="70" fillId="0" borderId="461" applyNumberFormat="0" applyFill="0" applyAlignment="0" applyProtection="0">
      <alignment vertical="center"/>
    </xf>
    <xf numFmtId="0" fontId="71" fillId="19" borderId="462" applyNumberFormat="0" applyAlignment="0" applyProtection="0">
      <alignment vertical="center"/>
    </xf>
    <xf numFmtId="0" fontId="75" fillId="10" borderId="460" applyNumberFormat="0" applyAlignment="0" applyProtection="0">
      <alignment vertical="center"/>
    </xf>
    <xf numFmtId="0" fontId="75" fillId="10" borderId="478" applyNumberFormat="0" applyAlignment="0" applyProtection="0">
      <alignment vertical="center"/>
    </xf>
    <xf numFmtId="0" fontId="62" fillId="20" borderId="477" applyNumberFormat="0" applyFont="0" applyAlignment="0" applyProtection="0">
      <alignment vertical="center"/>
    </xf>
    <xf numFmtId="0" fontId="10" fillId="20" borderId="477" applyNumberFormat="0" applyFont="0" applyAlignment="0" applyProtection="0">
      <alignment vertical="center"/>
    </xf>
    <xf numFmtId="0" fontId="65" fillId="19" borderId="478" applyNumberFormat="0" applyAlignment="0" applyProtection="0">
      <alignment vertical="center"/>
    </xf>
    <xf numFmtId="0" fontId="70" fillId="0" borderId="479" applyNumberFormat="0" applyFill="0" applyAlignment="0" applyProtection="0">
      <alignment vertical="center"/>
    </xf>
    <xf numFmtId="0" fontId="71" fillId="19" borderId="480" applyNumberFormat="0" applyAlignment="0" applyProtection="0">
      <alignment vertical="center"/>
    </xf>
    <xf numFmtId="0" fontId="75" fillId="10" borderId="478" applyNumberFormat="0" applyAlignment="0" applyProtection="0">
      <alignment vertical="center"/>
    </xf>
    <xf numFmtId="0" fontId="62" fillId="20" borderId="477" applyNumberFormat="0" applyFont="0" applyAlignment="0" applyProtection="0">
      <alignment vertical="center"/>
    </xf>
    <xf numFmtId="0" fontId="10" fillId="20" borderId="477" applyNumberFormat="0" applyFont="0" applyAlignment="0" applyProtection="0">
      <alignment vertical="center"/>
    </xf>
    <xf numFmtId="0" fontId="65" fillId="19" borderId="478" applyNumberFormat="0" applyAlignment="0" applyProtection="0">
      <alignment vertical="center"/>
    </xf>
    <xf numFmtId="0" fontId="70" fillId="0" borderId="479" applyNumberFormat="0" applyFill="0" applyAlignment="0" applyProtection="0">
      <alignment vertical="center"/>
    </xf>
    <xf numFmtId="0" fontId="71" fillId="19" borderId="480" applyNumberFormat="0" applyAlignment="0" applyProtection="0">
      <alignment vertical="center"/>
    </xf>
    <xf numFmtId="0" fontId="75" fillId="10" borderId="478" applyNumberFormat="0" applyAlignment="0" applyProtection="0">
      <alignment vertical="center"/>
    </xf>
    <xf numFmtId="10" fontId="24" fillId="20" borderId="475" applyNumberFormat="0" applyBorder="0" applyAlignment="0" applyProtection="0"/>
    <xf numFmtId="0" fontId="25" fillId="0" borderId="476">
      <alignment horizontal="left" vertical="center"/>
    </xf>
    <xf numFmtId="0" fontId="25" fillId="0" borderId="482">
      <alignment horizontal="left" vertical="center"/>
    </xf>
    <xf numFmtId="10" fontId="24" fillId="20" borderId="481" applyNumberFormat="0" applyBorder="0" applyAlignment="0" applyProtection="0"/>
    <xf numFmtId="0" fontId="75" fillId="10" borderId="478" applyNumberFormat="0" applyAlignment="0" applyProtection="0">
      <alignment vertical="center"/>
    </xf>
    <xf numFmtId="0" fontId="71" fillId="19" borderId="480" applyNumberFormat="0" applyAlignment="0" applyProtection="0">
      <alignment vertical="center"/>
    </xf>
    <xf numFmtId="0" fontId="70" fillId="0" borderId="479" applyNumberFormat="0" applyFill="0" applyAlignment="0" applyProtection="0">
      <alignment vertical="center"/>
    </xf>
    <xf numFmtId="0" fontId="65" fillId="19" borderId="478" applyNumberFormat="0" applyAlignment="0" applyProtection="0">
      <alignment vertical="center"/>
    </xf>
    <xf numFmtId="0" fontId="10" fillId="20" borderId="477" applyNumberFormat="0" applyFont="0" applyAlignment="0" applyProtection="0">
      <alignment vertical="center"/>
    </xf>
    <xf numFmtId="0" fontId="62" fillId="20" borderId="477" applyNumberFormat="0" applyFont="0" applyAlignment="0" applyProtection="0">
      <alignment vertical="center"/>
    </xf>
    <xf numFmtId="0" fontId="25" fillId="0" borderId="482">
      <alignment horizontal="left" vertical="center"/>
    </xf>
    <xf numFmtId="10" fontId="24" fillId="20" borderId="481" applyNumberFormat="0" applyBorder="0" applyAlignment="0" applyProtection="0"/>
    <xf numFmtId="0" fontId="62" fillId="20" borderId="483" applyNumberFormat="0" applyFont="0" applyAlignment="0" applyProtection="0">
      <alignment vertical="center"/>
    </xf>
    <xf numFmtId="0" fontId="10" fillId="20" borderId="483" applyNumberFormat="0" applyFont="0" applyAlignment="0" applyProtection="0">
      <alignment vertical="center"/>
    </xf>
    <xf numFmtId="0" fontId="65" fillId="19" borderId="484" applyNumberFormat="0" applyAlignment="0" applyProtection="0">
      <alignment vertical="center"/>
    </xf>
    <xf numFmtId="0" fontId="70" fillId="0" borderId="485" applyNumberFormat="0" applyFill="0" applyAlignment="0" applyProtection="0">
      <alignment vertical="center"/>
    </xf>
    <xf numFmtId="0" fontId="71" fillId="19" borderId="486" applyNumberFormat="0" applyAlignment="0" applyProtection="0">
      <alignment vertical="center"/>
    </xf>
    <xf numFmtId="0" fontId="75" fillId="10" borderId="484" applyNumberFormat="0" applyAlignment="0" applyProtection="0">
      <alignment vertical="center"/>
    </xf>
    <xf numFmtId="0" fontId="25" fillId="0" borderId="476">
      <alignment horizontal="left" vertical="center"/>
    </xf>
    <xf numFmtId="10" fontId="24" fillId="20" borderId="475" applyNumberFormat="0" applyBorder="0" applyAlignment="0" applyProtection="0"/>
    <xf numFmtId="0" fontId="62" fillId="20" borderId="483" applyNumberFormat="0" applyFont="0" applyAlignment="0" applyProtection="0">
      <alignment vertical="center"/>
    </xf>
    <xf numFmtId="0" fontId="10" fillId="20" borderId="483" applyNumberFormat="0" applyFont="0" applyAlignment="0" applyProtection="0">
      <alignment vertical="center"/>
    </xf>
    <xf numFmtId="0" fontId="65" fillId="19" borderId="484" applyNumberFormat="0" applyAlignment="0" applyProtection="0">
      <alignment vertical="center"/>
    </xf>
    <xf numFmtId="0" fontId="70" fillId="0" borderId="485" applyNumberFormat="0" applyFill="0" applyAlignment="0" applyProtection="0">
      <alignment vertical="center"/>
    </xf>
    <xf numFmtId="0" fontId="71" fillId="19" borderId="486" applyNumberFormat="0" applyAlignment="0" applyProtection="0">
      <alignment vertical="center"/>
    </xf>
    <xf numFmtId="0" fontId="75" fillId="10" borderId="484" applyNumberFormat="0" applyAlignment="0" applyProtection="0">
      <alignment vertical="center"/>
    </xf>
    <xf numFmtId="0" fontId="71" fillId="19" borderId="474" applyNumberFormat="0" applyAlignment="0" applyProtection="0">
      <alignment vertical="center"/>
    </xf>
    <xf numFmtId="0" fontId="70" fillId="0" borderId="473" applyNumberFormat="0" applyFill="0" applyAlignment="0" applyProtection="0">
      <alignment vertical="center"/>
    </xf>
    <xf numFmtId="0" fontId="71" fillId="19" borderId="474" applyNumberFormat="0" applyAlignment="0" applyProtection="0">
      <alignment vertical="center"/>
    </xf>
    <xf numFmtId="0" fontId="70" fillId="0" borderId="473" applyNumberFormat="0" applyFill="0" applyAlignment="0" applyProtection="0">
      <alignment vertical="center"/>
    </xf>
    <xf numFmtId="0" fontId="65" fillId="19" borderId="472" applyNumberFormat="0" applyAlignment="0" applyProtection="0">
      <alignment vertical="center"/>
    </xf>
    <xf numFmtId="0" fontId="62" fillId="20" borderId="459" applyNumberFormat="0" applyFont="0" applyAlignment="0" applyProtection="0">
      <alignment vertical="center"/>
    </xf>
    <xf numFmtId="0" fontId="10" fillId="20" borderId="471" applyNumberFormat="0" applyFont="0" applyAlignment="0" applyProtection="0">
      <alignment vertical="center"/>
    </xf>
    <xf numFmtId="0" fontId="62" fillId="20" borderId="471" applyNumberFormat="0" applyFont="0" applyAlignment="0" applyProtection="0">
      <alignment vertical="center"/>
    </xf>
    <xf numFmtId="0" fontId="10" fillId="20" borderId="471" applyNumberFormat="0" applyFont="0" applyAlignment="0" applyProtection="0">
      <alignment vertical="center"/>
    </xf>
    <xf numFmtId="0" fontId="25" fillId="0" borderId="476">
      <alignment horizontal="left" vertical="center"/>
    </xf>
    <xf numFmtId="0" fontId="65" fillId="19" borderId="460" applyNumberFormat="0" applyAlignment="0" applyProtection="0">
      <alignment vertical="center"/>
    </xf>
    <xf numFmtId="0" fontId="70" fillId="0" borderId="461" applyNumberFormat="0" applyFill="0" applyAlignment="0" applyProtection="0">
      <alignment vertical="center"/>
    </xf>
    <xf numFmtId="0" fontId="10" fillId="20" borderId="477" applyNumberFormat="0" applyFont="0" applyAlignment="0" applyProtection="0">
      <alignment vertical="center"/>
    </xf>
    <xf numFmtId="10" fontId="24" fillId="20" borderId="463" applyNumberFormat="0" applyBorder="0" applyAlignment="0" applyProtection="0"/>
    <xf numFmtId="10" fontId="24" fillId="20" borderId="475" applyNumberFormat="0" applyBorder="0" applyAlignment="0" applyProtection="0"/>
    <xf numFmtId="10" fontId="24" fillId="20" borderId="475" applyNumberFormat="0" applyBorder="0" applyAlignment="0" applyProtection="0"/>
    <xf numFmtId="0" fontId="25" fillId="0" borderId="476">
      <alignment horizontal="left" vertical="center"/>
    </xf>
    <xf numFmtId="0" fontId="62" fillId="20" borderId="459" applyNumberFormat="0" applyFont="0" applyAlignment="0" applyProtection="0">
      <alignment vertical="center"/>
    </xf>
    <xf numFmtId="0" fontId="10" fillId="20" borderId="459" applyNumberFormat="0" applyFont="0" applyAlignment="0" applyProtection="0">
      <alignment vertical="center"/>
    </xf>
    <xf numFmtId="0" fontId="62" fillId="20" borderId="471" applyNumberFormat="0" applyFont="0" applyAlignment="0" applyProtection="0">
      <alignment vertical="center"/>
    </xf>
    <xf numFmtId="0" fontId="65" fillId="19" borderId="460" applyNumberFormat="0" applyAlignment="0" applyProtection="0">
      <alignment vertical="center"/>
    </xf>
    <xf numFmtId="0" fontId="71" fillId="19" borderId="462" applyNumberFormat="0" applyAlignment="0" applyProtection="0">
      <alignment vertical="center"/>
    </xf>
    <xf numFmtId="0" fontId="71" fillId="19" borderId="462" applyNumberFormat="0" applyAlignment="0" applyProtection="0">
      <alignment vertical="center"/>
    </xf>
    <xf numFmtId="0" fontId="75" fillId="10" borderId="460" applyNumberFormat="0" applyAlignment="0" applyProtection="0">
      <alignment vertical="center"/>
    </xf>
    <xf numFmtId="0" fontId="70" fillId="0" borderId="461" applyNumberFormat="0" applyFill="0" applyAlignment="0" applyProtection="0">
      <alignment vertical="center"/>
    </xf>
    <xf numFmtId="0" fontId="75" fillId="10" borderId="460" applyNumberFormat="0" applyAlignment="0" applyProtection="0">
      <alignment vertical="center"/>
    </xf>
    <xf numFmtId="0" fontId="25" fillId="0" borderId="476">
      <alignment horizontal="left" vertical="center"/>
    </xf>
    <xf numFmtId="10" fontId="24" fillId="20" borderId="475" applyNumberFormat="0" applyBorder="0" applyAlignment="0" applyProtection="0"/>
    <xf numFmtId="0" fontId="62" fillId="20" borderId="477" applyNumberFormat="0" applyFont="0" applyAlignment="0" applyProtection="0">
      <alignment vertical="center"/>
    </xf>
    <xf numFmtId="0" fontId="10" fillId="20" borderId="477" applyNumberFormat="0" applyFont="0" applyAlignment="0" applyProtection="0">
      <alignment vertical="center"/>
    </xf>
    <xf numFmtId="0" fontId="65" fillId="19" borderId="478" applyNumberFormat="0" applyAlignment="0" applyProtection="0">
      <alignment vertical="center"/>
    </xf>
    <xf numFmtId="0" fontId="70" fillId="0" borderId="479" applyNumberFormat="0" applyFill="0" applyAlignment="0" applyProtection="0">
      <alignment vertical="center"/>
    </xf>
    <xf numFmtId="0" fontId="71" fillId="19" borderId="480" applyNumberFormat="0" applyAlignment="0" applyProtection="0">
      <alignment vertical="center"/>
    </xf>
    <xf numFmtId="0" fontId="75" fillId="10" borderId="478" applyNumberFormat="0" applyAlignment="0" applyProtection="0">
      <alignment vertical="center"/>
    </xf>
    <xf numFmtId="0" fontId="25" fillId="0" borderId="476">
      <alignment horizontal="left" vertical="center"/>
    </xf>
    <xf numFmtId="10" fontId="24" fillId="20" borderId="475" applyNumberFormat="0" applyBorder="0" applyAlignment="0" applyProtection="0"/>
    <xf numFmtId="0" fontId="75" fillId="10" borderId="472" applyNumberFormat="0" applyAlignment="0" applyProtection="0">
      <alignment vertical="center"/>
    </xf>
    <xf numFmtId="0" fontId="75" fillId="10" borderId="472" applyNumberFormat="0" applyAlignment="0" applyProtection="0">
      <alignment vertical="center"/>
    </xf>
    <xf numFmtId="10" fontId="24" fillId="20" borderId="463" applyNumberFormat="0" applyBorder="0" applyAlignment="0" applyProtection="0"/>
    <xf numFmtId="0" fontId="62" fillId="20" borderId="477" applyNumberFormat="0" applyFont="0" applyAlignment="0" applyProtection="0">
      <alignment vertical="center"/>
    </xf>
    <xf numFmtId="0" fontId="65" fillId="19" borderId="478" applyNumberFormat="0" applyAlignment="0" applyProtection="0">
      <alignment vertical="center"/>
    </xf>
    <xf numFmtId="0" fontId="75" fillId="10" borderId="478" applyNumberFormat="0" applyAlignment="0" applyProtection="0">
      <alignment vertical="center"/>
    </xf>
    <xf numFmtId="0" fontId="25" fillId="0" borderId="470">
      <alignment horizontal="left" vertical="center"/>
    </xf>
    <xf numFmtId="10" fontId="24" fillId="20" borderId="475" applyNumberFormat="0" applyBorder="0" applyAlignment="0" applyProtection="0"/>
    <xf numFmtId="0" fontId="62" fillId="20" borderId="471" applyNumberFormat="0" applyFont="0" applyAlignment="0" applyProtection="0">
      <alignment vertical="center"/>
    </xf>
    <xf numFmtId="0" fontId="10" fillId="20" borderId="471" applyNumberFormat="0" applyFont="0" applyAlignment="0" applyProtection="0">
      <alignment vertical="center"/>
    </xf>
    <xf numFmtId="0" fontId="10" fillId="20" borderId="459" applyNumberFormat="0" applyFont="0" applyAlignment="0" applyProtection="0">
      <alignment vertical="center"/>
    </xf>
    <xf numFmtId="0" fontId="65" fillId="19" borderId="472" applyNumberFormat="0" applyAlignment="0" applyProtection="0">
      <alignment vertical="center"/>
    </xf>
    <xf numFmtId="0" fontId="65" fillId="19" borderId="472" applyNumberFormat="0" applyAlignment="0" applyProtection="0">
      <alignment vertical="center"/>
    </xf>
    <xf numFmtId="0" fontId="70" fillId="0" borderId="473" applyNumberFormat="0" applyFill="0" applyAlignment="0" applyProtection="0">
      <alignment vertical="center"/>
    </xf>
    <xf numFmtId="0" fontId="71" fillId="19" borderId="474" applyNumberFormat="0" applyAlignment="0" applyProtection="0">
      <alignment vertical="center"/>
    </xf>
    <xf numFmtId="0" fontId="75" fillId="10" borderId="472" applyNumberFormat="0" applyAlignment="0" applyProtection="0">
      <alignment vertical="center"/>
    </xf>
    <xf numFmtId="0" fontId="71" fillId="19" borderId="480" applyNumberFormat="0" applyAlignment="0" applyProtection="0">
      <alignment vertical="center"/>
    </xf>
    <xf numFmtId="0" fontId="70" fillId="0" borderId="479" applyNumberFormat="0" applyFill="0" applyAlignment="0" applyProtection="0">
      <alignment vertical="center"/>
    </xf>
    <xf numFmtId="0" fontId="25" fillId="0" borderId="476">
      <alignment horizontal="left" vertical="center"/>
    </xf>
    <xf numFmtId="10" fontId="24" fillId="20" borderId="475" applyNumberFormat="0" applyBorder="0" applyAlignment="0" applyProtection="0"/>
    <xf numFmtId="0" fontId="62" fillId="20" borderId="471" applyNumberFormat="0" applyFont="0" applyAlignment="0" applyProtection="0">
      <alignment vertical="center"/>
    </xf>
    <xf numFmtId="0" fontId="10" fillId="20" borderId="471" applyNumberFormat="0" applyFont="0" applyAlignment="0" applyProtection="0">
      <alignment vertical="center"/>
    </xf>
    <xf numFmtId="0" fontId="65" fillId="19" borderId="472" applyNumberFormat="0" applyAlignment="0" applyProtection="0">
      <alignment vertical="center"/>
    </xf>
    <xf numFmtId="0" fontId="70" fillId="0" borderId="473" applyNumberFormat="0" applyFill="0" applyAlignment="0" applyProtection="0">
      <alignment vertical="center"/>
    </xf>
    <xf numFmtId="0" fontId="71" fillId="19" borderId="474" applyNumberFormat="0" applyAlignment="0" applyProtection="0">
      <alignment vertical="center"/>
    </xf>
    <xf numFmtId="0" fontId="75" fillId="10" borderId="472" applyNumberFormat="0" applyAlignment="0" applyProtection="0">
      <alignment vertical="center"/>
    </xf>
    <xf numFmtId="0" fontId="25" fillId="0" borderId="476">
      <alignment horizontal="left" vertical="center"/>
    </xf>
    <xf numFmtId="10" fontId="24" fillId="20" borderId="475" applyNumberFormat="0" applyBorder="0" applyAlignment="0" applyProtection="0"/>
    <xf numFmtId="0" fontId="25" fillId="0" borderId="470">
      <alignment horizontal="left" vertical="center"/>
    </xf>
    <xf numFmtId="10" fontId="24" fillId="20" borderId="463" applyNumberFormat="0" applyBorder="0" applyAlignment="0" applyProtection="0"/>
    <xf numFmtId="0" fontId="62" fillId="20" borderId="459" applyNumberFormat="0" applyFont="0" applyAlignment="0" applyProtection="0">
      <alignment vertical="center"/>
    </xf>
    <xf numFmtId="0" fontId="10" fillId="20" borderId="459" applyNumberFormat="0" applyFont="0" applyAlignment="0" applyProtection="0">
      <alignment vertical="center"/>
    </xf>
    <xf numFmtId="0" fontId="65" fillId="19" borderId="460" applyNumberFormat="0" applyAlignment="0" applyProtection="0">
      <alignment vertical="center"/>
    </xf>
    <xf numFmtId="0" fontId="70" fillId="0" borderId="461" applyNumberFormat="0" applyFill="0" applyAlignment="0" applyProtection="0">
      <alignment vertical="center"/>
    </xf>
    <xf numFmtId="0" fontId="71" fillId="19" borderId="462" applyNumberFormat="0" applyAlignment="0" applyProtection="0">
      <alignment vertical="center"/>
    </xf>
    <xf numFmtId="0" fontId="75" fillId="10" borderId="460" applyNumberFormat="0" applyAlignment="0" applyProtection="0">
      <alignment vertical="center"/>
    </xf>
    <xf numFmtId="0" fontId="25" fillId="0" borderId="470">
      <alignment horizontal="left" vertical="center"/>
    </xf>
    <xf numFmtId="10" fontId="24" fillId="20" borderId="463" applyNumberFormat="0" applyBorder="0" applyAlignment="0" applyProtection="0"/>
    <xf numFmtId="0" fontId="25" fillId="0" borderId="476">
      <alignment horizontal="left" vertical="center"/>
    </xf>
    <xf numFmtId="0" fontId="62" fillId="20" borderId="487" applyNumberFormat="0" applyFont="0" applyAlignment="0" applyProtection="0">
      <alignment vertical="center"/>
    </xf>
    <xf numFmtId="0" fontId="10" fillId="20" borderId="487" applyNumberFormat="0" applyFont="0" applyAlignment="0" applyProtection="0">
      <alignment vertical="center"/>
    </xf>
    <xf numFmtId="0" fontId="65" fillId="19" borderId="488" applyNumberFormat="0" applyAlignment="0" applyProtection="0">
      <alignment vertical="center"/>
    </xf>
    <xf numFmtId="0" fontId="70" fillId="0" borderId="489" applyNumberFormat="0" applyFill="0" applyAlignment="0" applyProtection="0">
      <alignment vertical="center"/>
    </xf>
    <xf numFmtId="0" fontId="71" fillId="19" borderId="490" applyNumberFormat="0" applyAlignment="0" applyProtection="0">
      <alignment vertical="center"/>
    </xf>
    <xf numFmtId="0" fontId="75" fillId="10" borderId="488" applyNumberFormat="0" applyAlignment="0" applyProtection="0">
      <alignment vertical="center"/>
    </xf>
    <xf numFmtId="0" fontId="2" fillId="0" borderId="0">
      <alignment vertical="center"/>
    </xf>
    <xf numFmtId="0" fontId="71" fillId="19" borderId="553" applyNumberFormat="0" applyAlignment="0" applyProtection="0">
      <alignment vertical="center"/>
    </xf>
    <xf numFmtId="10" fontId="24" fillId="20" borderId="528" applyNumberFormat="0" applyBorder="0" applyAlignment="0" applyProtection="0"/>
    <xf numFmtId="0" fontId="25" fillId="0" borderId="529">
      <alignment horizontal="left" vertical="center"/>
    </xf>
    <xf numFmtId="0" fontId="25" fillId="0" borderId="535">
      <alignment horizontal="left" vertical="center"/>
    </xf>
    <xf numFmtId="0" fontId="71" fillId="19" borderId="539" applyNumberFormat="0" applyAlignment="0" applyProtection="0">
      <alignment vertical="center"/>
    </xf>
    <xf numFmtId="0" fontId="70" fillId="0" borderId="538" applyNumberFormat="0" applyFill="0" applyAlignment="0" applyProtection="0">
      <alignment vertical="center"/>
    </xf>
    <xf numFmtId="0" fontId="25" fillId="0" borderId="493">
      <alignment horizontal="left" vertical="center"/>
    </xf>
    <xf numFmtId="10" fontId="24" fillId="20" borderId="497" applyNumberFormat="0" applyBorder="0" applyAlignment="0" applyProtection="0"/>
    <xf numFmtId="0" fontId="10" fillId="20" borderId="536" applyNumberFormat="0" applyFont="0" applyAlignment="0" applyProtection="0">
      <alignment vertical="center"/>
    </xf>
    <xf numFmtId="0" fontId="75" fillId="10" borderId="525" applyNumberFormat="0" applyAlignment="0" applyProtection="0">
      <alignment vertical="center"/>
    </xf>
    <xf numFmtId="0" fontId="71" fillId="19" borderId="527" applyNumberFormat="0" applyAlignment="0" applyProtection="0">
      <alignment vertical="center"/>
    </xf>
    <xf numFmtId="0" fontId="70" fillId="0" borderId="526" applyNumberFormat="0" applyFill="0" applyAlignment="0" applyProtection="0">
      <alignment vertical="center"/>
    </xf>
    <xf numFmtId="0" fontId="65" fillId="19" borderId="525" applyNumberFormat="0" applyAlignment="0" applyProtection="0">
      <alignment vertical="center"/>
    </xf>
    <xf numFmtId="0" fontId="10" fillId="20" borderId="524" applyNumberFormat="0" applyFont="0" applyAlignment="0" applyProtection="0">
      <alignment vertical="center"/>
    </xf>
    <xf numFmtId="0" fontId="62" fillId="20" borderId="524" applyNumberFormat="0" applyFont="0" applyAlignment="0" applyProtection="0">
      <alignment vertical="center"/>
    </xf>
    <xf numFmtId="0" fontId="62" fillId="20" borderId="536" applyNumberFormat="0" applyFont="0" applyAlignment="0" applyProtection="0">
      <alignment vertical="center"/>
    </xf>
    <xf numFmtId="0" fontId="10" fillId="20" borderId="536" applyNumberFormat="0" applyFont="0" applyAlignment="0" applyProtection="0">
      <alignment vertical="center"/>
    </xf>
    <xf numFmtId="0" fontId="62" fillId="20" borderId="512" applyNumberFormat="0" applyFont="0" applyAlignment="0" applyProtection="0">
      <alignment vertical="center"/>
    </xf>
    <xf numFmtId="0" fontId="10" fillId="20" borderId="512" applyNumberFormat="0" applyFont="0" applyAlignment="0" applyProtection="0">
      <alignment vertical="center"/>
    </xf>
    <xf numFmtId="0" fontId="71" fillId="19" borderId="539" applyNumberFormat="0" applyAlignment="0" applyProtection="0">
      <alignment vertical="center"/>
    </xf>
    <xf numFmtId="0" fontId="65" fillId="19" borderId="513" applyNumberFormat="0" applyAlignment="0" applyProtection="0">
      <alignment vertical="center"/>
    </xf>
    <xf numFmtId="0" fontId="75" fillId="10" borderId="537" applyNumberFormat="0" applyAlignment="0" applyProtection="0">
      <alignment vertical="center"/>
    </xf>
    <xf numFmtId="0" fontId="70" fillId="0" borderId="514" applyNumberFormat="0" applyFill="0" applyAlignment="0" applyProtection="0">
      <alignment vertical="center"/>
    </xf>
    <xf numFmtId="0" fontId="71" fillId="19" borderId="515" applyNumberFormat="0" applyAlignment="0" applyProtection="0">
      <alignment vertical="center"/>
    </xf>
    <xf numFmtId="0" fontId="75" fillId="10" borderId="513" applyNumberFormat="0" applyAlignment="0" applyProtection="0">
      <alignment vertical="center"/>
    </xf>
    <xf numFmtId="0" fontId="25" fillId="0" borderId="535">
      <alignment horizontal="left" vertical="center"/>
    </xf>
    <xf numFmtId="10" fontId="24" fillId="20" borderId="540" applyNumberFormat="0" applyBorder="0" applyAlignment="0" applyProtection="0"/>
    <xf numFmtId="0" fontId="10" fillId="20" borderId="541" applyNumberFormat="0" applyFont="0" applyAlignment="0" applyProtection="0">
      <alignment vertical="center"/>
    </xf>
    <xf numFmtId="10" fontId="24" fillId="20" borderId="547" applyNumberFormat="0" applyBorder="0" applyAlignment="0" applyProtection="0"/>
    <xf numFmtId="0" fontId="62" fillId="20" borderId="55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5" fillId="0" borderId="517">
      <alignment horizontal="left" vertical="center"/>
    </xf>
    <xf numFmtId="10" fontId="24" fillId="20" borderId="516" applyNumberFormat="0" applyBorder="0" applyAlignment="0" applyProtection="0"/>
    <xf numFmtId="10" fontId="24" fillId="20" borderId="534" applyNumberFormat="0" applyBorder="0" applyAlignment="0" applyProtection="0"/>
    <xf numFmtId="0" fontId="62" fillId="20" borderId="518" applyNumberFormat="0" applyFont="0" applyAlignment="0" applyProtection="0">
      <alignment vertical="center"/>
    </xf>
    <xf numFmtId="0" fontId="10" fillId="20" borderId="518" applyNumberFormat="0" applyFont="0" applyAlignment="0" applyProtection="0">
      <alignment vertical="center"/>
    </xf>
    <xf numFmtId="0" fontId="70" fillId="0" borderId="538" applyNumberFormat="0" applyFill="0" applyAlignment="0" applyProtection="0">
      <alignment vertical="center"/>
    </xf>
    <xf numFmtId="0" fontId="65" fillId="19" borderId="537" applyNumberFormat="0" applyAlignment="0" applyProtection="0">
      <alignment vertical="center"/>
    </xf>
    <xf numFmtId="0" fontId="65" fillId="19" borderId="519" applyNumberFormat="0" applyAlignment="0" applyProtection="0">
      <alignment vertical="center"/>
    </xf>
    <xf numFmtId="0" fontId="70" fillId="0" borderId="520" applyNumberFormat="0" applyFill="0" applyAlignment="0" applyProtection="0">
      <alignment vertical="center"/>
    </xf>
    <xf numFmtId="0" fontId="71" fillId="19" borderId="521" applyNumberFormat="0" applyAlignment="0" applyProtection="0">
      <alignment vertical="center"/>
    </xf>
    <xf numFmtId="0" fontId="75" fillId="10" borderId="519" applyNumberFormat="0" applyAlignment="0" applyProtection="0">
      <alignment vertical="center"/>
    </xf>
    <xf numFmtId="10" fontId="24" fillId="20" borderId="522" applyNumberFormat="0" applyBorder="0" applyAlignment="0" applyProtection="0"/>
    <xf numFmtId="0" fontId="25" fillId="0" borderId="523">
      <alignment horizontal="left" vertical="center"/>
    </xf>
    <xf numFmtId="0" fontId="25" fillId="0" borderId="548">
      <alignment horizontal="left" vertical="center"/>
    </xf>
    <xf numFmtId="0" fontId="62" fillId="20" borderId="54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5" fillId="19" borderId="551" applyNumberFormat="0" applyAlignment="0" applyProtection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5" fillId="10" borderId="551" applyNumberFormat="0" applyAlignment="0" applyProtection="0">
      <alignment vertical="center"/>
    </xf>
    <xf numFmtId="0" fontId="62" fillId="20" borderId="530" applyNumberFormat="0" applyFont="0" applyAlignment="0" applyProtection="0">
      <alignment vertical="center"/>
    </xf>
    <xf numFmtId="0" fontId="10" fillId="20" borderId="530" applyNumberFormat="0" applyFont="0" applyAlignment="0" applyProtection="0">
      <alignment vertical="center"/>
    </xf>
    <xf numFmtId="0" fontId="65" fillId="19" borderId="531" applyNumberFormat="0" applyAlignment="0" applyProtection="0">
      <alignment vertical="center"/>
    </xf>
    <xf numFmtId="0" fontId="70" fillId="0" borderId="532" applyNumberFormat="0" applyFill="0" applyAlignment="0" applyProtection="0">
      <alignment vertical="center"/>
    </xf>
    <xf numFmtId="0" fontId="71" fillId="19" borderId="533" applyNumberFormat="0" applyAlignment="0" applyProtection="0">
      <alignment vertical="center"/>
    </xf>
    <xf numFmtId="0" fontId="75" fillId="10" borderId="531" applyNumberFormat="0" applyAlignment="0" applyProtection="0">
      <alignment vertical="center"/>
    </xf>
    <xf numFmtId="0" fontId="65" fillId="19" borderId="537" applyNumberFormat="0" applyAlignment="0" applyProtection="0">
      <alignment vertical="center"/>
    </xf>
    <xf numFmtId="10" fontId="24" fillId="20" borderId="534" applyNumberFormat="0" applyBorder="0" applyAlignment="0" applyProtection="0"/>
    <xf numFmtId="0" fontId="62" fillId="20" borderId="536" applyNumberFormat="0" applyFont="0" applyAlignment="0" applyProtection="0">
      <alignment vertical="center"/>
    </xf>
    <xf numFmtId="0" fontId="65" fillId="19" borderId="542" applyNumberFormat="0" applyAlignment="0" applyProtection="0">
      <alignment vertical="center"/>
    </xf>
    <xf numFmtId="0" fontId="70" fillId="0" borderId="543" applyNumberFormat="0" applyFill="0" applyAlignment="0" applyProtection="0">
      <alignment vertical="center"/>
    </xf>
    <xf numFmtId="0" fontId="71" fillId="19" borderId="544" applyNumberFormat="0" applyAlignment="0" applyProtection="0">
      <alignment vertical="center"/>
    </xf>
    <xf numFmtId="0" fontId="75" fillId="10" borderId="542" applyNumberFormat="0" applyAlignment="0" applyProtection="0">
      <alignment vertical="center"/>
    </xf>
    <xf numFmtId="0" fontId="25" fillId="0" borderId="549">
      <alignment horizontal="left" vertical="center"/>
    </xf>
    <xf numFmtId="0" fontId="10" fillId="20" borderId="550" applyNumberFormat="0" applyFont="0" applyAlignment="0" applyProtection="0">
      <alignment vertical="center"/>
    </xf>
    <xf numFmtId="0" fontId="70" fillId="0" borderId="552" applyNumberFormat="0" applyFill="0" applyAlignment="0" applyProtection="0">
      <alignment vertical="center"/>
    </xf>
    <xf numFmtId="0" fontId="78" fillId="0" borderId="0">
      <alignment vertical="center"/>
    </xf>
    <xf numFmtId="0" fontId="75" fillId="10" borderId="537" applyNumberFormat="0" applyAlignment="0" applyProtection="0">
      <alignment vertical="center"/>
    </xf>
    <xf numFmtId="0" fontId="1" fillId="0" borderId="0">
      <alignment vertical="center"/>
    </xf>
  </cellStyleXfs>
  <cellXfs count="517">
    <xf numFmtId="0" fontId="0" fillId="0" borderId="0" xfId="0">
      <alignment vertical="center"/>
    </xf>
    <xf numFmtId="0" fontId="15" fillId="0" borderId="0" xfId="0" applyFont="1" applyAlignment="1">
      <alignment vertical="top" wrapText="1"/>
    </xf>
    <xf numFmtId="0" fontId="15" fillId="0" borderId="0" xfId="0" applyFont="1" applyAlignment="1">
      <alignment vertical="top"/>
    </xf>
    <xf numFmtId="178" fontId="15" fillId="2" borderId="0" xfId="0" applyNumberFormat="1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179" fontId="15" fillId="0" borderId="0" xfId="0" applyNumberFormat="1" applyFont="1" applyAlignment="1">
      <alignment horizontal="center" vertical="center"/>
    </xf>
    <xf numFmtId="10" fontId="15" fillId="0" borderId="0" xfId="0" applyNumberFormat="1" applyFont="1" applyAlignment="1">
      <alignment horizontal="center" vertical="center"/>
    </xf>
    <xf numFmtId="178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83" fontId="82" fillId="0" borderId="0" xfId="149" applyNumberFormat="1">
      <alignment vertical="center"/>
    </xf>
    <xf numFmtId="0" fontId="82" fillId="0" borderId="0" xfId="149">
      <alignment vertical="center"/>
    </xf>
    <xf numFmtId="183" fontId="83" fillId="32" borderId="1" xfId="149" applyNumberFormat="1" applyFont="1" applyFill="1" applyBorder="1" applyAlignment="1">
      <alignment horizontal="center" vertical="center"/>
    </xf>
    <xf numFmtId="0" fontId="84" fillId="32" borderId="1" xfId="149" applyFont="1" applyFill="1" applyBorder="1" applyAlignment="1">
      <alignment horizontal="center" vertical="center"/>
    </xf>
    <xf numFmtId="183" fontId="82" fillId="0" borderId="1" xfId="149" applyNumberFormat="1" applyBorder="1" applyAlignment="1">
      <alignment vertical="top" shrinkToFit="1"/>
    </xf>
    <xf numFmtId="0" fontId="82" fillId="0" borderId="1" xfId="149" applyBorder="1" applyAlignment="1">
      <alignment vertical="top" wrapText="1"/>
    </xf>
    <xf numFmtId="183" fontId="82" fillId="0" borderId="0" xfId="149" applyNumberFormat="1" applyAlignment="1">
      <alignment vertical="center" shrinkToFit="1"/>
    </xf>
    <xf numFmtId="0" fontId="15" fillId="35" borderId="28" xfId="0" applyFont="1" applyFill="1" applyBorder="1" applyAlignment="1">
      <alignment horizontal="center" vertical="top"/>
    </xf>
    <xf numFmtId="0" fontId="15" fillId="36" borderId="26" xfId="0" applyFont="1" applyFill="1" applyBorder="1" applyAlignment="1">
      <alignment horizontal="center" vertical="top"/>
    </xf>
    <xf numFmtId="0" fontId="15" fillId="2" borderId="1" xfId="0" applyFont="1" applyFill="1" applyBorder="1" applyAlignment="1">
      <alignment horizontal="center" vertical="top"/>
    </xf>
    <xf numFmtId="0" fontId="15" fillId="2" borderId="1" xfId="0" applyFont="1" applyFill="1" applyBorder="1" applyAlignment="1">
      <alignment horizontal="center" vertical="top" wrapText="1"/>
    </xf>
    <xf numFmtId="0" fontId="15" fillId="2" borderId="1" xfId="0" applyFont="1" applyFill="1" applyBorder="1" applyAlignment="1">
      <alignment horizontal="center" vertical="center"/>
    </xf>
    <xf numFmtId="0" fontId="15" fillId="2" borderId="16" xfId="157" applyFont="1" applyFill="1" applyBorder="1" applyAlignment="1">
      <alignment horizontal="center" vertical="top" wrapText="1"/>
    </xf>
    <xf numFmtId="0" fontId="15" fillId="2" borderId="16" xfId="157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15" fillId="36" borderId="29" xfId="0" applyFont="1" applyFill="1" applyBorder="1" applyAlignment="1">
      <alignment horizontal="center" vertical="top"/>
    </xf>
    <xf numFmtId="0" fontId="15" fillId="3" borderId="0" xfId="0" applyFont="1" applyFill="1" applyAlignment="1">
      <alignment horizontal="left" vertical="top" wrapText="1"/>
    </xf>
    <xf numFmtId="0" fontId="15" fillId="35" borderId="1" xfId="0" applyFont="1" applyFill="1" applyBorder="1" applyAlignment="1">
      <alignment horizontal="left" vertical="center"/>
    </xf>
    <xf numFmtId="0" fontId="15" fillId="36" borderId="30" xfId="0" applyFont="1" applyFill="1" applyBorder="1" applyAlignment="1">
      <alignment horizontal="left" vertical="center"/>
    </xf>
    <xf numFmtId="0" fontId="15" fillId="0" borderId="0" xfId="0" applyFont="1" applyAlignment="1">
      <alignment horizontal="left" vertical="top" wrapText="1"/>
    </xf>
    <xf numFmtId="0" fontId="15" fillId="36" borderId="40" xfId="0" applyFont="1" applyFill="1" applyBorder="1" applyAlignment="1">
      <alignment horizontal="center" vertical="top"/>
    </xf>
    <xf numFmtId="0" fontId="15" fillId="35" borderId="29" xfId="0" applyFont="1" applyFill="1" applyBorder="1" applyAlignment="1">
      <alignment horizontal="center" vertical="top"/>
    </xf>
    <xf numFmtId="0" fontId="15" fillId="0" borderId="31" xfId="0" applyFont="1" applyBorder="1" applyAlignment="1">
      <alignment vertical="top"/>
    </xf>
    <xf numFmtId="0" fontId="81" fillId="0" borderId="31" xfId="0" applyFont="1" applyBorder="1" applyAlignment="1">
      <alignment vertical="top" wrapText="1"/>
    </xf>
    <xf numFmtId="0" fontId="15" fillId="0" borderId="31" xfId="0" applyFont="1" applyBorder="1" applyAlignment="1">
      <alignment vertical="top" wrapText="1"/>
    </xf>
    <xf numFmtId="0" fontId="15" fillId="0" borderId="33" xfId="0" applyFont="1" applyBorder="1" applyAlignment="1">
      <alignment vertical="top"/>
    </xf>
    <xf numFmtId="0" fontId="81" fillId="0" borderId="33" xfId="0" applyFont="1" applyBorder="1" applyAlignment="1">
      <alignment vertical="top" wrapText="1"/>
    </xf>
    <xf numFmtId="178" fontId="15" fillId="0" borderId="33" xfId="0" applyNumberFormat="1" applyFont="1" applyBorder="1" applyAlignment="1">
      <alignment horizontal="center" vertical="center"/>
    </xf>
    <xf numFmtId="0" fontId="15" fillId="0" borderId="33" xfId="0" applyFont="1" applyBorder="1" applyAlignment="1">
      <alignment vertical="top" wrapText="1"/>
    </xf>
    <xf numFmtId="0" fontId="15" fillId="0" borderId="31" xfId="0" applyFont="1" applyBorder="1" applyAlignment="1">
      <alignment horizontal="center" vertical="top"/>
    </xf>
    <xf numFmtId="0" fontId="15" fillId="0" borderId="33" xfId="0" applyFont="1" applyBorder="1" applyAlignment="1">
      <alignment horizontal="center" vertical="top"/>
    </xf>
    <xf numFmtId="0" fontId="15" fillId="0" borderId="30" xfId="0" applyFont="1" applyBorder="1" applyAlignment="1">
      <alignment horizontal="left" vertical="center"/>
    </xf>
    <xf numFmtId="0" fontId="15" fillId="0" borderId="31" xfId="0" applyFont="1" applyBorder="1" applyAlignment="1">
      <alignment horizontal="left" vertical="center"/>
    </xf>
    <xf numFmtId="0" fontId="15" fillId="0" borderId="33" xfId="0" applyFont="1" applyBorder="1" applyAlignment="1">
      <alignment horizontal="left" vertical="center"/>
    </xf>
    <xf numFmtId="0" fontId="15" fillId="36" borderId="43" xfId="0" applyFont="1" applyFill="1" applyBorder="1" applyAlignment="1">
      <alignment horizontal="center" vertical="top"/>
    </xf>
    <xf numFmtId="0" fontId="15" fillId="36" borderId="45" xfId="0" applyFont="1" applyFill="1" applyBorder="1" applyAlignment="1">
      <alignment vertical="top"/>
    </xf>
    <xf numFmtId="0" fontId="15" fillId="0" borderId="45" xfId="0" applyFont="1" applyBorder="1" applyAlignment="1">
      <alignment vertical="top"/>
    </xf>
    <xf numFmtId="0" fontId="15" fillId="0" borderId="45" xfId="0" applyFont="1" applyBorder="1" applyAlignment="1">
      <alignment vertical="top" wrapText="1"/>
    </xf>
    <xf numFmtId="0" fontId="15" fillId="36" borderId="28" xfId="0" applyFont="1" applyFill="1" applyBorder="1" applyAlignment="1">
      <alignment vertical="top"/>
    </xf>
    <xf numFmtId="0" fontId="15" fillId="36" borderId="48" xfId="0" applyFont="1" applyFill="1" applyBorder="1" applyAlignment="1">
      <alignment vertical="top"/>
    </xf>
    <xf numFmtId="0" fontId="15" fillId="36" borderId="48" xfId="0" applyFont="1" applyFill="1" applyBorder="1" applyAlignment="1">
      <alignment vertical="top" wrapText="1"/>
    </xf>
    <xf numFmtId="0" fontId="81" fillId="36" borderId="48" xfId="0" applyFont="1" applyFill="1" applyBorder="1" applyAlignment="1">
      <alignment vertical="top" wrapText="1"/>
    </xf>
    <xf numFmtId="178" fontId="15" fillId="2" borderId="0" xfId="198" applyNumberFormat="1" applyFont="1" applyFill="1" applyAlignment="1">
      <alignment horizontal="center" vertical="center"/>
    </xf>
    <xf numFmtId="0" fontId="15" fillId="2" borderId="0" xfId="198" applyFont="1" applyFill="1" applyAlignment="1">
      <alignment horizontal="center" vertical="center"/>
    </xf>
    <xf numFmtId="0" fontId="15" fillId="0" borderId="0" xfId="198" applyFont="1" applyAlignment="1">
      <alignment vertical="top" wrapText="1"/>
    </xf>
    <xf numFmtId="0" fontId="5" fillId="0" borderId="0" xfId="198" applyAlignment="1">
      <alignment horizontal="center" vertical="top" wrapText="1"/>
    </xf>
    <xf numFmtId="0" fontId="15" fillId="0" borderId="0" xfId="198" applyFont="1" applyAlignment="1">
      <alignment vertical="top"/>
    </xf>
    <xf numFmtId="179" fontId="15" fillId="0" borderId="0" xfId="198" applyNumberFormat="1" applyFont="1" applyAlignment="1">
      <alignment horizontal="center" vertical="center"/>
    </xf>
    <xf numFmtId="10" fontId="15" fillId="0" borderId="0" xfId="198" applyNumberFormat="1" applyFont="1" applyAlignment="1">
      <alignment horizontal="center" vertical="center"/>
    </xf>
    <xf numFmtId="0" fontId="15" fillId="2" borderId="48" xfId="198" applyFont="1" applyFill="1" applyBorder="1" applyAlignment="1">
      <alignment horizontal="center" vertical="top"/>
    </xf>
    <xf numFmtId="0" fontId="15" fillId="2" borderId="48" xfId="198" applyFont="1" applyFill="1" applyBorder="1" applyAlignment="1">
      <alignment horizontal="center" vertical="top" wrapText="1"/>
    </xf>
    <xf numFmtId="0" fontId="15" fillId="2" borderId="48" xfId="198" applyFont="1" applyFill="1" applyBorder="1" applyAlignment="1">
      <alignment horizontal="center" vertical="center"/>
    </xf>
    <xf numFmtId="0" fontId="15" fillId="35" borderId="43" xfId="198" applyFont="1" applyFill="1" applyBorder="1" applyAlignment="1">
      <alignment horizontal="center" vertical="top"/>
    </xf>
    <xf numFmtId="0" fontId="15" fillId="35" borderId="52" xfId="198" applyFont="1" applyFill="1" applyBorder="1" applyAlignment="1">
      <alignment horizontal="center" vertical="top"/>
    </xf>
    <xf numFmtId="0" fontId="15" fillId="35" borderId="55" xfId="198" applyFont="1" applyFill="1" applyBorder="1" applyAlignment="1">
      <alignment horizontal="center" vertical="top"/>
    </xf>
    <xf numFmtId="0" fontId="15" fillId="35" borderId="55" xfId="198" applyFont="1" applyFill="1" applyBorder="1" applyAlignment="1">
      <alignment vertical="top" wrapText="1"/>
    </xf>
    <xf numFmtId="0" fontId="15" fillId="35" borderId="55" xfId="198" applyFont="1" applyFill="1" applyBorder="1" applyAlignment="1">
      <alignment vertical="top"/>
    </xf>
    <xf numFmtId="14" fontId="15" fillId="35" borderId="48" xfId="198" applyNumberFormat="1" applyFont="1" applyFill="1" applyBorder="1">
      <alignment vertical="center"/>
    </xf>
    <xf numFmtId="0" fontId="81" fillId="35" borderId="48" xfId="198" applyFont="1" applyFill="1" applyBorder="1" applyAlignment="1">
      <alignment horizontal="center" vertical="center"/>
    </xf>
    <xf numFmtId="0" fontId="15" fillId="35" borderId="48" xfId="198" applyFont="1" applyFill="1" applyBorder="1">
      <alignment vertical="center"/>
    </xf>
    <xf numFmtId="0" fontId="15" fillId="35" borderId="55" xfId="198" applyFont="1" applyFill="1" applyBorder="1">
      <alignment vertical="center"/>
    </xf>
    <xf numFmtId="0" fontId="15" fillId="35" borderId="48" xfId="198" applyFont="1" applyFill="1" applyBorder="1" applyAlignment="1">
      <alignment vertical="top" wrapText="1"/>
    </xf>
    <xf numFmtId="0" fontId="5" fillId="0" borderId="0" xfId="198">
      <alignment vertical="center"/>
    </xf>
    <xf numFmtId="0" fontId="15" fillId="35" borderId="28" xfId="198" applyFont="1" applyFill="1" applyBorder="1" applyAlignment="1">
      <alignment horizontal="center" vertical="top"/>
    </xf>
    <xf numFmtId="0" fontId="15" fillId="36" borderId="43" xfId="198" applyFont="1" applyFill="1" applyBorder="1" applyAlignment="1">
      <alignment horizontal="center" vertical="top"/>
    </xf>
    <xf numFmtId="0" fontId="15" fillId="36" borderId="42" xfId="198" applyFont="1" applyFill="1" applyBorder="1" applyAlignment="1">
      <alignment horizontal="center" vertical="top"/>
    </xf>
    <xf numFmtId="0" fontId="15" fillId="36" borderId="42" xfId="198" applyFont="1" applyFill="1" applyBorder="1" applyAlignment="1">
      <alignment vertical="top" wrapText="1"/>
    </xf>
    <xf numFmtId="0" fontId="15" fillId="36" borderId="42" xfId="198" applyFont="1" applyFill="1" applyBorder="1" applyAlignment="1">
      <alignment vertical="top"/>
    </xf>
    <xf numFmtId="14" fontId="81" fillId="36" borderId="45" xfId="198" applyNumberFormat="1" applyFont="1" applyFill="1" applyBorder="1" applyAlignment="1">
      <alignment horizontal="center" vertical="center"/>
    </xf>
    <xf numFmtId="0" fontId="81" fillId="36" borderId="45" xfId="198" applyFont="1" applyFill="1" applyBorder="1" applyAlignment="1">
      <alignment horizontal="center" vertical="center"/>
    </xf>
    <xf numFmtId="14" fontId="15" fillId="36" borderId="45" xfId="198" applyNumberFormat="1" applyFont="1" applyFill="1" applyBorder="1">
      <alignment vertical="center"/>
    </xf>
    <xf numFmtId="0" fontId="15" fillId="36" borderId="45" xfId="198" applyFont="1" applyFill="1" applyBorder="1">
      <alignment vertical="center"/>
    </xf>
    <xf numFmtId="0" fontId="15" fillId="36" borderId="42" xfId="198" applyFont="1" applyFill="1" applyBorder="1">
      <alignment vertical="center"/>
    </xf>
    <xf numFmtId="0" fontId="15" fillId="36" borderId="45" xfId="198" applyFont="1" applyFill="1" applyBorder="1" applyAlignment="1">
      <alignment vertical="top" wrapText="1"/>
    </xf>
    <xf numFmtId="0" fontId="15" fillId="36" borderId="26" xfId="198" applyFont="1" applyFill="1" applyBorder="1" applyAlignment="1">
      <alignment horizontal="center" vertical="top"/>
    </xf>
    <xf numFmtId="0" fontId="15" fillId="0" borderId="45" xfId="198" applyFont="1" applyBorder="1" applyAlignment="1">
      <alignment horizontal="center" vertical="top"/>
    </xf>
    <xf numFmtId="0" fontId="15" fillId="0" borderId="45" xfId="198" applyFont="1" applyBorder="1" applyAlignment="1">
      <alignment vertical="top" wrapText="1"/>
    </xf>
    <xf numFmtId="14" fontId="81" fillId="0" borderId="45" xfId="198" applyNumberFormat="1" applyFont="1" applyBorder="1" applyAlignment="1">
      <alignment horizontal="center" vertical="center"/>
    </xf>
    <xf numFmtId="0" fontId="81" fillId="0" borderId="45" xfId="198" applyFont="1" applyBorder="1" applyAlignment="1">
      <alignment horizontal="center" vertical="center"/>
    </xf>
    <xf numFmtId="14" fontId="15" fillId="0" borderId="45" xfId="198" applyNumberFormat="1" applyFont="1" applyBorder="1">
      <alignment vertical="center"/>
    </xf>
    <xf numFmtId="0" fontId="15" fillId="0" borderId="45" xfId="198" applyFont="1" applyBorder="1">
      <alignment vertical="center"/>
    </xf>
    <xf numFmtId="0" fontId="15" fillId="0" borderId="45" xfId="198" applyFont="1" applyBorder="1" applyAlignment="1">
      <alignment vertical="center" wrapText="1"/>
    </xf>
    <xf numFmtId="0" fontId="15" fillId="0" borderId="45" xfId="198" applyFont="1" applyBorder="1" applyAlignment="1">
      <alignment horizontal="left" vertical="top" wrapText="1"/>
    </xf>
    <xf numFmtId="14" fontId="15" fillId="36" borderId="42" xfId="198" applyNumberFormat="1" applyFont="1" applyFill="1" applyBorder="1" applyAlignment="1">
      <alignment horizontal="center" vertical="center"/>
    </xf>
    <xf numFmtId="0" fontId="15" fillId="36" borderId="42" xfId="198" applyFont="1" applyFill="1" applyBorder="1" applyAlignment="1">
      <alignment horizontal="center" vertical="center"/>
    </xf>
    <xf numFmtId="14" fontId="15" fillId="36" borderId="42" xfId="198" applyNumberFormat="1" applyFont="1" applyFill="1" applyBorder="1" applyAlignment="1">
      <alignment vertical="top"/>
    </xf>
    <xf numFmtId="0" fontId="15" fillId="36" borderId="42" xfId="198" applyFont="1" applyFill="1" applyBorder="1" applyAlignment="1">
      <alignment horizontal="left" vertical="top"/>
    </xf>
    <xf numFmtId="0" fontId="15" fillId="0" borderId="45" xfId="198" applyFont="1" applyBorder="1" applyAlignment="1">
      <alignment vertical="top"/>
    </xf>
    <xf numFmtId="14" fontId="15" fillId="0" borderId="45" xfId="198" applyNumberFormat="1" applyFont="1" applyBorder="1" applyAlignment="1">
      <alignment horizontal="center" vertical="center"/>
    </xf>
    <xf numFmtId="0" fontId="15" fillId="0" borderId="45" xfId="198" applyFont="1" applyBorder="1" applyAlignment="1">
      <alignment horizontal="center" vertical="center"/>
    </xf>
    <xf numFmtId="14" fontId="15" fillId="0" borderId="45" xfId="198" applyNumberFormat="1" applyFont="1" applyBorder="1" applyAlignment="1">
      <alignment vertical="top"/>
    </xf>
    <xf numFmtId="0" fontId="15" fillId="0" borderId="45" xfId="198" applyFont="1" applyBorder="1" applyAlignment="1">
      <alignment horizontal="left" vertical="top"/>
    </xf>
    <xf numFmtId="0" fontId="15" fillId="0" borderId="31" xfId="198" applyFont="1" applyBorder="1" applyAlignment="1">
      <alignment horizontal="center" vertical="top"/>
    </xf>
    <xf numFmtId="0" fontId="15" fillId="0" borderId="31" xfId="198" applyFont="1" applyBorder="1" applyAlignment="1">
      <alignment vertical="top" wrapText="1"/>
    </xf>
    <xf numFmtId="0" fontId="15" fillId="0" borderId="31" xfId="198" applyFont="1" applyBorder="1" applyAlignment="1">
      <alignment vertical="top"/>
    </xf>
    <xf numFmtId="14" fontId="15" fillId="0" borderId="31" xfId="198" applyNumberFormat="1" applyFont="1" applyBorder="1" applyAlignment="1">
      <alignment horizontal="center" vertical="center"/>
    </xf>
    <xf numFmtId="0" fontId="15" fillId="0" borderId="31" xfId="198" applyFont="1" applyBorder="1" applyAlignment="1">
      <alignment horizontal="center" vertical="center"/>
    </xf>
    <xf numFmtId="14" fontId="15" fillId="0" borderId="31" xfId="198" applyNumberFormat="1" applyFont="1" applyBorder="1" applyAlignment="1">
      <alignment vertical="top"/>
    </xf>
    <xf numFmtId="0" fontId="15" fillId="0" borderId="31" xfId="198" applyFont="1" applyBorder="1">
      <alignment vertical="center"/>
    </xf>
    <xf numFmtId="0" fontId="15" fillId="0" borderId="31" xfId="198" applyFont="1" applyBorder="1" applyAlignment="1">
      <alignment horizontal="left" vertical="top"/>
    </xf>
    <xf numFmtId="14" fontId="15" fillId="35" borderId="48" xfId="198" applyNumberFormat="1" applyFont="1" applyFill="1" applyBorder="1" applyAlignment="1">
      <alignment horizontal="center" vertical="center"/>
    </xf>
    <xf numFmtId="0" fontId="15" fillId="35" borderId="55" xfId="198" applyFont="1" applyFill="1" applyBorder="1" applyAlignment="1">
      <alignment horizontal="center" vertical="center"/>
    </xf>
    <xf numFmtId="0" fontId="15" fillId="36" borderId="45" xfId="198" applyFont="1" applyFill="1" applyBorder="1" applyAlignment="1">
      <alignment horizontal="left" vertical="top" wrapText="1"/>
    </xf>
    <xf numFmtId="0" fontId="15" fillId="0" borderId="48" xfId="198" applyFont="1" applyBorder="1" applyAlignment="1">
      <alignment horizontal="center" vertical="top"/>
    </xf>
    <xf numFmtId="0" fontId="15" fillId="0" borderId="48" xfId="198" applyFont="1" applyBorder="1" applyAlignment="1">
      <alignment vertical="top" wrapText="1"/>
    </xf>
    <xf numFmtId="0" fontId="15" fillId="0" borderId="48" xfId="198" applyFont="1" applyBorder="1" applyAlignment="1">
      <alignment vertical="top"/>
    </xf>
    <xf numFmtId="14" fontId="15" fillId="0" borderId="48" xfId="198" applyNumberFormat="1" applyFont="1" applyBorder="1">
      <alignment vertical="center"/>
    </xf>
    <xf numFmtId="0" fontId="15" fillId="0" borderId="48" xfId="198" applyFont="1" applyBorder="1">
      <alignment vertical="center"/>
    </xf>
    <xf numFmtId="0" fontId="15" fillId="0" borderId="48" xfId="198" applyFont="1" applyBorder="1" applyAlignment="1">
      <alignment horizontal="left" vertical="top" wrapText="1"/>
    </xf>
    <xf numFmtId="14" fontId="15" fillId="0" borderId="31" xfId="198" applyNumberFormat="1" applyFont="1" applyBorder="1">
      <alignment vertical="center"/>
    </xf>
    <xf numFmtId="0" fontId="15" fillId="0" borderId="31" xfId="198" applyFont="1" applyBorder="1" applyAlignment="1">
      <alignment horizontal="left" vertical="top" wrapText="1"/>
    </xf>
    <xf numFmtId="0" fontId="15" fillId="35" borderId="26" xfId="198" applyFont="1" applyFill="1" applyBorder="1" applyAlignment="1">
      <alignment vertical="top"/>
    </xf>
    <xf numFmtId="0" fontId="15" fillId="0" borderId="33" xfId="198" applyFont="1" applyBorder="1" applyAlignment="1">
      <alignment horizontal="center" vertical="top"/>
    </xf>
    <xf numFmtId="0" fontId="15" fillId="0" borderId="33" xfId="198" applyFont="1" applyBorder="1" applyAlignment="1">
      <alignment vertical="top" wrapText="1"/>
    </xf>
    <xf numFmtId="0" fontId="15" fillId="0" borderId="41" xfId="198" applyFont="1" applyBorder="1" applyAlignment="1">
      <alignment vertical="top" wrapText="1"/>
    </xf>
    <xf numFmtId="14" fontId="15" fillId="0" borderId="33" xfId="198" applyNumberFormat="1" applyFont="1" applyBorder="1" applyAlignment="1">
      <alignment vertical="top"/>
    </xf>
    <xf numFmtId="0" fontId="15" fillId="0" borderId="33" xfId="198" applyFont="1" applyBorder="1" applyAlignment="1">
      <alignment vertical="top"/>
    </xf>
    <xf numFmtId="0" fontId="15" fillId="0" borderId="33" xfId="198" applyFont="1" applyBorder="1">
      <alignment vertical="center"/>
    </xf>
    <xf numFmtId="0" fontId="15" fillId="0" borderId="33" xfId="198" applyFont="1" applyBorder="1" applyAlignment="1">
      <alignment horizontal="left" vertical="top"/>
    </xf>
    <xf numFmtId="14" fontId="15" fillId="35" borderId="55" xfId="198" applyNumberFormat="1" applyFont="1" applyFill="1" applyBorder="1" applyAlignment="1">
      <alignment horizontal="center" vertical="center"/>
    </xf>
    <xf numFmtId="14" fontId="15" fillId="35" borderId="55" xfId="198" applyNumberFormat="1" applyFont="1" applyFill="1" applyBorder="1" applyAlignment="1">
      <alignment vertical="top"/>
    </xf>
    <xf numFmtId="0" fontId="15" fillId="35" borderId="55" xfId="198" applyFont="1" applyFill="1" applyBorder="1" applyAlignment="1">
      <alignment horizontal="left" vertical="top"/>
    </xf>
    <xf numFmtId="0" fontId="15" fillId="36" borderId="44" xfId="0" applyFont="1" applyFill="1" applyBorder="1" applyAlignment="1">
      <alignment horizontal="center" vertical="top"/>
    </xf>
    <xf numFmtId="0" fontId="15" fillId="36" borderId="45" xfId="0" applyFont="1" applyFill="1" applyBorder="1" applyAlignment="1">
      <alignment horizontal="left" vertical="top"/>
    </xf>
    <xf numFmtId="0" fontId="15" fillId="36" borderId="45" xfId="0" applyFont="1" applyFill="1" applyBorder="1" applyAlignment="1">
      <alignment vertical="top" wrapText="1"/>
    </xf>
    <xf numFmtId="14" fontId="81" fillId="36" borderId="45" xfId="0" applyNumberFormat="1" applyFont="1" applyFill="1" applyBorder="1" applyAlignment="1">
      <alignment horizontal="center" vertical="center"/>
    </xf>
    <xf numFmtId="178" fontId="15" fillId="36" borderId="45" xfId="0" applyNumberFormat="1" applyFont="1" applyFill="1" applyBorder="1" applyAlignment="1">
      <alignment horizontal="center" vertical="center"/>
    </xf>
    <xf numFmtId="14" fontId="15" fillId="36" borderId="45" xfId="0" applyNumberFormat="1" applyFont="1" applyFill="1" applyBorder="1" applyAlignment="1">
      <alignment horizontal="center" vertical="center"/>
    </xf>
    <xf numFmtId="0" fontId="81" fillId="36" borderId="45" xfId="0" applyFont="1" applyFill="1" applyBorder="1" applyAlignment="1">
      <alignment vertical="center" wrapText="1"/>
    </xf>
    <xf numFmtId="178" fontId="81" fillId="36" borderId="45" xfId="0" applyNumberFormat="1" applyFont="1" applyFill="1" applyBorder="1" applyAlignment="1">
      <alignment horizontal="center" vertical="center"/>
    </xf>
    <xf numFmtId="178" fontId="81" fillId="36" borderId="45" xfId="0" applyNumberFormat="1" applyFont="1" applyFill="1" applyBorder="1" applyAlignment="1">
      <alignment horizontal="left" vertical="top"/>
    </xf>
    <xf numFmtId="0" fontId="15" fillId="0" borderId="45" xfId="0" applyFont="1" applyBorder="1" applyAlignment="1">
      <alignment horizontal="center" vertical="top"/>
    </xf>
    <xf numFmtId="0" fontId="81" fillId="0" borderId="45" xfId="0" applyFont="1" applyBorder="1" applyAlignment="1">
      <alignment vertical="top" wrapText="1"/>
    </xf>
    <xf numFmtId="14" fontId="15" fillId="0" borderId="45" xfId="0" applyNumberFormat="1" applyFont="1" applyBorder="1" applyAlignment="1">
      <alignment horizontal="center" vertical="center"/>
    </xf>
    <xf numFmtId="0" fontId="81" fillId="0" borderId="45" xfId="0" applyFont="1" applyBorder="1" applyAlignment="1">
      <alignment vertical="center" wrapText="1"/>
    </xf>
    <xf numFmtId="14" fontId="81" fillId="0" borderId="31" xfId="0" applyNumberFormat="1" applyFont="1" applyBorder="1" applyAlignment="1">
      <alignment horizontal="center" vertical="center"/>
    </xf>
    <xf numFmtId="14" fontId="15" fillId="0" borderId="31" xfId="0" applyNumberFormat="1" applyFont="1" applyBorder="1" applyAlignment="1">
      <alignment horizontal="center" vertical="center"/>
    </xf>
    <xf numFmtId="0" fontId="15" fillId="0" borderId="31" xfId="198" applyFont="1" applyBorder="1" applyAlignment="1">
      <alignment vertical="center" wrapText="1"/>
    </xf>
    <xf numFmtId="14" fontId="81" fillId="0" borderId="33" xfId="0" applyNumberFormat="1" applyFont="1" applyBorder="1" applyAlignment="1">
      <alignment horizontal="center" vertical="center"/>
    </xf>
    <xf numFmtId="14" fontId="15" fillId="0" borderId="33" xfId="0" applyNumberFormat="1" applyFont="1" applyBorder="1" applyAlignment="1">
      <alignment horizontal="center" vertical="center"/>
    </xf>
    <xf numFmtId="0" fontId="15" fillId="0" borderId="33" xfId="198" applyFont="1" applyBorder="1" applyAlignment="1">
      <alignment vertical="center" wrapText="1"/>
    </xf>
    <xf numFmtId="0" fontId="15" fillId="36" borderId="55" xfId="0" applyFont="1" applyFill="1" applyBorder="1" applyAlignment="1">
      <alignment vertical="top"/>
    </xf>
    <xf numFmtId="14" fontId="81" fillId="36" borderId="48" xfId="0" applyNumberFormat="1" applyFont="1" applyFill="1" applyBorder="1" applyAlignment="1">
      <alignment horizontal="center" vertical="center"/>
    </xf>
    <xf numFmtId="0" fontId="81" fillId="36" borderId="48" xfId="0" applyFont="1" applyFill="1" applyBorder="1" applyAlignment="1">
      <alignment horizontal="center" vertical="center"/>
    </xf>
    <xf numFmtId="178" fontId="15" fillId="36" borderId="48" xfId="0" applyNumberFormat="1" applyFont="1" applyFill="1" applyBorder="1" applyAlignment="1">
      <alignment horizontal="center" vertical="center"/>
    </xf>
    <xf numFmtId="0" fontId="81" fillId="36" borderId="48" xfId="0" applyFont="1" applyFill="1" applyBorder="1" applyAlignment="1">
      <alignment vertical="center" wrapText="1"/>
    </xf>
    <xf numFmtId="0" fontId="15" fillId="36" borderId="48" xfId="0" applyFont="1" applyFill="1" applyBorder="1" applyAlignment="1">
      <alignment horizontal="left" vertical="top"/>
    </xf>
    <xf numFmtId="0" fontId="15" fillId="0" borderId="33" xfId="0" applyFont="1" applyBorder="1" applyAlignment="1">
      <alignment vertical="center" wrapText="1"/>
    </xf>
    <xf numFmtId="0" fontId="15" fillId="35" borderId="29" xfId="198" applyFont="1" applyFill="1" applyBorder="1" applyAlignment="1">
      <alignment horizontal="center" vertical="top"/>
    </xf>
    <xf numFmtId="0" fontId="15" fillId="36" borderId="29" xfId="198" applyFont="1" applyFill="1" applyBorder="1" applyAlignment="1">
      <alignment horizontal="center" vertical="top"/>
    </xf>
    <xf numFmtId="14" fontId="15" fillId="0" borderId="48" xfId="198" applyNumberFormat="1" applyFont="1" applyBorder="1" applyAlignment="1">
      <alignment horizontal="center" vertical="center"/>
    </xf>
    <xf numFmtId="0" fontId="15" fillId="0" borderId="48" xfId="198" applyFont="1" applyBorder="1" applyAlignment="1">
      <alignment horizontal="center" vertical="center"/>
    </xf>
    <xf numFmtId="14" fontId="15" fillId="0" borderId="48" xfId="198" applyNumberFormat="1" applyFont="1" applyBorder="1" applyAlignment="1">
      <alignment vertical="top"/>
    </xf>
    <xf numFmtId="0" fontId="15" fillId="0" borderId="48" xfId="198" applyFont="1" applyBorder="1" applyAlignment="1">
      <alignment vertical="center" wrapText="1"/>
    </xf>
    <xf numFmtId="0" fontId="15" fillId="0" borderId="48" xfId="198" applyFont="1" applyBorder="1" applyAlignment="1">
      <alignment horizontal="left" vertical="top"/>
    </xf>
    <xf numFmtId="0" fontId="5" fillId="0" borderId="0" xfId="198" applyAlignment="1">
      <alignment horizontal="center" vertical="top"/>
    </xf>
    <xf numFmtId="0" fontId="5" fillId="0" borderId="0" xfId="198" applyAlignment="1">
      <alignment vertical="center" wrapText="1"/>
    </xf>
    <xf numFmtId="0" fontId="5" fillId="0" borderId="0" xfId="198" applyAlignment="1">
      <alignment horizontal="center" vertical="center"/>
    </xf>
    <xf numFmtId="0" fontId="15" fillId="2" borderId="48" xfId="0" applyFont="1" applyFill="1" applyBorder="1" applyAlignment="1">
      <alignment horizontal="center" vertical="center"/>
    </xf>
    <xf numFmtId="0" fontId="15" fillId="0" borderId="33" xfId="0" applyFont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 wrapText="1"/>
    </xf>
    <xf numFmtId="0" fontId="15" fillId="0" borderId="31" xfId="0" applyFont="1" applyBorder="1" applyAlignment="1">
      <alignment vertical="center" wrapText="1"/>
    </xf>
    <xf numFmtId="0" fontId="15" fillId="35" borderId="26" xfId="198" applyFont="1" applyFill="1" applyBorder="1" applyAlignment="1">
      <alignment horizontal="center" vertical="top"/>
    </xf>
    <xf numFmtId="0" fontId="15" fillId="0" borderId="27" xfId="198" applyFont="1" applyBorder="1" applyAlignment="1">
      <alignment vertical="top" wrapText="1"/>
    </xf>
    <xf numFmtId="14" fontId="15" fillId="0" borderId="27" xfId="198" applyNumberFormat="1" applyFont="1" applyBorder="1" applyAlignment="1">
      <alignment vertical="top"/>
    </xf>
    <xf numFmtId="0" fontId="15" fillId="0" borderId="27" xfId="198" applyFont="1" applyBorder="1" applyAlignment="1">
      <alignment vertical="top"/>
    </xf>
    <xf numFmtId="0" fontId="15" fillId="36" borderId="40" xfId="198" applyFont="1" applyFill="1" applyBorder="1" applyAlignment="1">
      <alignment horizontal="center" vertical="top"/>
    </xf>
    <xf numFmtId="14" fontId="15" fillId="0" borderId="32" xfId="198" applyNumberFormat="1" applyFont="1" applyBorder="1" applyAlignment="1">
      <alignment horizontal="center" vertical="center"/>
    </xf>
    <xf numFmtId="0" fontId="15" fillId="0" borderId="32" xfId="198" applyFont="1" applyBorder="1" applyAlignment="1">
      <alignment horizontal="center" vertical="center"/>
    </xf>
    <xf numFmtId="0" fontId="15" fillId="0" borderId="61" xfId="198" applyFont="1" applyBorder="1" applyAlignment="1">
      <alignment horizontal="center" vertical="center"/>
    </xf>
    <xf numFmtId="0" fontId="94" fillId="0" borderId="30" xfId="0" applyFont="1" applyBorder="1" applyAlignment="1">
      <alignment horizontal="left" vertical="center"/>
    </xf>
    <xf numFmtId="0" fontId="85" fillId="3" borderId="17" xfId="151" applyFont="1" applyFill="1" applyBorder="1">
      <alignment vertical="center"/>
    </xf>
    <xf numFmtId="0" fontId="85" fillId="3" borderId="18" xfId="151" applyFont="1" applyFill="1" applyBorder="1">
      <alignment vertical="center"/>
    </xf>
    <xf numFmtId="0" fontId="85" fillId="3" borderId="19" xfId="151" applyFont="1" applyFill="1" applyBorder="1">
      <alignment vertical="center"/>
    </xf>
    <xf numFmtId="0" fontId="85" fillId="3" borderId="0" xfId="151" applyFont="1" applyFill="1">
      <alignment vertical="center"/>
    </xf>
    <xf numFmtId="0" fontId="85" fillId="3" borderId="20" xfId="151" applyFont="1" applyFill="1" applyBorder="1">
      <alignment vertical="center"/>
    </xf>
    <xf numFmtId="0" fontId="85" fillId="3" borderId="21" xfId="151" applyFont="1" applyFill="1" applyBorder="1">
      <alignment vertical="center"/>
    </xf>
    <xf numFmtId="0" fontId="85" fillId="3" borderId="0" xfId="151" applyFont="1" applyFill="1" applyProtection="1">
      <alignment vertical="center"/>
      <protection locked="0"/>
    </xf>
    <xf numFmtId="0" fontId="89" fillId="3" borderId="0" xfId="151" applyFont="1" applyFill="1">
      <alignment vertical="center"/>
    </xf>
    <xf numFmtId="0" fontId="85" fillId="3" borderId="22" xfId="151" applyFont="1" applyFill="1" applyBorder="1">
      <alignment vertical="center"/>
    </xf>
    <xf numFmtId="0" fontId="85" fillId="3" borderId="23" xfId="151" applyFont="1" applyFill="1" applyBorder="1">
      <alignment vertical="center"/>
    </xf>
    <xf numFmtId="0" fontId="85" fillId="3" borderId="24" xfId="151" applyFont="1" applyFill="1" applyBorder="1">
      <alignment vertical="center"/>
    </xf>
    <xf numFmtId="49" fontId="15" fillId="4" borderId="47" xfId="0" applyNumberFormat="1" applyFont="1" applyFill="1" applyBorder="1" applyAlignment="1">
      <alignment horizontal="center" vertical="center"/>
    </xf>
    <xf numFmtId="49" fontId="15" fillId="0" borderId="54" xfId="0" applyNumberFormat="1" applyFont="1" applyBorder="1">
      <alignment vertical="center"/>
    </xf>
    <xf numFmtId="49" fontId="15" fillId="36" borderId="56" xfId="0" applyNumberFormat="1" applyFont="1" applyFill="1" applyBorder="1">
      <alignment vertical="center"/>
    </xf>
    <xf numFmtId="49" fontId="15" fillId="36" borderId="53" xfId="0" applyNumberFormat="1" applyFont="1" applyFill="1" applyBorder="1">
      <alignment vertical="center"/>
    </xf>
    <xf numFmtId="49" fontId="15" fillId="35" borderId="58" xfId="0" applyNumberFormat="1" applyFont="1" applyFill="1" applyBorder="1">
      <alignment vertical="center"/>
    </xf>
    <xf numFmtId="49" fontId="15" fillId="35" borderId="35" xfId="0" applyNumberFormat="1" applyFont="1" applyFill="1" applyBorder="1" applyAlignment="1">
      <alignment horizontal="center" vertical="center"/>
    </xf>
    <xf numFmtId="49" fontId="15" fillId="35" borderId="53" xfId="0" applyNumberFormat="1" applyFont="1" applyFill="1" applyBorder="1" applyAlignment="1">
      <alignment horizontal="center" vertical="center"/>
    </xf>
    <xf numFmtId="49" fontId="15" fillId="36" borderId="28" xfId="0" applyNumberFormat="1" applyFont="1" applyFill="1" applyBorder="1">
      <alignment vertical="center"/>
    </xf>
    <xf numFmtId="49" fontId="15" fillId="36" borderId="29" xfId="0" applyNumberFormat="1" applyFont="1" applyFill="1" applyBorder="1">
      <alignment vertical="center"/>
    </xf>
    <xf numFmtId="49" fontId="15" fillId="35" borderId="57" xfId="0" applyNumberFormat="1" applyFont="1" applyFill="1" applyBorder="1">
      <alignment vertical="center"/>
    </xf>
    <xf numFmtId="49" fontId="15" fillId="36" borderId="26" xfId="0" applyNumberFormat="1" applyFont="1" applyFill="1" applyBorder="1">
      <alignment vertical="center"/>
    </xf>
    <xf numFmtId="49" fontId="15" fillId="0" borderId="92" xfId="0" applyNumberFormat="1" applyFont="1" applyBorder="1">
      <alignment vertical="center"/>
    </xf>
    <xf numFmtId="49" fontId="15" fillId="0" borderId="28" xfId="0" applyNumberFormat="1" applyFont="1" applyBorder="1" applyAlignment="1">
      <alignment horizontal="center" vertical="center"/>
    </xf>
    <xf numFmtId="49" fontId="15" fillId="0" borderId="28" xfId="0" applyNumberFormat="1" applyFont="1" applyBorder="1">
      <alignment vertical="center"/>
    </xf>
    <xf numFmtId="49" fontId="15" fillId="0" borderId="56" xfId="0" applyNumberFormat="1" applyFont="1" applyBorder="1" applyAlignment="1">
      <alignment horizontal="center" vertical="center"/>
    </xf>
    <xf numFmtId="49" fontId="15" fillId="0" borderId="56" xfId="0" applyNumberFormat="1" applyFont="1" applyBorder="1">
      <alignment vertical="center"/>
    </xf>
    <xf numFmtId="49" fontId="15" fillId="0" borderId="56" xfId="0" applyNumberFormat="1" applyFont="1" applyBorder="1" applyAlignment="1">
      <alignment vertical="center" wrapText="1"/>
    </xf>
    <xf numFmtId="49" fontId="15" fillId="0" borderId="93" xfId="0" applyNumberFormat="1" applyFont="1" applyBorder="1" applyAlignment="1">
      <alignment vertical="center" wrapText="1"/>
    </xf>
    <xf numFmtId="49" fontId="15" fillId="34" borderId="46" xfId="0" applyNumberFormat="1" applyFont="1" applyFill="1" applyBorder="1">
      <alignment vertical="center"/>
    </xf>
    <xf numFmtId="49" fontId="15" fillId="0" borderId="49" xfId="0" applyNumberFormat="1" applyFont="1" applyBorder="1">
      <alignment vertical="center"/>
    </xf>
    <xf numFmtId="49" fontId="15" fillId="35" borderId="34" xfId="0" applyNumberFormat="1" applyFont="1" applyFill="1" applyBorder="1">
      <alignment vertical="center"/>
    </xf>
    <xf numFmtId="49" fontId="15" fillId="36" borderId="35" xfId="0" applyNumberFormat="1" applyFont="1" applyFill="1" applyBorder="1" applyAlignment="1">
      <alignment horizontal="center" vertical="center"/>
    </xf>
    <xf numFmtId="49" fontId="15" fillId="0" borderId="0" xfId="0" applyNumberFormat="1" applyFont="1">
      <alignment vertical="center"/>
    </xf>
    <xf numFmtId="49" fontId="15" fillId="0" borderId="0" xfId="0" applyNumberFormat="1" applyFont="1" applyAlignment="1">
      <alignment horizontal="center" vertical="center"/>
    </xf>
    <xf numFmtId="49" fontId="15" fillId="36" borderId="35" xfId="0" applyNumberFormat="1" applyFont="1" applyFill="1" applyBorder="1">
      <alignment vertical="center"/>
    </xf>
    <xf numFmtId="49" fontId="15" fillId="4" borderId="46" xfId="0" applyNumberFormat="1" applyFont="1" applyFill="1" applyBorder="1" applyAlignment="1">
      <alignment horizontal="center" vertical="center"/>
    </xf>
    <xf numFmtId="49" fontId="15" fillId="0" borderId="0" xfId="0" applyNumberFormat="1" applyFont="1" applyAlignment="1">
      <alignment horizontal="left" vertical="center"/>
    </xf>
    <xf numFmtId="49" fontId="15" fillId="0" borderId="481" xfId="0" applyNumberFormat="1" applyFont="1" applyBorder="1">
      <alignment vertical="center"/>
    </xf>
    <xf numFmtId="49" fontId="15" fillId="0" borderId="481" xfId="0" applyNumberFormat="1" applyFont="1" applyBorder="1" applyAlignment="1">
      <alignment horizontal="center" vertical="center"/>
    </xf>
    <xf numFmtId="49" fontId="15" fillId="0" borderId="491" xfId="0" applyNumberFormat="1" applyFont="1" applyBorder="1">
      <alignment vertical="center"/>
    </xf>
    <xf numFmtId="49" fontId="15" fillId="36" borderId="492" xfId="0" applyNumberFormat="1" applyFont="1" applyFill="1" applyBorder="1">
      <alignment vertical="center"/>
    </xf>
    <xf numFmtId="49" fontId="15" fillId="36" borderId="493" xfId="0" applyNumberFormat="1" applyFont="1" applyFill="1" applyBorder="1">
      <alignment vertical="center"/>
    </xf>
    <xf numFmtId="49" fontId="15" fillId="36" borderId="493" xfId="0" applyNumberFormat="1" applyFont="1" applyFill="1" applyBorder="1" applyAlignment="1">
      <alignment horizontal="center" vertical="center"/>
    </xf>
    <xf numFmtId="49" fontId="15" fillId="36" borderId="494" xfId="0" applyNumberFormat="1" applyFont="1" applyFill="1" applyBorder="1">
      <alignment vertical="center"/>
    </xf>
    <xf numFmtId="49" fontId="15" fillId="35" borderId="492" xfId="0" applyNumberFormat="1" applyFont="1" applyFill="1" applyBorder="1">
      <alignment vertical="center"/>
    </xf>
    <xf numFmtId="49" fontId="15" fillId="35" borderId="35" xfId="0" applyNumberFormat="1" applyFont="1" applyFill="1" applyBorder="1">
      <alignment vertical="center"/>
    </xf>
    <xf numFmtId="49" fontId="15" fillId="35" borderId="495" xfId="0" applyNumberFormat="1" applyFont="1" applyFill="1" applyBorder="1">
      <alignment vertical="center"/>
    </xf>
    <xf numFmtId="49" fontId="15" fillId="35" borderId="495" xfId="0" applyNumberFormat="1" applyFont="1" applyFill="1" applyBorder="1" applyAlignment="1">
      <alignment horizontal="center" vertical="center"/>
    </xf>
    <xf numFmtId="49" fontId="15" fillId="35" borderId="496" xfId="0" applyNumberFormat="1" applyFont="1" applyFill="1" applyBorder="1">
      <alignment vertical="center"/>
    </xf>
    <xf numFmtId="49" fontId="15" fillId="0" borderId="497" xfId="0" applyNumberFormat="1" applyFont="1" applyBorder="1">
      <alignment vertical="center"/>
    </xf>
    <xf numFmtId="49" fontId="15" fillId="0" borderId="497" xfId="0" applyNumberFormat="1" applyFont="1" applyBorder="1" applyAlignment="1">
      <alignment horizontal="center" vertical="center"/>
    </xf>
    <xf numFmtId="49" fontId="15" fillId="0" borderId="498" xfId="0" applyNumberFormat="1" applyFont="1" applyBorder="1">
      <alignment vertical="center"/>
    </xf>
    <xf numFmtId="0" fontId="15" fillId="0" borderId="41" xfId="0" applyFont="1" applyBorder="1" applyAlignment="1">
      <alignment vertical="top" wrapText="1"/>
    </xf>
    <xf numFmtId="49" fontId="15" fillId="0" borderId="41" xfId="0" applyNumberFormat="1" applyFont="1" applyBorder="1" applyAlignment="1">
      <alignment vertical="center" wrapText="1"/>
    </xf>
    <xf numFmtId="49" fontId="15" fillId="0" borderId="41" xfId="0" applyNumberFormat="1" applyFont="1" applyBorder="1">
      <alignment vertical="center"/>
    </xf>
    <xf numFmtId="49" fontId="15" fillId="0" borderId="41" xfId="0" applyNumberFormat="1" applyFont="1" applyBorder="1" applyAlignment="1">
      <alignment horizontal="center" vertical="center"/>
    </xf>
    <xf numFmtId="49" fontId="15" fillId="36" borderId="499" xfId="0" applyNumberFormat="1" applyFont="1" applyFill="1" applyBorder="1">
      <alignment vertical="center"/>
    </xf>
    <xf numFmtId="49" fontId="15" fillId="36" borderId="493" xfId="0" applyNumberFormat="1" applyFont="1" applyFill="1" applyBorder="1" applyAlignment="1">
      <alignment vertical="center" wrapText="1"/>
    </xf>
    <xf numFmtId="49" fontId="94" fillId="0" borderId="92" xfId="0" applyNumberFormat="1" applyFont="1" applyBorder="1">
      <alignment vertical="center"/>
    </xf>
    <xf numFmtId="49" fontId="15" fillId="0" borderId="28" xfId="0" applyNumberFormat="1" applyFont="1" applyBorder="1" applyAlignment="1">
      <alignment vertical="center" wrapText="1"/>
    </xf>
    <xf numFmtId="49" fontId="15" fillId="0" borderId="92" xfId="0" applyNumberFormat="1" applyFont="1" applyBorder="1" applyAlignment="1">
      <alignment horizontal="center" vertical="center"/>
    </xf>
    <xf numFmtId="49" fontId="15" fillId="0" borderId="501" xfId="0" applyNumberFormat="1" applyFont="1" applyBorder="1">
      <alignment vertical="center"/>
    </xf>
    <xf numFmtId="49" fontId="15" fillId="35" borderId="53" xfId="0" applyNumberFormat="1" applyFont="1" applyFill="1" applyBorder="1">
      <alignment vertical="center"/>
    </xf>
    <xf numFmtId="49" fontId="15" fillId="35" borderId="493" xfId="0" applyNumberFormat="1" applyFont="1" applyFill="1" applyBorder="1" applyAlignment="1">
      <alignment horizontal="center" vertical="center"/>
    </xf>
    <xf numFmtId="49" fontId="15" fillId="35" borderId="493" xfId="0" applyNumberFormat="1" applyFont="1" applyFill="1" applyBorder="1">
      <alignment vertical="center"/>
    </xf>
    <xf numFmtId="49" fontId="15" fillId="36" borderId="504" xfId="0" applyNumberFormat="1" applyFont="1" applyFill="1" applyBorder="1" applyAlignment="1">
      <alignment horizontal="center" vertical="center"/>
    </xf>
    <xf numFmtId="49" fontId="15" fillId="36" borderId="497" xfId="0" applyNumberFormat="1" applyFont="1" applyFill="1" applyBorder="1" applyAlignment="1">
      <alignment vertical="center" wrapText="1"/>
    </xf>
    <xf numFmtId="49" fontId="15" fillId="36" borderId="497" xfId="0" applyNumberFormat="1" applyFont="1" applyFill="1" applyBorder="1">
      <alignment vertical="center"/>
    </xf>
    <xf numFmtId="49" fontId="94" fillId="0" borderId="54" xfId="0" applyNumberFormat="1" applyFont="1" applyBorder="1">
      <alignment vertical="center"/>
    </xf>
    <xf numFmtId="49" fontId="15" fillId="0" borderId="502" xfId="0" applyNumberFormat="1" applyFont="1" applyBorder="1" applyAlignment="1">
      <alignment horizontal="center" vertical="center"/>
    </xf>
    <xf numFmtId="49" fontId="15" fillId="0" borderId="502" xfId="0" applyNumberFormat="1" applyFont="1" applyBorder="1" applyAlignment="1">
      <alignment vertical="center" wrapText="1"/>
    </xf>
    <xf numFmtId="49" fontId="15" fillId="0" borderId="502" xfId="0" applyNumberFormat="1" applyFont="1" applyBorder="1">
      <alignment vertical="center"/>
    </xf>
    <xf numFmtId="49" fontId="15" fillId="37" borderId="497" xfId="0" applyNumberFormat="1" applyFont="1" applyFill="1" applyBorder="1" applyAlignment="1">
      <alignment horizontal="center" vertical="center"/>
    </xf>
    <xf numFmtId="49" fontId="97" fillId="33" borderId="46" xfId="153" applyNumberFormat="1" applyFont="1" applyFill="1" applyBorder="1">
      <alignment vertical="center"/>
    </xf>
    <xf numFmtId="49" fontId="15" fillId="0" borderId="4" xfId="0" applyNumberFormat="1" applyFont="1" applyBorder="1">
      <alignment vertical="center"/>
    </xf>
    <xf numFmtId="49" fontId="15" fillId="33" borderId="56" xfId="0" applyNumberFormat="1" applyFont="1" applyFill="1" applyBorder="1">
      <alignment vertical="center"/>
    </xf>
    <xf numFmtId="49" fontId="15" fillId="33" borderId="58" xfId="0" applyNumberFormat="1" applyFont="1" applyFill="1" applyBorder="1">
      <alignment vertical="center"/>
    </xf>
    <xf numFmtId="0" fontId="97" fillId="33" borderId="497" xfId="153" applyFont="1" applyFill="1" applyBorder="1" applyAlignment="1">
      <alignment horizontal="left" vertical="center" wrapText="1"/>
    </xf>
    <xf numFmtId="49" fontId="15" fillId="33" borderId="506" xfId="0" applyNumberFormat="1" applyFont="1" applyFill="1" applyBorder="1" applyAlignment="1">
      <alignment horizontal="left" vertical="center"/>
    </xf>
    <xf numFmtId="0" fontId="97" fillId="34" borderId="503" xfId="153" applyFont="1" applyFill="1" applyBorder="1">
      <alignment vertical="center"/>
    </xf>
    <xf numFmtId="49" fontId="15" fillId="34" borderId="507" xfId="0" applyNumberFormat="1" applyFont="1" applyFill="1" applyBorder="1">
      <alignment vertical="center"/>
    </xf>
    <xf numFmtId="49" fontId="15" fillId="34" borderId="59" xfId="0" applyNumberFormat="1" applyFont="1" applyFill="1" applyBorder="1">
      <alignment vertical="center"/>
    </xf>
    <xf numFmtId="49" fontId="15" fillId="0" borderId="0" xfId="0" applyNumberFormat="1" applyFont="1" applyAlignment="1">
      <alignment vertical="center" wrapText="1"/>
    </xf>
    <xf numFmtId="49" fontId="15" fillId="0" borderId="511" xfId="0" applyNumberFormat="1" applyFont="1" applyBorder="1">
      <alignment vertical="center"/>
    </xf>
    <xf numFmtId="49" fontId="15" fillId="35" borderId="0" xfId="0" applyNumberFormat="1" applyFont="1" applyFill="1">
      <alignment vertical="center"/>
    </xf>
    <xf numFmtId="0" fontId="81" fillId="0" borderId="32" xfId="0" applyFont="1" applyBorder="1" applyAlignment="1">
      <alignment horizontal="center" vertical="center"/>
    </xf>
    <xf numFmtId="14" fontId="15" fillId="0" borderId="32" xfId="0" applyNumberFormat="1" applyFont="1" applyBorder="1" applyAlignment="1">
      <alignment horizontal="center" vertical="center"/>
    </xf>
    <xf numFmtId="0" fontId="15" fillId="0" borderId="546" xfId="3277" applyFont="1" applyBorder="1" applyAlignment="1">
      <alignment horizontal="left" vertical="top" wrapText="1"/>
    </xf>
    <xf numFmtId="0" fontId="15" fillId="0" borderId="27" xfId="3277" applyFont="1" applyBorder="1" applyAlignment="1">
      <alignment horizontal="left" vertical="top" wrapText="1"/>
    </xf>
    <xf numFmtId="0" fontId="15" fillId="36" borderId="545" xfId="0" applyFont="1" applyFill="1" applyBorder="1" applyAlignment="1">
      <alignment vertical="top"/>
    </xf>
    <xf numFmtId="0" fontId="81" fillId="0" borderId="31" xfId="0" applyFont="1" applyBorder="1" applyAlignment="1">
      <alignment horizontal="center" vertical="center"/>
    </xf>
    <xf numFmtId="0" fontId="15" fillId="0" borderId="31" xfId="3258" applyFont="1" applyBorder="1" applyAlignment="1">
      <alignment horizontal="center" vertical="center"/>
    </xf>
    <xf numFmtId="49" fontId="0" fillId="0" borderId="0" xfId="0" applyNumberFormat="1">
      <alignment vertical="center"/>
    </xf>
    <xf numFmtId="0" fontId="0" fillId="0" borderId="1" xfId="149" applyFont="1" applyBorder="1" applyAlignment="1">
      <alignment vertical="top" wrapText="1"/>
    </xf>
    <xf numFmtId="49" fontId="15" fillId="0" borderId="0" xfId="0" applyNumberFormat="1" applyFont="1" applyBorder="1" applyAlignment="1">
      <alignment horizontal="center" vertical="center"/>
    </xf>
    <xf numFmtId="49" fontId="15" fillId="0" borderId="41" xfId="0" applyNumberFormat="1" applyFont="1" applyFill="1" applyBorder="1" applyAlignment="1">
      <alignment horizontal="center" vertical="center"/>
    </xf>
    <xf numFmtId="49" fontId="15" fillId="0" borderId="0" xfId="0" applyNumberFormat="1" applyFont="1" applyBorder="1">
      <alignment vertical="center"/>
    </xf>
    <xf numFmtId="49" fontId="15" fillId="36" borderId="555" xfId="0" applyNumberFormat="1" applyFont="1" applyFill="1" applyBorder="1">
      <alignment vertical="center"/>
    </xf>
    <xf numFmtId="49" fontId="15" fillId="36" borderId="556" xfId="0" applyNumberFormat="1" applyFont="1" applyFill="1" applyBorder="1">
      <alignment vertical="center"/>
    </xf>
    <xf numFmtId="49" fontId="15" fillId="36" borderId="557" xfId="0" applyNumberFormat="1" applyFont="1" applyFill="1" applyBorder="1" applyAlignment="1">
      <alignment vertical="center" wrapText="1"/>
    </xf>
    <xf numFmtId="49" fontId="15" fillId="0" borderId="45" xfId="0" applyNumberFormat="1" applyFont="1" applyBorder="1" applyAlignment="1">
      <alignment horizontal="center" vertical="center"/>
    </xf>
    <xf numFmtId="49" fontId="15" fillId="0" borderId="45" xfId="0" applyNumberFormat="1" applyFont="1" applyBorder="1">
      <alignment vertical="center"/>
    </xf>
    <xf numFmtId="49" fontId="15" fillId="0" borderId="558" xfId="0" applyNumberFormat="1" applyFont="1" applyBorder="1" applyAlignment="1">
      <alignment horizontal="center" vertical="center" wrapText="1"/>
    </xf>
    <xf numFmtId="0" fontId="15" fillId="0" borderId="28" xfId="0" applyFont="1" applyBorder="1" applyAlignment="1">
      <alignment vertical="top" wrapText="1"/>
    </xf>
    <xf numFmtId="49" fontId="15" fillId="0" borderId="49" xfId="0" applyNumberFormat="1" applyFont="1" applyBorder="1" applyAlignment="1">
      <alignment horizontal="center" vertical="center"/>
    </xf>
    <xf numFmtId="49" fontId="15" fillId="0" borderId="31" xfId="0" applyNumberFormat="1" applyFont="1" applyBorder="1" applyAlignment="1">
      <alignment horizontal="center" vertical="center"/>
    </xf>
    <xf numFmtId="49" fontId="15" fillId="0" borderId="31" xfId="0" applyNumberFormat="1" applyFont="1" applyBorder="1">
      <alignment vertical="center"/>
    </xf>
    <xf numFmtId="49" fontId="15" fillId="0" borderId="559" xfId="0" applyNumberFormat="1" applyFont="1" applyBorder="1" applyAlignment="1">
      <alignment horizontal="center" vertical="center" wrapText="1"/>
    </xf>
    <xf numFmtId="0" fontId="15" fillId="0" borderId="45" xfId="3258" applyFont="1" applyBorder="1" applyAlignment="1">
      <alignment vertical="top" wrapText="1"/>
    </xf>
    <xf numFmtId="0" fontId="15" fillId="35" borderId="555" xfId="0" applyFont="1" applyFill="1" applyBorder="1" applyAlignment="1">
      <alignment horizontal="center" vertical="top"/>
    </xf>
    <xf numFmtId="0" fontId="15" fillId="35" borderId="556" xfId="0" applyFont="1" applyFill="1" applyBorder="1" applyAlignment="1">
      <alignment horizontal="center" vertical="top"/>
    </xf>
    <xf numFmtId="0" fontId="15" fillId="35" borderId="560" xfId="0" applyFont="1" applyFill="1" applyBorder="1" applyAlignment="1">
      <alignment horizontal="center" vertical="top"/>
    </xf>
    <xf numFmtId="0" fontId="15" fillId="35" borderId="554" xfId="0" applyFont="1" applyFill="1" applyBorder="1" applyAlignment="1">
      <alignment vertical="top"/>
    </xf>
    <xf numFmtId="0" fontId="15" fillId="35" borderId="554" xfId="0" applyFont="1" applyFill="1" applyBorder="1" applyAlignment="1">
      <alignment vertical="top" wrapText="1"/>
    </xf>
    <xf numFmtId="178" fontId="15" fillId="35" borderId="554" xfId="0" applyNumberFormat="1" applyFont="1" applyFill="1" applyBorder="1" applyAlignment="1">
      <alignment horizontal="center" vertical="center"/>
    </xf>
    <xf numFmtId="0" fontId="81" fillId="35" borderId="554" xfId="0" applyFont="1" applyFill="1" applyBorder="1" applyAlignment="1">
      <alignment horizontal="center" vertical="center"/>
    </xf>
    <xf numFmtId="0" fontId="15" fillId="35" borderId="554" xfId="3258" applyFont="1" applyFill="1" applyBorder="1">
      <alignment vertical="center"/>
    </xf>
    <xf numFmtId="0" fontId="15" fillId="36" borderId="555" xfId="0" applyFont="1" applyFill="1" applyBorder="1" applyAlignment="1">
      <alignment horizontal="center" vertical="top"/>
    </xf>
    <xf numFmtId="0" fontId="81" fillId="36" borderId="45" xfId="0" applyFont="1" applyFill="1" applyBorder="1" applyAlignment="1">
      <alignment vertical="top" wrapText="1"/>
    </xf>
    <xf numFmtId="0" fontId="81" fillId="36" borderId="45" xfId="0" applyFont="1" applyFill="1" applyBorder="1" applyAlignment="1">
      <alignment horizontal="center" vertical="center"/>
    </xf>
    <xf numFmtId="0" fontId="15" fillId="36" borderId="45" xfId="3258" applyFont="1" applyFill="1" applyBorder="1">
      <alignment vertical="center"/>
    </xf>
    <xf numFmtId="14" fontId="81" fillId="0" borderId="45" xfId="0" applyNumberFormat="1" applyFont="1" applyBorder="1" applyAlignment="1">
      <alignment horizontal="center" vertical="center"/>
    </xf>
    <xf numFmtId="0" fontId="81" fillId="0" borderId="45" xfId="0" applyFont="1" applyBorder="1" applyAlignment="1">
      <alignment horizontal="center" vertical="center"/>
    </xf>
    <xf numFmtId="0" fontId="15" fillId="0" borderId="45" xfId="3258" applyFont="1" applyBorder="1" applyAlignment="1">
      <alignment horizontal="center" vertical="center"/>
    </xf>
    <xf numFmtId="0" fontId="15" fillId="0" borderId="45" xfId="0" applyFont="1" applyBorder="1" applyAlignment="1">
      <alignment vertical="center" wrapText="1"/>
    </xf>
    <xf numFmtId="0" fontId="15" fillId="36" borderId="561" xfId="0" applyFont="1" applyFill="1" applyBorder="1" applyAlignment="1">
      <alignment vertical="top" wrapText="1"/>
    </xf>
    <xf numFmtId="0" fontId="15" fillId="36" borderId="556" xfId="0" applyFont="1" applyFill="1" applyBorder="1" applyAlignment="1">
      <alignment vertical="top" wrapText="1"/>
    </xf>
    <xf numFmtId="14" fontId="15" fillId="36" borderId="556" xfId="0" applyNumberFormat="1" applyFont="1" applyFill="1" applyBorder="1" applyAlignment="1">
      <alignment horizontal="center" vertical="center" wrapText="1"/>
    </xf>
    <xf numFmtId="0" fontId="15" fillId="36" borderId="556" xfId="0" applyFont="1" applyFill="1" applyBorder="1" applyAlignment="1">
      <alignment horizontal="center" vertical="center" wrapText="1"/>
    </xf>
    <xf numFmtId="0" fontId="15" fillId="36" borderId="556" xfId="0" applyFont="1" applyFill="1" applyBorder="1" applyAlignment="1">
      <alignment vertical="center" wrapText="1"/>
    </xf>
    <xf numFmtId="0" fontId="15" fillId="35" borderId="561" xfId="0" applyFont="1" applyFill="1" applyBorder="1" applyAlignment="1">
      <alignment vertical="top" wrapText="1"/>
    </xf>
    <xf numFmtId="0" fontId="15" fillId="35" borderId="556" xfId="0" applyFont="1" applyFill="1" applyBorder="1" applyAlignment="1">
      <alignment vertical="top" wrapText="1"/>
    </xf>
    <xf numFmtId="14" fontId="15" fillId="35" borderId="556" xfId="0" applyNumberFormat="1" applyFont="1" applyFill="1" applyBorder="1" applyAlignment="1">
      <alignment horizontal="center" vertical="center" wrapText="1"/>
    </xf>
    <xf numFmtId="0" fontId="15" fillId="35" borderId="556" xfId="0" applyFont="1" applyFill="1" applyBorder="1" applyAlignment="1">
      <alignment horizontal="center" vertical="center" wrapText="1"/>
    </xf>
    <xf numFmtId="0" fontId="15" fillId="35" borderId="556" xfId="0" applyFont="1" applyFill="1" applyBorder="1" applyAlignment="1">
      <alignment vertical="center" wrapText="1"/>
    </xf>
    <xf numFmtId="0" fontId="15" fillId="0" borderId="33" xfId="3258" applyFont="1" applyBorder="1" applyAlignment="1">
      <alignment horizontal="center" vertical="center"/>
    </xf>
    <xf numFmtId="0" fontId="15" fillId="0" borderId="32" xfId="3258" applyFont="1" applyBorder="1" applyAlignment="1">
      <alignment horizontal="center" vertical="center"/>
    </xf>
    <xf numFmtId="0" fontId="81" fillId="36" borderId="40" xfId="0" applyFont="1" applyFill="1" applyBorder="1" applyAlignment="1">
      <alignment vertical="top" wrapText="1"/>
    </xf>
    <xf numFmtId="14" fontId="81" fillId="36" borderId="35" xfId="0" applyNumberFormat="1" applyFont="1" applyFill="1" applyBorder="1" applyAlignment="1">
      <alignment horizontal="center" vertical="center" wrapText="1"/>
    </xf>
    <xf numFmtId="0" fontId="81" fillId="36" borderId="35" xfId="0" applyFont="1" applyFill="1" applyBorder="1" applyAlignment="1">
      <alignment horizontal="center" vertical="center" wrapText="1"/>
    </xf>
    <xf numFmtId="0" fontId="81" fillId="36" borderId="556" xfId="0" applyFont="1" applyFill="1" applyBorder="1" applyAlignment="1">
      <alignment horizontal="center" vertical="center" wrapText="1"/>
    </xf>
    <xf numFmtId="0" fontId="81" fillId="36" borderId="35" xfId="0" applyFont="1" applyFill="1" applyBorder="1" applyAlignment="1">
      <alignment vertical="center" wrapText="1"/>
    </xf>
    <xf numFmtId="178" fontId="15" fillId="0" borderId="45" xfId="0" applyNumberFormat="1" applyFont="1" applyBorder="1" applyAlignment="1">
      <alignment horizontal="center" vertical="center"/>
    </xf>
    <xf numFmtId="178" fontId="15" fillId="0" borderId="32" xfId="0" applyNumberFormat="1" applyFont="1" applyBorder="1" applyAlignment="1">
      <alignment horizontal="center" vertical="center"/>
    </xf>
    <xf numFmtId="0" fontId="15" fillId="0" borderId="41" xfId="0" applyFont="1" applyFill="1" applyBorder="1" applyAlignment="1">
      <alignment horizontal="center" vertical="top"/>
    </xf>
    <xf numFmtId="0" fontId="15" fillId="0" borderId="41" xfId="0" applyFont="1" applyFill="1" applyBorder="1" applyAlignment="1">
      <alignment vertical="top" wrapText="1"/>
    </xf>
    <xf numFmtId="0" fontId="15" fillId="0" borderId="33" xfId="0" applyFont="1" applyFill="1" applyBorder="1" applyAlignment="1">
      <alignment vertical="top" wrapText="1"/>
    </xf>
    <xf numFmtId="14" fontId="81" fillId="0" borderId="33" xfId="0" applyNumberFormat="1" applyFont="1" applyFill="1" applyBorder="1" applyAlignment="1">
      <alignment horizontal="center" vertical="center"/>
    </xf>
    <xf numFmtId="0" fontId="81" fillId="0" borderId="33" xfId="0" applyFont="1" applyFill="1" applyBorder="1" applyAlignment="1">
      <alignment horizontal="center" vertical="center"/>
    </xf>
    <xf numFmtId="178" fontId="15" fillId="0" borderId="33" xfId="0" applyNumberFormat="1" applyFont="1" applyFill="1" applyBorder="1" applyAlignment="1">
      <alignment horizontal="center" vertical="center"/>
    </xf>
    <xf numFmtId="0" fontId="15" fillId="0" borderId="33" xfId="0" applyFont="1" applyFill="1" applyBorder="1" applyAlignment="1">
      <alignment vertical="center" wrapText="1"/>
    </xf>
    <xf numFmtId="0" fontId="15" fillId="0" borderId="41" xfId="0" applyFont="1" applyFill="1" applyBorder="1" applyAlignment="1">
      <alignment horizontal="left" vertical="top"/>
    </xf>
    <xf numFmtId="0" fontId="81" fillId="36" borderId="546" xfId="0" applyFont="1" applyFill="1" applyBorder="1" applyAlignment="1">
      <alignment vertical="top" wrapText="1"/>
    </xf>
    <xf numFmtId="0" fontId="15" fillId="0" borderId="546" xfId="0" applyFont="1" applyBorder="1" applyAlignment="1">
      <alignment horizontal="center" vertical="center" wrapText="1"/>
    </xf>
    <xf numFmtId="0" fontId="15" fillId="2" borderId="554" xfId="3258" applyFont="1" applyFill="1" applyBorder="1" applyAlignment="1">
      <alignment horizontal="center" vertical="center"/>
    </xf>
    <xf numFmtId="0" fontId="15" fillId="35" borderId="560" xfId="3258" applyFont="1" applyFill="1" applyBorder="1" applyAlignment="1">
      <alignment horizontal="center" vertical="top"/>
    </xf>
    <xf numFmtId="0" fontId="15" fillId="36" borderId="562" xfId="3258" applyFont="1" applyFill="1" applyBorder="1" applyAlignment="1">
      <alignment horizontal="center" vertical="top"/>
    </xf>
    <xf numFmtId="0" fontId="15" fillId="0" borderId="546" xfId="3258" applyFont="1" applyBorder="1" applyAlignment="1">
      <alignment horizontal="center" vertical="center" wrapText="1"/>
    </xf>
    <xf numFmtId="0" fontId="15" fillId="36" borderId="562" xfId="3258" applyFont="1" applyFill="1" applyBorder="1" applyAlignment="1">
      <alignment horizontal="center" vertical="center"/>
    </xf>
    <xf numFmtId="0" fontId="15" fillId="35" borderId="560" xfId="3258" applyFont="1" applyFill="1" applyBorder="1" applyAlignment="1">
      <alignment horizontal="center" vertical="center"/>
    </xf>
    <xf numFmtId="0" fontId="15" fillId="0" borderId="554" xfId="3258" applyFont="1" applyBorder="1" applyAlignment="1">
      <alignment horizontal="center" vertical="center" wrapText="1"/>
    </xf>
    <xf numFmtId="0" fontId="15" fillId="0" borderId="33" xfId="3258" applyFont="1" applyBorder="1" applyAlignment="1">
      <alignment horizontal="center" vertical="center" wrapText="1"/>
    </xf>
    <xf numFmtId="0" fontId="15" fillId="0" borderId="29" xfId="3258" applyFont="1" applyBorder="1" applyAlignment="1">
      <alignment horizontal="center" vertical="center" wrapText="1"/>
    </xf>
    <xf numFmtId="178" fontId="81" fillId="36" borderId="546" xfId="0" applyNumberFormat="1" applyFont="1" applyFill="1" applyBorder="1" applyAlignment="1">
      <alignment horizontal="center" vertical="center"/>
    </xf>
    <xf numFmtId="0" fontId="15" fillId="0" borderId="31" xfId="3258" applyFont="1" applyBorder="1" applyAlignment="1">
      <alignment horizontal="center" vertical="center" wrapText="1"/>
    </xf>
    <xf numFmtId="0" fontId="81" fillId="36" borderId="554" xfId="0" applyFont="1" applyFill="1" applyBorder="1" applyAlignment="1">
      <alignment vertical="center" wrapText="1"/>
    </xf>
    <xf numFmtId="0" fontId="15" fillId="0" borderId="41" xfId="0" applyFont="1" applyBorder="1" applyAlignment="1">
      <alignment horizontal="center" vertical="center" wrapText="1"/>
    </xf>
    <xf numFmtId="0" fontId="98" fillId="33" borderId="561" xfId="153" applyFont="1" applyFill="1" applyBorder="1" applyAlignment="1">
      <alignment vertical="top"/>
    </xf>
    <xf numFmtId="0" fontId="100" fillId="33" borderId="556" xfId="153" applyFont="1" applyFill="1" applyBorder="1" applyAlignment="1">
      <alignment vertical="top"/>
    </xf>
    <xf numFmtId="0" fontId="100" fillId="33" borderId="560" xfId="153" applyFont="1" applyFill="1" applyBorder="1" applyAlignment="1">
      <alignment vertical="top"/>
    </xf>
    <xf numFmtId="0" fontId="100" fillId="0" borderId="0" xfId="153" applyFont="1" applyAlignment="1">
      <alignment horizontal="center" vertical="top"/>
    </xf>
    <xf numFmtId="0" fontId="99" fillId="39" borderId="561" xfId="153" applyFont="1" applyFill="1" applyBorder="1" applyAlignment="1">
      <alignment vertical="top"/>
    </xf>
    <xf numFmtId="0" fontId="100" fillId="39" borderId="556" xfId="153" applyFont="1" applyFill="1" applyBorder="1" applyAlignment="1">
      <alignment vertical="top"/>
    </xf>
    <xf numFmtId="0" fontId="100" fillId="39" borderId="560" xfId="153" applyFont="1" applyFill="1" applyBorder="1" applyAlignment="1">
      <alignment vertical="top"/>
    </xf>
    <xf numFmtId="0" fontId="100" fillId="40" borderId="555" xfId="153" applyFont="1" applyFill="1" applyBorder="1" applyAlignment="1">
      <alignment vertical="top"/>
    </xf>
    <xf numFmtId="0" fontId="100" fillId="40" borderId="495" xfId="153" applyFont="1" applyFill="1" applyBorder="1" applyAlignment="1">
      <alignment vertical="top"/>
    </xf>
    <xf numFmtId="0" fontId="100" fillId="40" borderId="562" xfId="153" applyFont="1" applyFill="1" applyBorder="1" applyAlignment="1">
      <alignment vertical="top"/>
    </xf>
    <xf numFmtId="0" fontId="77" fillId="0" borderId="0" xfId="3298" applyFont="1">
      <alignment vertical="center"/>
    </xf>
    <xf numFmtId="0" fontId="100" fillId="33" borderId="561" xfId="153" applyFont="1" applyFill="1" applyBorder="1" applyAlignment="1">
      <alignment vertical="top"/>
    </xf>
    <xf numFmtId="0" fontId="100" fillId="39" borderId="561" xfId="153" applyFont="1" applyFill="1" applyBorder="1" applyAlignment="1">
      <alignment vertical="top"/>
    </xf>
    <xf numFmtId="0" fontId="100" fillId="34" borderId="561" xfId="153" applyFont="1" applyFill="1" applyBorder="1" applyAlignment="1">
      <alignment vertical="top"/>
    </xf>
    <xf numFmtId="0" fontId="100" fillId="34" borderId="556" xfId="153" applyFont="1" applyFill="1" applyBorder="1" applyAlignment="1">
      <alignment vertical="top"/>
    </xf>
    <xf numFmtId="0" fontId="100" fillId="34" borderId="560" xfId="153" applyFont="1" applyFill="1" applyBorder="1" applyAlignment="1">
      <alignment vertical="top"/>
    </xf>
    <xf numFmtId="0" fontId="100" fillId="40" borderId="26" xfId="153" applyFont="1" applyFill="1" applyBorder="1" applyAlignment="1">
      <alignment vertical="top"/>
    </xf>
    <xf numFmtId="0" fontId="100" fillId="40" borderId="0" xfId="153" applyFont="1" applyFill="1" applyAlignment="1">
      <alignment vertical="top"/>
    </xf>
    <xf numFmtId="0" fontId="100" fillId="40" borderId="27" xfId="153" applyFont="1" applyFill="1" applyBorder="1" applyAlignment="1">
      <alignment vertical="top"/>
    </xf>
    <xf numFmtId="0" fontId="101" fillId="33" borderId="561" xfId="153" applyFont="1" applyFill="1" applyBorder="1" applyAlignment="1">
      <alignment vertical="top"/>
    </xf>
    <xf numFmtId="0" fontId="101" fillId="33" borderId="556" xfId="153" applyFont="1" applyFill="1" applyBorder="1" applyAlignment="1">
      <alignment vertical="top"/>
    </xf>
    <xf numFmtId="0" fontId="101" fillId="33" borderId="560" xfId="153" applyFont="1" applyFill="1" applyBorder="1" applyAlignment="1">
      <alignment vertical="top"/>
    </xf>
    <xf numFmtId="0" fontId="101" fillId="0" borderId="0" xfId="153" applyFont="1" applyAlignment="1">
      <alignment horizontal="center" vertical="top"/>
    </xf>
    <xf numFmtId="0" fontId="101" fillId="39" borderId="561" xfId="153" applyFont="1" applyFill="1" applyBorder="1" applyAlignment="1">
      <alignment vertical="top"/>
    </xf>
    <xf numFmtId="0" fontId="101" fillId="39" borderId="556" xfId="153" applyFont="1" applyFill="1" applyBorder="1" applyAlignment="1">
      <alignment vertical="top"/>
    </xf>
    <xf numFmtId="0" fontId="101" fillId="34" borderId="561" xfId="153" applyFont="1" applyFill="1" applyBorder="1" applyAlignment="1">
      <alignment vertical="top"/>
    </xf>
    <xf numFmtId="0" fontId="101" fillId="34" borderId="556" xfId="153" applyFont="1" applyFill="1" applyBorder="1" applyAlignment="1">
      <alignment vertical="top"/>
    </xf>
    <xf numFmtId="0" fontId="101" fillId="34" borderId="560" xfId="153" applyFont="1" applyFill="1" applyBorder="1" applyAlignment="1">
      <alignment vertical="top"/>
    </xf>
    <xf numFmtId="0" fontId="101" fillId="40" borderId="26" xfId="153" applyFont="1" applyFill="1" applyBorder="1" applyAlignment="1">
      <alignment vertical="top"/>
    </xf>
    <xf numFmtId="0" fontId="101" fillId="40" borderId="0" xfId="153" applyFont="1" applyFill="1" applyAlignment="1">
      <alignment vertical="top"/>
    </xf>
    <xf numFmtId="0" fontId="101" fillId="40" borderId="27" xfId="153" applyFont="1" applyFill="1" applyBorder="1" applyAlignment="1">
      <alignment vertical="top"/>
    </xf>
    <xf numFmtId="0" fontId="100" fillId="33" borderId="554" xfId="153" applyFont="1" applyFill="1" applyBorder="1" applyAlignment="1">
      <alignment horizontal="center" vertical="center"/>
    </xf>
    <xf numFmtId="0" fontId="100" fillId="33" borderId="554" xfId="153" applyFont="1" applyFill="1" applyBorder="1" applyAlignment="1">
      <alignment horizontal="center" vertical="center" wrapText="1"/>
    </xf>
    <xf numFmtId="0" fontId="100" fillId="0" borderId="0" xfId="153" applyFont="1" applyAlignment="1">
      <alignment horizontal="center" vertical="center"/>
    </xf>
    <xf numFmtId="0" fontId="100" fillId="39" borderId="554" xfId="153" applyFont="1" applyFill="1" applyBorder="1" applyAlignment="1">
      <alignment horizontal="center" vertical="center"/>
    </xf>
    <xf numFmtId="0" fontId="100" fillId="39" borderId="554" xfId="153" applyFont="1" applyFill="1" applyBorder="1" applyAlignment="1">
      <alignment horizontal="center" vertical="center" wrapText="1"/>
    </xf>
    <xf numFmtId="0" fontId="100" fillId="34" borderId="554" xfId="3298" applyFont="1" applyFill="1" applyBorder="1" applyAlignment="1">
      <alignment horizontal="center" vertical="center" wrapText="1"/>
    </xf>
    <xf numFmtId="0" fontId="100" fillId="34" borderId="554" xfId="3298" applyFont="1" applyFill="1" applyBorder="1" applyAlignment="1">
      <alignment horizontal="center" vertical="center"/>
    </xf>
    <xf numFmtId="0" fontId="100" fillId="40" borderId="563" xfId="153" applyFont="1" applyFill="1" applyBorder="1" applyAlignment="1">
      <alignment vertical="top"/>
    </xf>
    <xf numFmtId="0" fontId="102" fillId="0" borderId="0" xfId="3298" applyFont="1">
      <alignment vertical="center"/>
    </xf>
    <xf numFmtId="0" fontId="101" fillId="33" borderId="554" xfId="153" applyFont="1" applyFill="1" applyBorder="1" applyAlignment="1">
      <alignment horizontal="center" vertical="center"/>
    </xf>
    <xf numFmtId="0" fontId="101" fillId="33" borderId="554" xfId="153" applyFont="1" applyFill="1" applyBorder="1" applyAlignment="1">
      <alignment horizontal="center" vertical="center" wrapText="1"/>
    </xf>
    <xf numFmtId="0" fontId="101" fillId="0" borderId="28" xfId="153" applyFont="1" applyBorder="1" applyAlignment="1">
      <alignment horizontal="center" vertical="center" wrapText="1"/>
    </xf>
    <xf numFmtId="0" fontId="101" fillId="39" borderId="554" xfId="153" applyFont="1" applyFill="1" applyBorder="1" applyAlignment="1">
      <alignment horizontal="center" vertical="center"/>
    </xf>
    <xf numFmtId="0" fontId="101" fillId="39" borderId="554" xfId="153" applyFont="1" applyFill="1" applyBorder="1" applyAlignment="1">
      <alignment horizontal="center" vertical="center" wrapText="1"/>
    </xf>
    <xf numFmtId="0" fontId="101" fillId="34" borderId="554" xfId="3298" applyFont="1" applyFill="1" applyBorder="1" applyAlignment="1">
      <alignment horizontal="center" vertical="center" wrapText="1"/>
    </xf>
    <xf numFmtId="0" fontId="101" fillId="34" borderId="554" xfId="3298" applyFont="1" applyFill="1" applyBorder="1" applyAlignment="1">
      <alignment horizontal="center" vertical="center"/>
    </xf>
    <xf numFmtId="0" fontId="101" fillId="40" borderId="554" xfId="3298" applyFont="1" applyFill="1" applyBorder="1" applyAlignment="1">
      <alignment horizontal="center" vertical="center" wrapText="1"/>
    </xf>
    <xf numFmtId="0" fontId="101" fillId="40" borderId="554" xfId="3298" applyFont="1" applyFill="1" applyBorder="1" applyAlignment="1">
      <alignment horizontal="center" vertical="center"/>
    </xf>
    <xf numFmtId="0" fontId="100" fillId="39" borderId="554" xfId="153" applyFont="1" applyFill="1" applyBorder="1" applyAlignment="1">
      <alignment horizontal="left" vertical="top"/>
    </xf>
    <xf numFmtId="0" fontId="100" fillId="39" borderId="554" xfId="153" applyFont="1" applyFill="1" applyBorder="1" applyAlignment="1">
      <alignment horizontal="center" vertical="top"/>
    </xf>
    <xf numFmtId="0" fontId="77" fillId="34" borderId="554" xfId="3298" applyFont="1" applyFill="1" applyBorder="1">
      <alignment vertical="center"/>
    </xf>
    <xf numFmtId="0" fontId="77" fillId="40" borderId="29" xfId="3298" applyFont="1" applyFill="1" applyBorder="1">
      <alignment vertical="center"/>
    </xf>
    <xf numFmtId="0" fontId="77" fillId="0" borderId="554" xfId="153" applyFont="1" applyBorder="1" applyAlignment="1">
      <alignment vertical="center" wrapText="1"/>
    </xf>
    <xf numFmtId="0" fontId="77" fillId="0" borderId="563" xfId="153" applyFont="1" applyBorder="1" applyAlignment="1">
      <alignment vertical="center" wrapText="1"/>
    </xf>
    <xf numFmtId="49" fontId="77" fillId="0" borderId="563" xfId="153" applyNumberFormat="1" applyFont="1" applyBorder="1" applyAlignment="1">
      <alignment vertical="center" wrapText="1"/>
    </xf>
    <xf numFmtId="0" fontId="77" fillId="0" borderId="562" xfId="153" applyFont="1" applyBorder="1" applyAlignment="1">
      <alignment vertical="center" wrapText="1"/>
    </xf>
    <xf numFmtId="0" fontId="77" fillId="0" borderId="563" xfId="153" applyFont="1" applyBorder="1" applyAlignment="1">
      <alignment horizontal="center" vertical="center" wrapText="1"/>
    </xf>
    <xf numFmtId="0" fontId="77" fillId="0" borderId="554" xfId="153" applyFont="1" applyBorder="1" applyAlignment="1">
      <alignment horizontal="center" vertical="center" wrapText="1"/>
    </xf>
    <xf numFmtId="0" fontId="77" fillId="0" borderId="562" xfId="153" applyFont="1" applyBorder="1" applyAlignment="1">
      <alignment horizontal="center" vertical="center" wrapText="1"/>
    </xf>
    <xf numFmtId="0" fontId="103" fillId="0" borderId="563" xfId="153" applyFont="1" applyBorder="1" applyAlignment="1">
      <alignment vertical="center" wrapText="1"/>
    </xf>
    <xf numFmtId="0" fontId="77" fillId="0" borderId="28" xfId="153" applyFont="1" applyBorder="1" applyAlignment="1">
      <alignment horizontal="center" vertical="center" wrapText="1"/>
    </xf>
    <xf numFmtId="0" fontId="103" fillId="0" borderId="554" xfId="153" applyFont="1" applyBorder="1" applyAlignment="1">
      <alignment horizontal="center" vertical="center" wrapText="1"/>
    </xf>
    <xf numFmtId="0" fontId="103" fillId="0" borderId="554" xfId="3298" applyFont="1" applyBorder="1">
      <alignment vertical="center"/>
    </xf>
    <xf numFmtId="0" fontId="103" fillId="0" borderId="554" xfId="3298" applyFont="1" applyBorder="1" applyAlignment="1">
      <alignment vertical="center" wrapText="1"/>
    </xf>
    <xf numFmtId="0" fontId="77" fillId="0" borderId="554" xfId="3298" applyFont="1" applyBorder="1" applyAlignment="1">
      <alignment vertical="center" wrapText="1"/>
    </xf>
    <xf numFmtId="0" fontId="104" fillId="0" borderId="563" xfId="153" applyFont="1" applyBorder="1" applyAlignment="1">
      <alignment vertical="center" wrapText="1"/>
    </xf>
    <xf numFmtId="0" fontId="104" fillId="38" borderId="563" xfId="153" applyFont="1" applyFill="1" applyBorder="1" applyAlignment="1">
      <alignment vertical="center" wrapText="1"/>
    </xf>
    <xf numFmtId="0" fontId="105" fillId="0" borderId="554" xfId="3298" applyFont="1" applyBorder="1" applyAlignment="1">
      <alignment vertical="center" wrapText="1"/>
    </xf>
    <xf numFmtId="0" fontId="77" fillId="0" borderId="554" xfId="3298" applyFont="1" applyBorder="1">
      <alignment vertical="center"/>
    </xf>
    <xf numFmtId="0" fontId="77" fillId="0" borderId="554" xfId="3298" applyFont="1" applyBorder="1" applyAlignment="1">
      <alignment horizontal="center" vertical="center"/>
    </xf>
    <xf numFmtId="0" fontId="106" fillId="0" borderId="554" xfId="153" applyFont="1" applyBorder="1" applyAlignment="1">
      <alignment horizontal="center" vertical="center" wrapText="1"/>
    </xf>
    <xf numFmtId="0" fontId="103" fillId="0" borderId="563" xfId="3298" applyFont="1" applyBorder="1" applyAlignment="1">
      <alignment vertical="center" wrapText="1"/>
    </xf>
    <xf numFmtId="0" fontId="77" fillId="0" borderId="554" xfId="3300" applyFont="1" applyBorder="1" applyAlignment="1">
      <alignment vertical="center" wrapText="1"/>
    </xf>
    <xf numFmtId="0" fontId="104" fillId="3" borderId="563" xfId="153" applyFont="1" applyFill="1" applyBorder="1" applyAlignment="1">
      <alignment vertical="center" wrapText="1"/>
    </xf>
    <xf numFmtId="0" fontId="104" fillId="38" borderId="563" xfId="153" applyFont="1" applyFill="1" applyBorder="1" applyAlignment="1">
      <alignment horizontal="center" vertical="center" wrapText="1"/>
    </xf>
    <xf numFmtId="0" fontId="77" fillId="3" borderId="563" xfId="153" applyFont="1" applyFill="1" applyBorder="1" applyAlignment="1">
      <alignment vertical="center" wrapText="1"/>
    </xf>
    <xf numFmtId="49" fontId="77" fillId="3" borderId="563" xfId="153" applyNumberFormat="1" applyFont="1" applyFill="1" applyBorder="1" applyAlignment="1">
      <alignment vertical="center" wrapText="1"/>
    </xf>
    <xf numFmtId="0" fontId="77" fillId="3" borderId="563" xfId="153" applyFont="1" applyFill="1" applyBorder="1" applyAlignment="1">
      <alignment horizontal="center" vertical="center" wrapText="1"/>
    </xf>
    <xf numFmtId="0" fontId="77" fillId="3" borderId="554" xfId="153" applyFont="1" applyFill="1" applyBorder="1" applyAlignment="1">
      <alignment horizontal="center" vertical="center" wrapText="1"/>
    </xf>
    <xf numFmtId="0" fontId="77" fillId="3" borderId="562" xfId="153" applyFont="1" applyFill="1" applyBorder="1" applyAlignment="1">
      <alignment horizontal="center" vertical="center" wrapText="1"/>
    </xf>
    <xf numFmtId="0" fontId="77" fillId="3" borderId="562" xfId="153" applyFont="1" applyFill="1" applyBorder="1" applyAlignment="1">
      <alignment vertical="center" wrapText="1"/>
    </xf>
    <xf numFmtId="0" fontId="103" fillId="3" borderId="563" xfId="153" applyFont="1" applyFill="1" applyBorder="1" applyAlignment="1">
      <alignment vertical="center" wrapText="1"/>
    </xf>
    <xf numFmtId="0" fontId="77" fillId="0" borderId="0" xfId="3298" applyFont="1" applyAlignment="1">
      <alignment horizontal="center" vertical="center"/>
    </xf>
    <xf numFmtId="0" fontId="77" fillId="0" borderId="554" xfId="156" applyFont="1" applyBorder="1">
      <alignment vertical="center"/>
    </xf>
    <xf numFmtId="0" fontId="107" fillId="41" borderId="561" xfId="3298" applyFont="1" applyFill="1" applyBorder="1">
      <alignment vertical="center"/>
    </xf>
    <xf numFmtId="0" fontId="77" fillId="41" borderId="556" xfId="3298" applyFont="1" applyFill="1" applyBorder="1">
      <alignment vertical="center"/>
    </xf>
    <xf numFmtId="0" fontId="77" fillId="41" borderId="560" xfId="3298" applyFont="1" applyFill="1" applyBorder="1">
      <alignment vertical="center"/>
    </xf>
    <xf numFmtId="0" fontId="103" fillId="41" borderId="556" xfId="3298" applyFont="1" applyFill="1" applyBorder="1">
      <alignment vertical="center"/>
    </xf>
    <xf numFmtId="0" fontId="103" fillId="41" borderId="560" xfId="3298" applyFont="1" applyFill="1" applyBorder="1">
      <alignment vertical="center"/>
    </xf>
    <xf numFmtId="0" fontId="106" fillId="0" borderId="554" xfId="153" applyFont="1" applyBorder="1" applyAlignment="1">
      <alignment vertical="center" wrapText="1"/>
    </xf>
    <xf numFmtId="49" fontId="106" fillId="0" borderId="554" xfId="153" applyNumberFormat="1" applyFont="1" applyBorder="1" applyAlignment="1">
      <alignment vertical="center" wrapText="1"/>
    </xf>
    <xf numFmtId="0" fontId="106" fillId="0" borderId="28" xfId="153" applyFont="1" applyBorder="1" applyAlignment="1">
      <alignment horizontal="center" vertical="center" wrapText="1"/>
    </xf>
    <xf numFmtId="49" fontId="77" fillId="0" borderId="554" xfId="153" applyNumberFormat="1" applyFont="1" applyBorder="1" applyAlignment="1">
      <alignment vertical="center" wrapText="1"/>
    </xf>
    <xf numFmtId="49" fontId="106" fillId="0" borderId="28" xfId="153" applyNumberFormat="1" applyFont="1" applyBorder="1" applyAlignment="1">
      <alignment vertical="center" wrapText="1"/>
    </xf>
    <xf numFmtId="0" fontId="103" fillId="0" borderId="563" xfId="153" applyFont="1" applyBorder="1" applyAlignment="1">
      <alignment horizontal="center" vertical="center" wrapText="1"/>
    </xf>
    <xf numFmtId="0" fontId="108" fillId="0" borderId="554" xfId="153" applyFont="1" applyBorder="1" applyAlignment="1">
      <alignment horizontal="center" vertical="center" wrapText="1"/>
    </xf>
    <xf numFmtId="49" fontId="77" fillId="0" borderId="28" xfId="153" applyNumberFormat="1" applyFont="1" applyBorder="1" applyAlignment="1">
      <alignment vertical="center" wrapText="1"/>
    </xf>
    <xf numFmtId="0" fontId="77" fillId="0" borderId="0" xfId="156" applyFont="1">
      <alignment vertical="center"/>
    </xf>
    <xf numFmtId="0" fontId="77" fillId="0" borderId="561" xfId="153" applyFont="1" applyBorder="1" applyAlignment="1">
      <alignment horizontal="center" vertical="center" wrapText="1"/>
    </xf>
    <xf numFmtId="0" fontId="77" fillId="0" borderId="560" xfId="153" applyFont="1" applyBorder="1" applyAlignment="1">
      <alignment vertical="center" wrapText="1"/>
    </xf>
    <xf numFmtId="49" fontId="15" fillId="0" borderId="502" xfId="0" applyNumberFormat="1" applyFont="1" applyFill="1" applyBorder="1" applyAlignment="1">
      <alignment horizontal="center" vertical="center"/>
    </xf>
    <xf numFmtId="49" fontId="15" fillId="42" borderId="502" xfId="0" applyNumberFormat="1" applyFont="1" applyFill="1" applyBorder="1" applyAlignment="1">
      <alignment horizontal="center" vertical="center"/>
    </xf>
    <xf numFmtId="49" fontId="15" fillId="42" borderId="41" xfId="0" applyNumberFormat="1" applyFont="1" applyFill="1" applyBorder="1" applyAlignment="1">
      <alignment horizontal="center" vertical="center"/>
    </xf>
    <xf numFmtId="49" fontId="15" fillId="42" borderId="41" xfId="0" applyNumberFormat="1" applyFont="1" applyFill="1" applyBorder="1">
      <alignment vertical="center"/>
    </xf>
    <xf numFmtId="49" fontId="15" fillId="42" borderId="41" xfId="0" applyNumberFormat="1" applyFont="1" applyFill="1" applyBorder="1" applyAlignment="1">
      <alignment vertical="center" wrapText="1"/>
    </xf>
    <xf numFmtId="49" fontId="15" fillId="42" borderId="54" xfId="0" applyNumberFormat="1" applyFont="1" applyFill="1" applyBorder="1">
      <alignment vertical="center"/>
    </xf>
    <xf numFmtId="49" fontId="15" fillId="0" borderId="28" xfId="0" applyNumberFormat="1" applyFont="1" applyFill="1" applyBorder="1" applyAlignment="1">
      <alignment horizontal="center" vertical="center"/>
    </xf>
    <xf numFmtId="49" fontId="15" fillId="42" borderId="92" xfId="0" applyNumberFormat="1" applyFont="1" applyFill="1" applyBorder="1">
      <alignment vertical="center"/>
    </xf>
    <xf numFmtId="49" fontId="15" fillId="42" borderId="32" xfId="0" applyNumberFormat="1" applyFont="1" applyFill="1" applyBorder="1" applyAlignment="1">
      <alignment horizontal="center" vertical="center"/>
    </xf>
    <xf numFmtId="49" fontId="15" fillId="42" borderId="32" xfId="0" applyNumberFormat="1" applyFont="1" applyFill="1" applyBorder="1">
      <alignment vertical="center"/>
    </xf>
    <xf numFmtId="49" fontId="15" fillId="42" borderId="500" xfId="0" applyNumberFormat="1" applyFont="1" applyFill="1" applyBorder="1">
      <alignment vertical="center"/>
    </xf>
    <xf numFmtId="49" fontId="15" fillId="42" borderId="29" xfId="0" applyNumberFormat="1" applyFont="1" applyFill="1" applyBorder="1" applyAlignment="1">
      <alignment horizontal="center" vertical="center"/>
    </xf>
    <xf numFmtId="49" fontId="15" fillId="0" borderId="29" xfId="0" applyNumberFormat="1" applyFont="1" applyFill="1" applyBorder="1" applyAlignment="1">
      <alignment horizontal="center" vertical="center"/>
    </xf>
    <xf numFmtId="49" fontId="15" fillId="0" borderId="93" xfId="0" applyNumberFormat="1" applyFont="1" applyFill="1" applyBorder="1" applyAlignment="1">
      <alignment horizontal="center" vertical="center"/>
    </xf>
    <xf numFmtId="49" fontId="15" fillId="0" borderId="563" xfId="0" applyNumberFormat="1" applyFont="1" applyBorder="1" applyAlignment="1">
      <alignment horizontal="center" vertical="center"/>
    </xf>
    <xf numFmtId="49" fontId="15" fillId="43" borderId="33" xfId="0" applyNumberFormat="1" applyFont="1" applyFill="1" applyBorder="1" applyAlignment="1">
      <alignment horizontal="center" vertical="center"/>
    </xf>
    <xf numFmtId="49" fontId="15" fillId="0" borderId="33" xfId="0" applyNumberFormat="1" applyFont="1" applyBorder="1" applyAlignment="1">
      <alignment horizontal="center" vertical="center"/>
    </xf>
    <xf numFmtId="49" fontId="15" fillId="0" borderId="564" xfId="0" applyNumberFormat="1" applyFont="1" applyBorder="1">
      <alignment vertical="center"/>
    </xf>
    <xf numFmtId="49" fontId="15" fillId="0" borderId="554" xfId="0" applyNumberFormat="1" applyFont="1" applyBorder="1" applyAlignment="1">
      <alignment horizontal="center" vertical="center"/>
    </xf>
    <xf numFmtId="49" fontId="15" fillId="0" borderId="32" xfId="0" applyNumberFormat="1" applyFont="1" applyBorder="1" applyAlignment="1">
      <alignment horizontal="center" vertical="center"/>
    </xf>
    <xf numFmtId="49" fontId="15" fillId="0" borderId="500" xfId="0" applyNumberFormat="1" applyFont="1" applyBorder="1">
      <alignment vertical="center"/>
    </xf>
    <xf numFmtId="0" fontId="15" fillId="0" borderId="32" xfId="0" applyFont="1" applyBorder="1" applyAlignment="1">
      <alignment vertical="top"/>
    </xf>
    <xf numFmtId="49" fontId="15" fillId="0" borderId="559" xfId="0" applyNumberFormat="1" applyFont="1" applyBorder="1">
      <alignment vertical="center"/>
    </xf>
    <xf numFmtId="0" fontId="15" fillId="0" borderId="0" xfId="0" applyNumberFormat="1" applyFont="1">
      <alignment vertical="center"/>
    </xf>
    <xf numFmtId="49" fontId="15" fillId="0" borderId="563" xfId="0" applyNumberFormat="1" applyFont="1" applyBorder="1" applyAlignment="1">
      <alignment vertical="center" wrapText="1"/>
    </xf>
    <xf numFmtId="0" fontId="15" fillId="0" borderId="41" xfId="0" applyFont="1" applyBorder="1" applyAlignment="1">
      <alignment vertical="top"/>
    </xf>
    <xf numFmtId="49" fontId="15" fillId="0" borderId="32" xfId="0" applyNumberFormat="1" applyFont="1" applyBorder="1" applyAlignment="1">
      <alignment vertical="center" wrapText="1"/>
    </xf>
    <xf numFmtId="0" fontId="15" fillId="0" borderId="32" xfId="0" applyFont="1" applyBorder="1" applyAlignment="1">
      <alignment vertical="top" wrapText="1"/>
    </xf>
    <xf numFmtId="49" fontId="15" fillId="0" borderId="31" xfId="0" applyNumberFormat="1" applyFont="1" applyBorder="1" applyAlignment="1">
      <alignment vertical="center" wrapText="1"/>
    </xf>
    <xf numFmtId="49" fontId="15" fillId="43" borderId="563" xfId="0" applyNumberFormat="1" applyFont="1" applyFill="1" applyBorder="1" applyAlignment="1">
      <alignment horizontal="center" vertical="center"/>
    </xf>
    <xf numFmtId="49" fontId="15" fillId="43" borderId="32" xfId="0" applyNumberFormat="1" applyFont="1" applyFill="1" applyBorder="1" applyAlignment="1">
      <alignment horizontal="center" vertical="center"/>
    </xf>
    <xf numFmtId="0" fontId="89" fillId="3" borderId="20" xfId="151" applyFont="1" applyFill="1" applyBorder="1" applyAlignment="1">
      <alignment horizontal="center" vertical="center"/>
    </xf>
    <xf numFmtId="0" fontId="89" fillId="3" borderId="0" xfId="151" applyFont="1" applyFill="1" applyAlignment="1">
      <alignment horizontal="center" vertical="center"/>
    </xf>
    <xf numFmtId="0" fontId="89" fillId="3" borderId="21" xfId="151" applyFont="1" applyFill="1" applyBorder="1" applyAlignment="1">
      <alignment horizontal="center" vertical="center"/>
    </xf>
    <xf numFmtId="0" fontId="15" fillId="3" borderId="16" xfId="152" applyFont="1" applyFill="1" applyBorder="1" applyAlignment="1">
      <alignment horizontal="center" vertical="center"/>
    </xf>
    <xf numFmtId="184" fontId="89" fillId="3" borderId="20" xfId="151" applyNumberFormat="1" applyFont="1" applyFill="1" applyBorder="1" applyAlignment="1">
      <alignment horizontal="right" vertical="center"/>
    </xf>
    <xf numFmtId="184" fontId="89" fillId="3" borderId="0" xfId="151" applyNumberFormat="1" applyFont="1" applyFill="1" applyAlignment="1">
      <alignment horizontal="right" vertical="center"/>
    </xf>
    <xf numFmtId="185" fontId="89" fillId="3" borderId="0" xfId="151" applyNumberFormat="1" applyFont="1" applyFill="1" applyAlignment="1">
      <alignment horizontal="left" vertical="center"/>
    </xf>
    <xf numFmtId="185" fontId="89" fillId="3" borderId="21" xfId="151" applyNumberFormat="1" applyFont="1" applyFill="1" applyBorder="1" applyAlignment="1">
      <alignment horizontal="left" vertical="center"/>
    </xf>
    <xf numFmtId="0" fontId="86" fillId="3" borderId="0" xfId="151" applyFont="1" applyFill="1" applyAlignment="1">
      <alignment horizontal="left" vertical="center"/>
    </xf>
    <xf numFmtId="0" fontId="86" fillId="3" borderId="21" xfId="151" applyFont="1" applyFill="1" applyBorder="1" applyAlignment="1">
      <alignment horizontal="left" vertical="center"/>
    </xf>
    <xf numFmtId="0" fontId="88" fillId="3" borderId="20" xfId="151" applyFont="1" applyFill="1" applyBorder="1" applyAlignment="1">
      <alignment horizontal="center" vertical="center" wrapText="1"/>
    </xf>
    <xf numFmtId="0" fontId="88" fillId="3" borderId="0" xfId="151" applyFont="1" applyFill="1" applyAlignment="1">
      <alignment horizontal="center" vertical="center" wrapText="1"/>
    </xf>
    <xf numFmtId="0" fontId="88" fillId="3" borderId="21" xfId="151" applyFont="1" applyFill="1" applyBorder="1" applyAlignment="1">
      <alignment horizontal="center" vertical="center" wrapText="1"/>
    </xf>
    <xf numFmtId="0" fontId="88" fillId="3" borderId="20" xfId="151" applyFont="1" applyFill="1" applyBorder="1" applyAlignment="1">
      <alignment horizontal="center" vertical="center"/>
    </xf>
    <xf numFmtId="0" fontId="88" fillId="3" borderId="0" xfId="151" applyFont="1" applyFill="1" applyAlignment="1">
      <alignment horizontal="center" vertical="center"/>
    </xf>
    <xf numFmtId="0" fontId="88" fillId="3" borderId="21" xfId="151" applyFont="1" applyFill="1" applyBorder="1" applyAlignment="1">
      <alignment horizontal="center" vertical="center"/>
    </xf>
    <xf numFmtId="0" fontId="15" fillId="4" borderId="48" xfId="152" applyFont="1" applyFill="1" applyBorder="1" applyAlignment="1">
      <alignment horizontal="center" vertical="center"/>
    </xf>
    <xf numFmtId="0" fontId="15" fillId="2" borderId="0" xfId="198" applyFont="1" applyFill="1" applyAlignment="1">
      <alignment horizontal="center" vertical="top"/>
    </xf>
    <xf numFmtId="0" fontId="15" fillId="0" borderId="0" xfId="198" applyFont="1" applyAlignment="1">
      <alignment vertical="top" wrapText="1"/>
    </xf>
    <xf numFmtId="0" fontId="5" fillId="0" borderId="0" xfId="198" applyAlignment="1">
      <alignment vertical="top" wrapText="1"/>
    </xf>
    <xf numFmtId="0" fontId="15" fillId="2" borderId="48" xfId="198" applyFont="1" applyFill="1" applyBorder="1" applyAlignment="1">
      <alignment horizontal="center" vertical="top"/>
    </xf>
    <xf numFmtId="0" fontId="15" fillId="2" borderId="0" xfId="0" applyFont="1" applyFill="1" applyAlignment="1">
      <alignment horizontal="center" vertical="top"/>
    </xf>
    <xf numFmtId="0" fontId="15" fillId="2" borderId="1" xfId="0" applyFont="1" applyFill="1" applyBorder="1" applyAlignment="1">
      <alignment horizontal="center" vertical="top"/>
    </xf>
    <xf numFmtId="0" fontId="15" fillId="0" borderId="0" xfId="0" applyFont="1" applyAlignment="1">
      <alignment horizontal="left" vertical="top" wrapText="1"/>
    </xf>
    <xf numFmtId="0" fontId="15" fillId="0" borderId="35" xfId="0" applyFont="1" applyBorder="1" applyAlignment="1">
      <alignment horizontal="left" vertical="top" wrapText="1"/>
    </xf>
    <xf numFmtId="49" fontId="15" fillId="4" borderId="510" xfId="0" applyNumberFormat="1" applyFont="1" applyFill="1" applyBorder="1" applyAlignment="1">
      <alignment horizontal="center" vertical="center"/>
    </xf>
    <xf numFmtId="49" fontId="15" fillId="4" borderId="509" xfId="0" applyNumberFormat="1" applyFont="1" applyFill="1" applyBorder="1" applyAlignment="1">
      <alignment horizontal="center" vertical="center"/>
    </xf>
    <xf numFmtId="49" fontId="15" fillId="4" borderId="508" xfId="0" applyNumberFormat="1" applyFont="1" applyFill="1" applyBorder="1" applyAlignment="1">
      <alignment horizontal="center" vertical="center"/>
    </xf>
    <xf numFmtId="49" fontId="15" fillId="4" borderId="34" xfId="0" applyNumberFormat="1" applyFont="1" applyFill="1" applyBorder="1" applyAlignment="1">
      <alignment horizontal="center" vertical="center"/>
    </xf>
    <xf numFmtId="49" fontId="15" fillId="4" borderId="0" xfId="0" applyNumberFormat="1" applyFont="1" applyFill="1" applyAlignment="1">
      <alignment horizontal="center" vertical="center"/>
    </xf>
    <xf numFmtId="49" fontId="15" fillId="4" borderId="49" xfId="0" applyNumberFormat="1" applyFont="1" applyFill="1" applyBorder="1" applyAlignment="1">
      <alignment horizontal="center" vertical="center"/>
    </xf>
    <xf numFmtId="49" fontId="15" fillId="4" borderId="505" xfId="0" applyNumberFormat="1" applyFont="1" applyFill="1" applyBorder="1" applyAlignment="1">
      <alignment horizontal="center" vertical="center"/>
    </xf>
    <xf numFmtId="49" fontId="15" fillId="4" borderId="4" xfId="0" applyNumberFormat="1" applyFont="1" applyFill="1" applyBorder="1" applyAlignment="1">
      <alignment horizontal="center" vertical="center"/>
    </xf>
    <xf numFmtId="49" fontId="15" fillId="4" borderId="94" xfId="0" applyNumberFormat="1" applyFont="1" applyFill="1" applyBorder="1" applyAlignment="1">
      <alignment horizontal="center" vertical="center"/>
    </xf>
    <xf numFmtId="49" fontId="15" fillId="4" borderId="60" xfId="0" applyNumberFormat="1" applyFont="1" applyFill="1" applyBorder="1" applyAlignment="1">
      <alignment horizontal="center" vertical="center"/>
    </xf>
    <xf numFmtId="49" fontId="15" fillId="4" borderId="50" xfId="0" applyNumberFormat="1" applyFont="1" applyFill="1" applyBorder="1" applyAlignment="1">
      <alignment horizontal="center" vertical="center"/>
    </xf>
    <xf numFmtId="49" fontId="15" fillId="4" borderId="51" xfId="0" applyNumberFormat="1" applyFont="1" applyFill="1" applyBorder="1" applyAlignment="1">
      <alignment horizontal="center" vertical="center"/>
    </xf>
  </cellXfs>
  <cellStyles count="3301">
    <cellStyle name="0301" xfId="2"/>
    <cellStyle name="0_x0014_標準_F_02?P_Dd080301" xfId="3"/>
    <cellStyle name="20% - アクセント 1 2" xfId="4"/>
    <cellStyle name="20% - アクセント 2 2" xfId="5"/>
    <cellStyle name="20% - アクセント 3 2" xfId="6"/>
    <cellStyle name="20% - アクセント 4 2" xfId="7"/>
    <cellStyle name="20% - アクセント 5 2" xfId="8"/>
    <cellStyle name="20% - アクセント 6 2" xfId="9"/>
    <cellStyle name="40% - アクセント 1 2" xfId="10"/>
    <cellStyle name="40% - アクセント 2 2" xfId="11"/>
    <cellStyle name="40% - アクセント 3 2" xfId="12"/>
    <cellStyle name="40% - アクセント 4 2" xfId="13"/>
    <cellStyle name="40% - アクセント 5 2" xfId="14"/>
    <cellStyle name="40% - アクセント 6 2" xfId="15"/>
    <cellStyle name="60% - アクセント 1 2" xfId="16"/>
    <cellStyle name="60% - アクセント 2 2" xfId="17"/>
    <cellStyle name="60% - アクセント 3 2" xfId="18"/>
    <cellStyle name="60% - アクセント 4 2" xfId="19"/>
    <cellStyle name="60% - アクセント 5 2" xfId="20"/>
    <cellStyle name="60% - アクセント 6 2" xfId="21"/>
    <cellStyle name="args.style" xfId="22"/>
    <cellStyle name="Calc Currency (0)" xfId="23"/>
    <cellStyle name="entry" xfId="24"/>
    <cellStyle name="Grey" xfId="25"/>
    <cellStyle name="Header1" xfId="26"/>
    <cellStyle name="Header2" xfId="27"/>
    <cellStyle name="Header2 10" xfId="899"/>
    <cellStyle name="Header2 10 2" xfId="1581"/>
    <cellStyle name="Header2 10 3" xfId="2168"/>
    <cellStyle name="Header2 10 4" xfId="3040"/>
    <cellStyle name="Header2 11" xfId="938"/>
    <cellStyle name="Header2 11 2" xfId="1620"/>
    <cellStyle name="Header2 11 3" xfId="2207"/>
    <cellStyle name="Header2 11 4" xfId="3079"/>
    <cellStyle name="Header2 12" xfId="1014"/>
    <cellStyle name="Header2 12 2" xfId="1695"/>
    <cellStyle name="Header2 12 3" xfId="2734"/>
    <cellStyle name="Header2 12 4" xfId="3154"/>
    <cellStyle name="Header2 13" xfId="1021"/>
    <cellStyle name="Header2 13 2" xfId="1702"/>
    <cellStyle name="Header2 13 3" xfId="2740"/>
    <cellStyle name="Header2 13 4" xfId="3161"/>
    <cellStyle name="Header2 14" xfId="1099"/>
    <cellStyle name="Header2 14 2" xfId="1765"/>
    <cellStyle name="Header2 14 3" xfId="3219"/>
    <cellStyle name="Header2 15" xfId="3233"/>
    <cellStyle name="Header2 16" xfId="3271"/>
    <cellStyle name="Header2 17" xfId="3230"/>
    <cellStyle name="Header2 18" xfId="3272"/>
    <cellStyle name="Header2 2" xfId="158"/>
    <cellStyle name="Header2 2 10" xfId="537"/>
    <cellStyle name="Header2 2 10 2" xfId="1227"/>
    <cellStyle name="Header2 2 10 3" xfId="1825"/>
    <cellStyle name="Header2 2 10 4" xfId="321"/>
    <cellStyle name="Header2 2 11" xfId="1063"/>
    <cellStyle name="Header2 2 11 2" xfId="1733"/>
    <cellStyle name="Header2 2 11 3" xfId="2303"/>
    <cellStyle name="Header2 2 11 4" xfId="2767"/>
    <cellStyle name="Header2 2 11 5" xfId="3187"/>
    <cellStyle name="Header2 2 12" xfId="393"/>
    <cellStyle name="Header2 2 13" xfId="352"/>
    <cellStyle name="Header2 2 14" xfId="1767"/>
    <cellStyle name="Header2 2 15" xfId="3259"/>
    <cellStyle name="Header2 2 16" xfId="3229"/>
    <cellStyle name="Header2 2 17" xfId="3252"/>
    <cellStyle name="Header2 2 18" xfId="3295"/>
    <cellStyle name="Header2 2 2" xfId="233"/>
    <cellStyle name="Header2 2 2 10" xfId="495"/>
    <cellStyle name="Header2 2 2 10 2" xfId="1185"/>
    <cellStyle name="Header2 2 2 10 3" xfId="1783"/>
    <cellStyle name="Header2 2 2 10 4" xfId="1905"/>
    <cellStyle name="Header2 2 2 11" xfId="1049"/>
    <cellStyle name="Header2 2 2 11 2" xfId="1724"/>
    <cellStyle name="Header2 2 2 11 3" xfId="2759"/>
    <cellStyle name="Header2 2 2 11 4" xfId="3179"/>
    <cellStyle name="Header2 2 2 12" xfId="1083"/>
    <cellStyle name="Header2 2 2 12 2" xfId="1753"/>
    <cellStyle name="Header2 2 2 12 3" xfId="2787"/>
    <cellStyle name="Header2 2 2 12 4" xfId="3207"/>
    <cellStyle name="Header2 2 2 13" xfId="1093"/>
    <cellStyle name="Header2 2 2 13 2" xfId="1763"/>
    <cellStyle name="Header2 2 2 13 3" xfId="2332"/>
    <cellStyle name="Header2 2 2 13 4" xfId="2797"/>
    <cellStyle name="Header2 2 2 13 5" xfId="3217"/>
    <cellStyle name="Header2 2 2 14" xfId="445"/>
    <cellStyle name="Header2 2 2 2" xfId="282"/>
    <cellStyle name="Header2 2 2 2 10" xfId="1325"/>
    <cellStyle name="Header2 2 2 2 11" xfId="2296"/>
    <cellStyle name="Header2 2 2 2 2" xfId="716"/>
    <cellStyle name="Header2 2 2 2 2 2" xfId="1398"/>
    <cellStyle name="Header2 2 2 2 2 3" xfId="1985"/>
    <cellStyle name="Header2 2 2 2 2 4" xfId="2857"/>
    <cellStyle name="Header2 2 2 2 3" xfId="773"/>
    <cellStyle name="Header2 2 2 2 3 2" xfId="1455"/>
    <cellStyle name="Header2 2 2 2 3 3" xfId="2042"/>
    <cellStyle name="Header2 2 2 2 3 4" xfId="2914"/>
    <cellStyle name="Header2 2 2 2 4" xfId="822"/>
    <cellStyle name="Header2 2 2 2 4 2" xfId="1504"/>
    <cellStyle name="Header2 2 2 2 4 3" xfId="2091"/>
    <cellStyle name="Header2 2 2 2 4 4" xfId="2963"/>
    <cellStyle name="Header2 2 2 2 5" xfId="873"/>
    <cellStyle name="Header2 2 2 2 5 2" xfId="1555"/>
    <cellStyle name="Header2 2 2 2 5 3" xfId="2142"/>
    <cellStyle name="Header2 2 2 2 5 4" xfId="3014"/>
    <cellStyle name="Header2 2 2 2 6" xfId="910"/>
    <cellStyle name="Header2 2 2 2 6 2" xfId="1592"/>
    <cellStyle name="Header2 2 2 2 6 3" xfId="2179"/>
    <cellStyle name="Header2 2 2 2 6 4" xfId="3051"/>
    <cellStyle name="Header2 2 2 2 7" xfId="949"/>
    <cellStyle name="Header2 2 2 2 7 2" xfId="1631"/>
    <cellStyle name="Header2 2 2 2 7 3" xfId="2218"/>
    <cellStyle name="Header2 2 2 2 7 4" xfId="3090"/>
    <cellStyle name="Header2 2 2 2 8" xfId="988"/>
    <cellStyle name="Header2 2 2 2 8 2" xfId="1670"/>
    <cellStyle name="Header2 2 2 2 8 3" xfId="2257"/>
    <cellStyle name="Header2 2 2 2 8 4" xfId="3129"/>
    <cellStyle name="Header2 2 2 2 9" xfId="642"/>
    <cellStyle name="Header2 2 2 3" xfId="594"/>
    <cellStyle name="Header2 2 2 3 2" xfId="1281"/>
    <cellStyle name="Header2 2 2 3 3" xfId="1878"/>
    <cellStyle name="Header2 2 2 3 4" xfId="2369"/>
    <cellStyle name="Header2 2 2 4" xfId="675"/>
    <cellStyle name="Header2 2 2 4 2" xfId="1357"/>
    <cellStyle name="Header2 2 2 4 3" xfId="1944"/>
    <cellStyle name="Header2 2 2 4 4" xfId="2816"/>
    <cellStyle name="Header2 2 2 5" xfId="736"/>
    <cellStyle name="Header2 2 2 5 2" xfId="1418"/>
    <cellStyle name="Header2 2 2 5 3" xfId="2005"/>
    <cellStyle name="Header2 2 2 5 4" xfId="2877"/>
    <cellStyle name="Header2 2 2 6" xfId="499"/>
    <cellStyle name="Header2 2 2 6 2" xfId="1189"/>
    <cellStyle name="Header2 2 2 6 3" xfId="1787"/>
    <cellStyle name="Header2 2 2 6 4" xfId="2367"/>
    <cellStyle name="Header2 2 2 7" xfId="839"/>
    <cellStyle name="Header2 2 2 7 2" xfId="1521"/>
    <cellStyle name="Header2 2 2 7 3" xfId="2108"/>
    <cellStyle name="Header2 2 2 7 4" xfId="2980"/>
    <cellStyle name="Header2 2 2 8" xfId="663"/>
    <cellStyle name="Header2 2 2 8 2" xfId="1345"/>
    <cellStyle name="Header2 2 2 8 3" xfId="1932"/>
    <cellStyle name="Header2 2 2 8 4" xfId="2804"/>
    <cellStyle name="Header2 2 2 9" xfId="761"/>
    <cellStyle name="Header2 2 2 9 2" xfId="1443"/>
    <cellStyle name="Header2 2 2 9 3" xfId="2030"/>
    <cellStyle name="Header2 2 2 9 4" xfId="2902"/>
    <cellStyle name="Header2 2 3" xfId="271"/>
    <cellStyle name="Header2 2 3 10" xfId="434"/>
    <cellStyle name="Header2 2 3 11" xfId="1134"/>
    <cellStyle name="Header2 2 3 12" xfId="1714"/>
    <cellStyle name="Header2 2 3 2" xfId="631"/>
    <cellStyle name="Header2 2 3 2 2" xfId="1315"/>
    <cellStyle name="Header2 2 3 2 3" xfId="1908"/>
    <cellStyle name="Header2 2 3 2 4" xfId="1136"/>
    <cellStyle name="Header2 2 3 3" xfId="707"/>
    <cellStyle name="Header2 2 3 3 2" xfId="1389"/>
    <cellStyle name="Header2 2 3 3 3" xfId="1976"/>
    <cellStyle name="Header2 2 3 3 4" xfId="2848"/>
    <cellStyle name="Header2 2 3 4" xfId="763"/>
    <cellStyle name="Header2 2 3 4 2" xfId="1445"/>
    <cellStyle name="Header2 2 3 4 3" xfId="2032"/>
    <cellStyle name="Header2 2 3 4 4" xfId="2904"/>
    <cellStyle name="Header2 2 3 5" xfId="813"/>
    <cellStyle name="Header2 2 3 5 2" xfId="1495"/>
    <cellStyle name="Header2 2 3 5 3" xfId="2082"/>
    <cellStyle name="Header2 2 3 5 4" xfId="2954"/>
    <cellStyle name="Header2 2 3 6" xfId="864"/>
    <cellStyle name="Header2 2 3 6 2" xfId="1546"/>
    <cellStyle name="Header2 2 3 6 3" xfId="2133"/>
    <cellStyle name="Header2 2 3 6 4" xfId="3005"/>
    <cellStyle name="Header2 2 3 7" xfId="901"/>
    <cellStyle name="Header2 2 3 7 2" xfId="1583"/>
    <cellStyle name="Header2 2 3 7 3" xfId="2170"/>
    <cellStyle name="Header2 2 3 7 4" xfId="3042"/>
    <cellStyle name="Header2 2 3 8" xfId="940"/>
    <cellStyle name="Header2 2 3 8 2" xfId="1622"/>
    <cellStyle name="Header2 2 3 8 3" xfId="2209"/>
    <cellStyle name="Header2 2 3 8 4" xfId="3081"/>
    <cellStyle name="Header2 2 3 9" xfId="979"/>
    <cellStyle name="Header2 2 3 9 2" xfId="1661"/>
    <cellStyle name="Header2 2 3 9 3" xfId="2248"/>
    <cellStyle name="Header2 2 3 9 4" xfId="3120"/>
    <cellStyle name="Header2 2 4" xfId="212"/>
    <cellStyle name="Header2 2 4 2" xfId="468"/>
    <cellStyle name="Header2 2 4 3" xfId="1159"/>
    <cellStyle name="Header2 2 4 4" xfId="375"/>
    <cellStyle name="Header2 2 4 5" xfId="315"/>
    <cellStyle name="Header2 2 5" xfId="302"/>
    <cellStyle name="Header2 2 5 2" xfId="493"/>
    <cellStyle name="Header2 2 5 3" xfId="1183"/>
    <cellStyle name="Header2 2 5 4" xfId="1781"/>
    <cellStyle name="Header2 2 5 5" xfId="344"/>
    <cellStyle name="Header2 2 6" xfId="207"/>
    <cellStyle name="Header2 2 6 2" xfId="557"/>
    <cellStyle name="Header2 2 6 3" xfId="1247"/>
    <cellStyle name="Header2 2 6 4" xfId="1845"/>
    <cellStyle name="Header2 2 6 5" xfId="1713"/>
    <cellStyle name="Header2 2 7" xfId="511"/>
    <cellStyle name="Header2 2 7 2" xfId="1201"/>
    <cellStyle name="Header2 2 7 3" xfId="1799"/>
    <cellStyle name="Header2 2 7 4" xfId="1125"/>
    <cellStyle name="Header2 2 8" xfId="576"/>
    <cellStyle name="Header2 2 8 2" xfId="1265"/>
    <cellStyle name="Header2 2 8 3" xfId="1863"/>
    <cellStyle name="Header2 2 8 4" xfId="2524"/>
    <cellStyle name="Header2 2 9" xfId="809"/>
    <cellStyle name="Header2 2 9 2" xfId="1491"/>
    <cellStyle name="Header2 2 9 3" xfId="2078"/>
    <cellStyle name="Header2 2 9 4" xfId="2950"/>
    <cellStyle name="Header2 3" xfId="223"/>
    <cellStyle name="Header2 3 10" xfId="503"/>
    <cellStyle name="Header2 3 10 2" xfId="1193"/>
    <cellStyle name="Header2 3 10 3" xfId="1791"/>
    <cellStyle name="Header2 3 10 4" xfId="2612"/>
    <cellStyle name="Header2 3 11" xfId="1039"/>
    <cellStyle name="Header2 3 11 2" xfId="1715"/>
    <cellStyle name="Header2 3 11 3" xfId="2751"/>
    <cellStyle name="Header2 3 11 4" xfId="3171"/>
    <cellStyle name="Header2 3 12" xfId="1075"/>
    <cellStyle name="Header2 3 12 2" xfId="1745"/>
    <cellStyle name="Header2 3 12 3" xfId="2779"/>
    <cellStyle name="Header2 3 12 4" xfId="3199"/>
    <cellStyle name="Header2 3 13" xfId="1085"/>
    <cellStyle name="Header2 3 13 2" xfId="1755"/>
    <cellStyle name="Header2 3 13 3" xfId="2324"/>
    <cellStyle name="Header2 3 13 4" xfId="2789"/>
    <cellStyle name="Header2 3 13 5" xfId="3209"/>
    <cellStyle name="Header2 3 14" xfId="435"/>
    <cellStyle name="Header2 3 2" xfId="272"/>
    <cellStyle name="Header2 3 2 10" xfId="1316"/>
    <cellStyle name="Header2 3 2 11" xfId="361"/>
    <cellStyle name="Header2 3 2 2" xfId="708"/>
    <cellStyle name="Header2 3 2 2 2" xfId="1390"/>
    <cellStyle name="Header2 3 2 2 3" xfId="1977"/>
    <cellStyle name="Header2 3 2 2 4" xfId="2849"/>
    <cellStyle name="Header2 3 2 3" xfId="764"/>
    <cellStyle name="Header2 3 2 3 2" xfId="1446"/>
    <cellStyle name="Header2 3 2 3 3" xfId="2033"/>
    <cellStyle name="Header2 3 2 3 4" xfId="2905"/>
    <cellStyle name="Header2 3 2 4" xfId="814"/>
    <cellStyle name="Header2 3 2 4 2" xfId="1496"/>
    <cellStyle name="Header2 3 2 4 3" xfId="2083"/>
    <cellStyle name="Header2 3 2 4 4" xfId="2955"/>
    <cellStyle name="Header2 3 2 5" xfId="865"/>
    <cellStyle name="Header2 3 2 5 2" xfId="1547"/>
    <cellStyle name="Header2 3 2 5 3" xfId="2134"/>
    <cellStyle name="Header2 3 2 5 4" xfId="3006"/>
    <cellStyle name="Header2 3 2 6" xfId="902"/>
    <cellStyle name="Header2 3 2 6 2" xfId="1584"/>
    <cellStyle name="Header2 3 2 6 3" xfId="2171"/>
    <cellStyle name="Header2 3 2 6 4" xfId="3043"/>
    <cellStyle name="Header2 3 2 7" xfId="941"/>
    <cellStyle name="Header2 3 2 7 2" xfId="1623"/>
    <cellStyle name="Header2 3 2 7 3" xfId="2210"/>
    <cellStyle name="Header2 3 2 7 4" xfId="3082"/>
    <cellStyle name="Header2 3 2 8" xfId="980"/>
    <cellStyle name="Header2 3 2 8 2" xfId="1662"/>
    <cellStyle name="Header2 3 2 8 3" xfId="2249"/>
    <cellStyle name="Header2 3 2 8 4" xfId="3121"/>
    <cellStyle name="Header2 3 2 9" xfId="632"/>
    <cellStyle name="Header2 3 3" xfId="584"/>
    <cellStyle name="Header2 3 3 2" xfId="1272"/>
    <cellStyle name="Header2 3 3 3" xfId="1870"/>
    <cellStyle name="Header2 3 3 4" xfId="2663"/>
    <cellStyle name="Header2 3 4" xfId="666"/>
    <cellStyle name="Header2 3 4 2" xfId="1348"/>
    <cellStyle name="Header2 3 4 3" xfId="1935"/>
    <cellStyle name="Header2 3 4 4" xfId="2807"/>
    <cellStyle name="Header2 3 5" xfId="545"/>
    <cellStyle name="Header2 3 5 2" xfId="1235"/>
    <cellStyle name="Header2 3 5 3" xfId="1833"/>
    <cellStyle name="Header2 3 5 4" xfId="2672"/>
    <cellStyle name="Header2 3 6" xfId="477"/>
    <cellStyle name="Header2 3 6 2" xfId="1167"/>
    <cellStyle name="Header2 3 6 3" xfId="413"/>
    <cellStyle name="Header2 3 6 4" xfId="1919"/>
    <cellStyle name="Header2 3 7" xfId="542"/>
    <cellStyle name="Header2 3 7 2" xfId="1232"/>
    <cellStyle name="Header2 3 7 3" xfId="1830"/>
    <cellStyle name="Header2 3 7 4" xfId="2478"/>
    <cellStyle name="Header2 3 8" xfId="562"/>
    <cellStyle name="Header2 3 8 2" xfId="1251"/>
    <cellStyle name="Header2 3 8 3" xfId="1849"/>
    <cellStyle name="Header2 3 8 4" xfId="2599"/>
    <cellStyle name="Header2 3 9" xfId="783"/>
    <cellStyle name="Header2 3 9 2" xfId="1465"/>
    <cellStyle name="Header2 3 9 3" xfId="2052"/>
    <cellStyle name="Header2 3 9 4" xfId="2924"/>
    <cellStyle name="Header2 4" xfId="291"/>
    <cellStyle name="Header2 4 10" xfId="454"/>
    <cellStyle name="Header2 4 11" xfId="1147"/>
    <cellStyle name="Header2 4 12" xfId="1135"/>
    <cellStyle name="Header2 4 2" xfId="651"/>
    <cellStyle name="Header2 4 2 2" xfId="1334"/>
    <cellStyle name="Header2 4 2 3" xfId="1921"/>
    <cellStyle name="Header2 4 2 4" xfId="350"/>
    <cellStyle name="Header2 4 3" xfId="725"/>
    <cellStyle name="Header2 4 3 2" xfId="1407"/>
    <cellStyle name="Header2 4 3 3" xfId="1994"/>
    <cellStyle name="Header2 4 3 4" xfId="2866"/>
    <cellStyle name="Header2 4 4" xfId="781"/>
    <cellStyle name="Header2 4 4 2" xfId="1463"/>
    <cellStyle name="Header2 4 4 3" xfId="2050"/>
    <cellStyle name="Header2 4 4 4" xfId="2922"/>
    <cellStyle name="Header2 4 5" xfId="831"/>
    <cellStyle name="Header2 4 5 2" xfId="1513"/>
    <cellStyle name="Header2 4 5 3" xfId="2100"/>
    <cellStyle name="Header2 4 5 4" xfId="2972"/>
    <cellStyle name="Header2 4 6" xfId="881"/>
    <cellStyle name="Header2 4 6 2" xfId="1563"/>
    <cellStyle name="Header2 4 6 3" xfId="2150"/>
    <cellStyle name="Header2 4 6 4" xfId="3022"/>
    <cellStyle name="Header2 4 7" xfId="919"/>
    <cellStyle name="Header2 4 7 2" xfId="1601"/>
    <cellStyle name="Header2 4 7 3" xfId="2188"/>
    <cellStyle name="Header2 4 7 4" xfId="3060"/>
    <cellStyle name="Header2 4 8" xfId="957"/>
    <cellStyle name="Header2 4 8 2" xfId="1639"/>
    <cellStyle name="Header2 4 8 3" xfId="2226"/>
    <cellStyle name="Header2 4 8 4" xfId="3098"/>
    <cellStyle name="Header2 4 9" xfId="996"/>
    <cellStyle name="Header2 4 9 2" xfId="1678"/>
    <cellStyle name="Header2 4 9 3" xfId="2260"/>
    <cellStyle name="Header2 4 9 4" xfId="3137"/>
    <cellStyle name="Header2 5" xfId="205"/>
    <cellStyle name="Header2 5 2" xfId="540"/>
    <cellStyle name="Header2 5 3" xfId="1230"/>
    <cellStyle name="Header2 5 4" xfId="1828"/>
    <cellStyle name="Header2 5 5" xfId="2578"/>
    <cellStyle name="Header2 6" xfId="209"/>
    <cellStyle name="Header2 6 2" xfId="702"/>
    <cellStyle name="Header2 6 3" xfId="1384"/>
    <cellStyle name="Header2 6 4" xfId="1971"/>
    <cellStyle name="Header2 6 5" xfId="2843"/>
    <cellStyle name="Header2 7" xfId="203"/>
    <cellStyle name="Header2 7 2" xfId="760"/>
    <cellStyle name="Header2 7 3" xfId="1442"/>
    <cellStyle name="Header2 7 4" xfId="2029"/>
    <cellStyle name="Header2 7 5" xfId="2901"/>
    <cellStyle name="Header2 8" xfId="808"/>
    <cellStyle name="Header2 8 2" xfId="1490"/>
    <cellStyle name="Header2 8 3" xfId="2077"/>
    <cellStyle name="Header2 8 4" xfId="2949"/>
    <cellStyle name="Header2 9" xfId="861"/>
    <cellStyle name="Header2 9 2" xfId="1543"/>
    <cellStyle name="Header2 9 3" xfId="2130"/>
    <cellStyle name="Header2 9 4" xfId="3002"/>
    <cellStyle name="IBM(401K)" xfId="28"/>
    <cellStyle name="Input [yellow]" xfId="29"/>
    <cellStyle name="Input [yellow] 10" xfId="758"/>
    <cellStyle name="Input [yellow] 10 2" xfId="1440"/>
    <cellStyle name="Input [yellow] 10 3" xfId="2027"/>
    <cellStyle name="Input [yellow] 10 4" xfId="2899"/>
    <cellStyle name="Input [yellow] 11" xfId="629"/>
    <cellStyle name="Input [yellow] 11 2" xfId="1313"/>
    <cellStyle name="Input [yellow] 11 3" xfId="1906"/>
    <cellStyle name="Input [yellow] 11 4" xfId="2623"/>
    <cellStyle name="Input [yellow] 12" xfId="480"/>
    <cellStyle name="Input [yellow] 12 2" xfId="1170"/>
    <cellStyle name="Input [yellow] 12 3" xfId="410"/>
    <cellStyle name="Input [yellow] 12 4" xfId="369"/>
    <cellStyle name="Input [yellow] 13" xfId="1020"/>
    <cellStyle name="Input [yellow] 13 2" xfId="1701"/>
    <cellStyle name="Input [yellow] 13 3" xfId="2276"/>
    <cellStyle name="Input [yellow] 13 4" xfId="2739"/>
    <cellStyle name="Input [yellow] 13 5" xfId="3160"/>
    <cellStyle name="Input [yellow] 14" xfId="1059"/>
    <cellStyle name="Input [yellow] 14 2" xfId="1729"/>
    <cellStyle name="Input [yellow] 14 3" xfId="2301"/>
    <cellStyle name="Input [yellow] 14 4" xfId="2763"/>
    <cellStyle name="Input [yellow] 14 5" xfId="3183"/>
    <cellStyle name="Input [yellow] 15" xfId="3234"/>
    <cellStyle name="Input [yellow] 16" xfId="3270"/>
    <cellStyle name="Input [yellow] 17" xfId="3261"/>
    <cellStyle name="Input [yellow] 18" xfId="3255"/>
    <cellStyle name="Input [yellow] 2" xfId="159"/>
    <cellStyle name="Input [yellow] 2 10" xfId="772"/>
    <cellStyle name="Input [yellow] 2 10 2" xfId="1454"/>
    <cellStyle name="Input [yellow] 2 10 3" xfId="2041"/>
    <cellStyle name="Input [yellow] 2 10 4" xfId="2913"/>
    <cellStyle name="Input [yellow] 2 11" xfId="1064"/>
    <cellStyle name="Input [yellow] 2 11 2" xfId="1734"/>
    <cellStyle name="Input [yellow] 2 11 3" xfId="2304"/>
    <cellStyle name="Input [yellow] 2 11 4" xfId="2768"/>
    <cellStyle name="Input [yellow] 2 11 5" xfId="3188"/>
    <cellStyle name="Input [yellow] 2 12" xfId="1018"/>
    <cellStyle name="Input [yellow] 2 12 2" xfId="1699"/>
    <cellStyle name="Input [yellow] 2 12 3" xfId="2274"/>
    <cellStyle name="Input [yellow] 2 12 4" xfId="2738"/>
    <cellStyle name="Input [yellow] 2 12 5" xfId="3158"/>
    <cellStyle name="Input [yellow] 2 13" xfId="1019"/>
    <cellStyle name="Input [yellow] 2 13 2" xfId="1700"/>
    <cellStyle name="Input [yellow] 2 13 3" xfId="2275"/>
    <cellStyle name="Input [yellow] 2 13 4" xfId="3159"/>
    <cellStyle name="Input [yellow] 2 14" xfId="394"/>
    <cellStyle name="Input [yellow] 2 15" xfId="324"/>
    <cellStyle name="Input [yellow] 2 16" xfId="1137"/>
    <cellStyle name="Input [yellow] 2 17" xfId="2390"/>
    <cellStyle name="Input [yellow] 2 18" xfId="3260"/>
    <cellStyle name="Input [yellow] 2 19" xfId="3228"/>
    <cellStyle name="Input [yellow] 2 2" xfId="234"/>
    <cellStyle name="Input [yellow] 2 2 10" xfId="476"/>
    <cellStyle name="Input [yellow] 2 2 10 2" xfId="1166"/>
    <cellStyle name="Input [yellow] 2 2 10 3" xfId="414"/>
    <cellStyle name="Input [yellow] 2 2 10 4" xfId="2750"/>
    <cellStyle name="Input [yellow] 2 2 11" xfId="1050"/>
    <cellStyle name="Input [yellow] 2 2 11 2" xfId="1725"/>
    <cellStyle name="Input [yellow] 2 2 11 3" xfId="2295"/>
    <cellStyle name="Input [yellow] 2 2 11 4" xfId="2760"/>
    <cellStyle name="Input [yellow] 2 2 11 5" xfId="3180"/>
    <cellStyle name="Input [yellow] 2 2 12" xfId="1084"/>
    <cellStyle name="Input [yellow] 2 2 12 2" xfId="1754"/>
    <cellStyle name="Input [yellow] 2 2 12 3" xfId="2323"/>
    <cellStyle name="Input [yellow] 2 2 12 4" xfId="2788"/>
    <cellStyle name="Input [yellow] 2 2 12 5" xfId="3208"/>
    <cellStyle name="Input [yellow] 2 2 13" xfId="1094"/>
    <cellStyle name="Input [yellow] 2 2 13 2" xfId="1764"/>
    <cellStyle name="Input [yellow] 2 2 13 3" xfId="2333"/>
    <cellStyle name="Input [yellow] 2 2 13 4" xfId="2798"/>
    <cellStyle name="Input [yellow] 2 2 13 5" xfId="3218"/>
    <cellStyle name="Input [yellow] 2 2 14" xfId="446"/>
    <cellStyle name="Input [yellow] 2 2 2" xfId="283"/>
    <cellStyle name="Input [yellow] 2 2 2 10" xfId="1326"/>
    <cellStyle name="Input [yellow] 2 2 2 11" xfId="1918"/>
    <cellStyle name="Input [yellow] 2 2 2 12" xfId="2341"/>
    <cellStyle name="Input [yellow] 2 2 2 2" xfId="717"/>
    <cellStyle name="Input [yellow] 2 2 2 2 2" xfId="1399"/>
    <cellStyle name="Input [yellow] 2 2 2 2 3" xfId="1986"/>
    <cellStyle name="Input [yellow] 2 2 2 2 4" xfId="2858"/>
    <cellStyle name="Input [yellow] 2 2 2 3" xfId="774"/>
    <cellStyle name="Input [yellow] 2 2 2 3 2" xfId="1456"/>
    <cellStyle name="Input [yellow] 2 2 2 3 3" xfId="2043"/>
    <cellStyle name="Input [yellow] 2 2 2 3 4" xfId="2915"/>
    <cellStyle name="Input [yellow] 2 2 2 4" xfId="823"/>
    <cellStyle name="Input [yellow] 2 2 2 4 2" xfId="1505"/>
    <cellStyle name="Input [yellow] 2 2 2 4 3" xfId="2092"/>
    <cellStyle name="Input [yellow] 2 2 2 4 4" xfId="2964"/>
    <cellStyle name="Input [yellow] 2 2 2 5" xfId="874"/>
    <cellStyle name="Input [yellow] 2 2 2 5 2" xfId="1556"/>
    <cellStyle name="Input [yellow] 2 2 2 5 3" xfId="2143"/>
    <cellStyle name="Input [yellow] 2 2 2 5 4" xfId="3015"/>
    <cellStyle name="Input [yellow] 2 2 2 6" xfId="911"/>
    <cellStyle name="Input [yellow] 2 2 2 6 2" xfId="1593"/>
    <cellStyle name="Input [yellow] 2 2 2 6 3" xfId="2180"/>
    <cellStyle name="Input [yellow] 2 2 2 6 4" xfId="3052"/>
    <cellStyle name="Input [yellow] 2 2 2 7" xfId="950"/>
    <cellStyle name="Input [yellow] 2 2 2 7 2" xfId="1632"/>
    <cellStyle name="Input [yellow] 2 2 2 7 3" xfId="2219"/>
    <cellStyle name="Input [yellow] 2 2 2 7 4" xfId="3091"/>
    <cellStyle name="Input [yellow] 2 2 2 8" xfId="989"/>
    <cellStyle name="Input [yellow] 2 2 2 8 2" xfId="1671"/>
    <cellStyle name="Input [yellow] 2 2 2 8 3" xfId="2258"/>
    <cellStyle name="Input [yellow] 2 2 2 8 4" xfId="3130"/>
    <cellStyle name="Input [yellow] 2 2 2 9" xfId="643"/>
    <cellStyle name="Input [yellow] 2 2 3" xfId="595"/>
    <cellStyle name="Input [yellow] 2 2 3 2" xfId="1282"/>
    <cellStyle name="Input [yellow] 2 2 3 3" xfId="1879"/>
    <cellStyle name="Input [yellow] 2 2 3 4" xfId="2383"/>
    <cellStyle name="Input [yellow] 2 2 3 5" xfId="1311"/>
    <cellStyle name="Input [yellow] 2 2 4" xfId="676"/>
    <cellStyle name="Input [yellow] 2 2 4 2" xfId="1358"/>
    <cellStyle name="Input [yellow] 2 2 4 3" xfId="1945"/>
    <cellStyle name="Input [yellow] 2 2 4 4" xfId="2817"/>
    <cellStyle name="Input [yellow] 2 2 5" xfId="737"/>
    <cellStyle name="Input [yellow] 2 2 5 2" xfId="1419"/>
    <cellStyle name="Input [yellow] 2 2 5 3" xfId="2006"/>
    <cellStyle name="Input [yellow] 2 2 5 4" xfId="2878"/>
    <cellStyle name="Input [yellow] 2 2 6" xfId="498"/>
    <cellStyle name="Input [yellow] 2 2 6 2" xfId="1188"/>
    <cellStyle name="Input [yellow] 2 2 6 3" xfId="1786"/>
    <cellStyle name="Input [yellow] 2 2 6 4" xfId="1139"/>
    <cellStyle name="Input [yellow] 2 2 7" xfId="840"/>
    <cellStyle name="Input [yellow] 2 2 7 2" xfId="1522"/>
    <cellStyle name="Input [yellow] 2 2 7 3" xfId="2109"/>
    <cellStyle name="Input [yellow] 2 2 7 4" xfId="2981"/>
    <cellStyle name="Input [yellow] 2 2 8" xfId="728"/>
    <cellStyle name="Input [yellow] 2 2 8 2" xfId="1410"/>
    <cellStyle name="Input [yellow] 2 2 8 3" xfId="1997"/>
    <cellStyle name="Input [yellow] 2 2 8 4" xfId="2869"/>
    <cellStyle name="Input [yellow] 2 2 9" xfId="556"/>
    <cellStyle name="Input [yellow] 2 2 9 2" xfId="1246"/>
    <cellStyle name="Input [yellow] 2 2 9 3" xfId="1844"/>
    <cellStyle name="Input [yellow] 2 2 9 4" xfId="2259"/>
    <cellStyle name="Input [yellow] 2 20" xfId="3253"/>
    <cellStyle name="Input [yellow] 2 21" xfId="3289"/>
    <cellStyle name="Input [yellow] 2 3" xfId="270"/>
    <cellStyle name="Input [yellow] 2 3 10" xfId="433"/>
    <cellStyle name="Input [yellow] 2 3 11" xfId="1133"/>
    <cellStyle name="Input [yellow] 2 3 2" xfId="630"/>
    <cellStyle name="Input [yellow] 2 3 2 2" xfId="1314"/>
    <cellStyle name="Input [yellow] 2 3 2 3" xfId="1907"/>
    <cellStyle name="Input [yellow] 2 3 2 4" xfId="2393"/>
    <cellStyle name="Input [yellow] 2 3 2 5" xfId="346"/>
    <cellStyle name="Input [yellow] 2 3 3" xfId="706"/>
    <cellStyle name="Input [yellow] 2 3 3 2" xfId="1388"/>
    <cellStyle name="Input [yellow] 2 3 3 3" xfId="1975"/>
    <cellStyle name="Input [yellow] 2 3 3 4" xfId="2847"/>
    <cellStyle name="Input [yellow] 2 3 4" xfId="762"/>
    <cellStyle name="Input [yellow] 2 3 4 2" xfId="1444"/>
    <cellStyle name="Input [yellow] 2 3 4 3" xfId="2031"/>
    <cellStyle name="Input [yellow] 2 3 4 4" xfId="2903"/>
    <cellStyle name="Input [yellow] 2 3 5" xfId="812"/>
    <cellStyle name="Input [yellow] 2 3 5 2" xfId="1494"/>
    <cellStyle name="Input [yellow] 2 3 5 3" xfId="2081"/>
    <cellStyle name="Input [yellow] 2 3 5 4" xfId="2953"/>
    <cellStyle name="Input [yellow] 2 3 6" xfId="863"/>
    <cellStyle name="Input [yellow] 2 3 6 2" xfId="1545"/>
    <cellStyle name="Input [yellow] 2 3 6 3" xfId="2132"/>
    <cellStyle name="Input [yellow] 2 3 6 4" xfId="3004"/>
    <cellStyle name="Input [yellow] 2 3 7" xfId="900"/>
    <cellStyle name="Input [yellow] 2 3 7 2" xfId="1582"/>
    <cellStyle name="Input [yellow] 2 3 7 3" xfId="2169"/>
    <cellStyle name="Input [yellow] 2 3 7 4" xfId="3041"/>
    <cellStyle name="Input [yellow] 2 3 8" xfId="939"/>
    <cellStyle name="Input [yellow] 2 3 8 2" xfId="1621"/>
    <cellStyle name="Input [yellow] 2 3 8 3" xfId="2208"/>
    <cellStyle name="Input [yellow] 2 3 8 4" xfId="3080"/>
    <cellStyle name="Input [yellow] 2 3 9" xfId="978"/>
    <cellStyle name="Input [yellow] 2 3 9 2" xfId="1660"/>
    <cellStyle name="Input [yellow] 2 3 9 3" xfId="2247"/>
    <cellStyle name="Input [yellow] 2 3 9 4" xfId="3119"/>
    <cellStyle name="Input [yellow] 2 4" xfId="213"/>
    <cellStyle name="Input [yellow] 2 4 2" xfId="492"/>
    <cellStyle name="Input [yellow] 2 4 3" xfId="1182"/>
    <cellStyle name="Input [yellow] 2 4 4" xfId="1780"/>
    <cellStyle name="Input [yellow] 2 4 5" xfId="343"/>
    <cellStyle name="Input [yellow] 2 5" xfId="303"/>
    <cellStyle name="Input [yellow] 2 5 2" xfId="571"/>
    <cellStyle name="Input [yellow] 2 5 3" xfId="1260"/>
    <cellStyle name="Input [yellow] 2 5 4" xfId="1858"/>
    <cellStyle name="Input [yellow] 2 5 5" xfId="2570"/>
    <cellStyle name="Input [yellow] 2 6" xfId="510"/>
    <cellStyle name="Input [yellow] 2 6 2" xfId="1200"/>
    <cellStyle name="Input [yellow] 2 6 3" xfId="1798"/>
    <cellStyle name="Input [yellow] 2 6 4" xfId="395"/>
    <cellStyle name="Input [yellow] 2 7" xfId="744"/>
    <cellStyle name="Input [yellow] 2 7 2" xfId="1426"/>
    <cellStyle name="Input [yellow] 2 7 3" xfId="2013"/>
    <cellStyle name="Input [yellow] 2 7 4" xfId="2885"/>
    <cellStyle name="Input [yellow] 2 8" xfId="703"/>
    <cellStyle name="Input [yellow] 2 8 2" xfId="1385"/>
    <cellStyle name="Input [yellow] 2 8 3" xfId="1972"/>
    <cellStyle name="Input [yellow] 2 8 4" xfId="2844"/>
    <cellStyle name="Input [yellow] 2 9" xfId="538"/>
    <cellStyle name="Input [yellow] 2 9 2" xfId="1228"/>
    <cellStyle name="Input [yellow] 2 9 3" xfId="1826"/>
    <cellStyle name="Input [yellow] 2 9 4" xfId="2350"/>
    <cellStyle name="Input [yellow] 3" xfId="224"/>
    <cellStyle name="Input [yellow] 3 10" xfId="790"/>
    <cellStyle name="Input [yellow] 3 10 2" xfId="1472"/>
    <cellStyle name="Input [yellow] 3 10 3" xfId="2059"/>
    <cellStyle name="Input [yellow] 3 10 4" xfId="2931"/>
    <cellStyle name="Input [yellow] 3 11" xfId="1040"/>
    <cellStyle name="Input [yellow] 3 11 2" xfId="1716"/>
    <cellStyle name="Input [yellow] 3 11 3" xfId="2293"/>
    <cellStyle name="Input [yellow] 3 11 4" xfId="2752"/>
    <cellStyle name="Input [yellow] 3 11 5" xfId="3172"/>
    <cellStyle name="Input [yellow] 3 12" xfId="1076"/>
    <cellStyle name="Input [yellow] 3 12 2" xfId="1746"/>
    <cellStyle name="Input [yellow] 3 12 3" xfId="2315"/>
    <cellStyle name="Input [yellow] 3 12 4" xfId="2780"/>
    <cellStyle name="Input [yellow] 3 12 5" xfId="3200"/>
    <cellStyle name="Input [yellow] 3 13" xfId="1086"/>
    <cellStyle name="Input [yellow] 3 13 2" xfId="1756"/>
    <cellStyle name="Input [yellow] 3 13 3" xfId="2325"/>
    <cellStyle name="Input [yellow] 3 13 4" xfId="2790"/>
    <cellStyle name="Input [yellow] 3 13 5" xfId="3210"/>
    <cellStyle name="Input [yellow] 3 14" xfId="436"/>
    <cellStyle name="Input [yellow] 3 2" xfId="273"/>
    <cellStyle name="Input [yellow] 3 2 10" xfId="1317"/>
    <cellStyle name="Input [yellow] 3 2 11" xfId="1910"/>
    <cellStyle name="Input [yellow] 3 2 12" xfId="360"/>
    <cellStyle name="Input [yellow] 3 2 2" xfId="709"/>
    <cellStyle name="Input [yellow] 3 2 2 2" xfId="1391"/>
    <cellStyle name="Input [yellow] 3 2 2 3" xfId="1978"/>
    <cellStyle name="Input [yellow] 3 2 2 4" xfId="2850"/>
    <cellStyle name="Input [yellow] 3 2 3" xfId="765"/>
    <cellStyle name="Input [yellow] 3 2 3 2" xfId="1447"/>
    <cellStyle name="Input [yellow] 3 2 3 3" xfId="2034"/>
    <cellStyle name="Input [yellow] 3 2 3 4" xfId="2906"/>
    <cellStyle name="Input [yellow] 3 2 4" xfId="815"/>
    <cellStyle name="Input [yellow] 3 2 4 2" xfId="1497"/>
    <cellStyle name="Input [yellow] 3 2 4 3" xfId="2084"/>
    <cellStyle name="Input [yellow] 3 2 4 4" xfId="2956"/>
    <cellStyle name="Input [yellow] 3 2 5" xfId="866"/>
    <cellStyle name="Input [yellow] 3 2 5 2" xfId="1548"/>
    <cellStyle name="Input [yellow] 3 2 5 3" xfId="2135"/>
    <cellStyle name="Input [yellow] 3 2 5 4" xfId="3007"/>
    <cellStyle name="Input [yellow] 3 2 6" xfId="903"/>
    <cellStyle name="Input [yellow] 3 2 6 2" xfId="1585"/>
    <cellStyle name="Input [yellow] 3 2 6 3" xfId="2172"/>
    <cellStyle name="Input [yellow] 3 2 6 4" xfId="3044"/>
    <cellStyle name="Input [yellow] 3 2 7" xfId="942"/>
    <cellStyle name="Input [yellow] 3 2 7 2" xfId="1624"/>
    <cellStyle name="Input [yellow] 3 2 7 3" xfId="2211"/>
    <cellStyle name="Input [yellow] 3 2 7 4" xfId="3083"/>
    <cellStyle name="Input [yellow] 3 2 8" xfId="981"/>
    <cellStyle name="Input [yellow] 3 2 8 2" xfId="1663"/>
    <cellStyle name="Input [yellow] 3 2 8 3" xfId="2250"/>
    <cellStyle name="Input [yellow] 3 2 8 4" xfId="3122"/>
    <cellStyle name="Input [yellow] 3 2 9" xfId="633"/>
    <cellStyle name="Input [yellow] 3 3" xfId="585"/>
    <cellStyle name="Input [yellow] 3 3 2" xfId="1273"/>
    <cellStyle name="Input [yellow] 3 3 3" xfId="1871"/>
    <cellStyle name="Input [yellow] 3 3 4" xfId="2375"/>
    <cellStyle name="Input [yellow] 3 3 5" xfId="2626"/>
    <cellStyle name="Input [yellow] 3 4" xfId="667"/>
    <cellStyle name="Input [yellow] 3 4 2" xfId="1349"/>
    <cellStyle name="Input [yellow] 3 4 3" xfId="1936"/>
    <cellStyle name="Input [yellow] 3 4 4" xfId="2808"/>
    <cellStyle name="Input [yellow] 3 5" xfId="578"/>
    <cellStyle name="Input [yellow] 3 5 2" xfId="1267"/>
    <cellStyle name="Input [yellow] 3 5 3" xfId="1865"/>
    <cellStyle name="Input [yellow] 3 5 4" xfId="398"/>
    <cellStyle name="Input [yellow] 3 6" xfId="502"/>
    <cellStyle name="Input [yellow] 3 6 2" xfId="1192"/>
    <cellStyle name="Input [yellow] 3 6 3" xfId="1790"/>
    <cellStyle name="Input [yellow] 3 6 4" xfId="2643"/>
    <cellStyle name="Input [yellow] 3 7" xfId="541"/>
    <cellStyle name="Input [yellow] 3 7 2" xfId="1231"/>
    <cellStyle name="Input [yellow] 3 7 3" xfId="1829"/>
    <cellStyle name="Input [yellow] 3 7 4" xfId="318"/>
    <cellStyle name="Input [yellow] 3 8" xfId="811"/>
    <cellStyle name="Input [yellow] 3 8 2" xfId="1493"/>
    <cellStyle name="Input [yellow] 3 8 3" xfId="2080"/>
    <cellStyle name="Input [yellow] 3 8 4" xfId="2952"/>
    <cellStyle name="Input [yellow] 3 9" xfId="862"/>
    <cellStyle name="Input [yellow] 3 9 2" xfId="1544"/>
    <cellStyle name="Input [yellow] 3 9 3" xfId="2131"/>
    <cellStyle name="Input [yellow] 3 9 4" xfId="3003"/>
    <cellStyle name="Input [yellow] 4" xfId="292"/>
    <cellStyle name="Input [yellow] 4 10" xfId="455"/>
    <cellStyle name="Input [yellow] 4 11" xfId="1148"/>
    <cellStyle name="Input [yellow] 4 2" xfId="652"/>
    <cellStyle name="Input [yellow] 4 2 2" xfId="1335"/>
    <cellStyle name="Input [yellow] 4 2 3" xfId="1922"/>
    <cellStyle name="Input [yellow] 4 2 4" xfId="2399"/>
    <cellStyle name="Input [yellow] 4 2 5" xfId="2344"/>
    <cellStyle name="Input [yellow] 4 3" xfId="726"/>
    <cellStyle name="Input [yellow] 4 3 2" xfId="1408"/>
    <cellStyle name="Input [yellow] 4 3 3" xfId="1995"/>
    <cellStyle name="Input [yellow] 4 3 4" xfId="2867"/>
    <cellStyle name="Input [yellow] 4 4" xfId="782"/>
    <cellStyle name="Input [yellow] 4 4 2" xfId="1464"/>
    <cellStyle name="Input [yellow] 4 4 3" xfId="2051"/>
    <cellStyle name="Input [yellow] 4 4 4" xfId="2923"/>
    <cellStyle name="Input [yellow] 4 5" xfId="832"/>
    <cellStyle name="Input [yellow] 4 5 2" xfId="1514"/>
    <cellStyle name="Input [yellow] 4 5 3" xfId="2101"/>
    <cellStyle name="Input [yellow] 4 5 4" xfId="2973"/>
    <cellStyle name="Input [yellow] 4 6" xfId="882"/>
    <cellStyle name="Input [yellow] 4 6 2" xfId="1564"/>
    <cellStyle name="Input [yellow] 4 6 3" xfId="2151"/>
    <cellStyle name="Input [yellow] 4 6 4" xfId="3023"/>
    <cellStyle name="Input [yellow] 4 7" xfId="920"/>
    <cellStyle name="Input [yellow] 4 7 2" xfId="1602"/>
    <cellStyle name="Input [yellow] 4 7 3" xfId="2189"/>
    <cellStyle name="Input [yellow] 4 7 4" xfId="3061"/>
    <cellStyle name="Input [yellow] 4 8" xfId="958"/>
    <cellStyle name="Input [yellow] 4 8 2" xfId="1640"/>
    <cellStyle name="Input [yellow] 4 8 3" xfId="2227"/>
    <cellStyle name="Input [yellow] 4 8 4" xfId="3099"/>
    <cellStyle name="Input [yellow] 4 9" xfId="997"/>
    <cellStyle name="Input [yellow] 4 9 2" xfId="1679"/>
    <cellStyle name="Input [yellow] 4 9 3" xfId="2261"/>
    <cellStyle name="Input [yellow] 4 9 4" xfId="3138"/>
    <cellStyle name="Input [yellow] 5" xfId="206"/>
    <cellStyle name="Input [yellow] 5 2" xfId="465"/>
    <cellStyle name="Input [yellow] 5 3" xfId="1157"/>
    <cellStyle name="Input [yellow] 5 4" xfId="427"/>
    <cellStyle name="Input [yellow] 5 5" xfId="334"/>
    <cellStyle name="Input [yellow] 5 6" xfId="417"/>
    <cellStyle name="Input [yellow] 6" xfId="208"/>
    <cellStyle name="Input [yellow] 6 2" xfId="574"/>
    <cellStyle name="Input [yellow] 6 3" xfId="1263"/>
    <cellStyle name="Input [yellow] 6 4" xfId="1861"/>
    <cellStyle name="Input [yellow] 6 5" xfId="2398"/>
    <cellStyle name="Input [yellow] 7" xfId="204"/>
    <cellStyle name="Input [yellow] 7 2" xfId="506"/>
    <cellStyle name="Input [yellow] 7 3" xfId="1196"/>
    <cellStyle name="Input [yellow] 7 4" xfId="1794"/>
    <cellStyle name="Input [yellow] 7 5" xfId="2467"/>
    <cellStyle name="Input [yellow] 8" xfId="528"/>
    <cellStyle name="Input [yellow] 8 2" xfId="1218"/>
    <cellStyle name="Input [yellow] 8 3" xfId="1816"/>
    <cellStyle name="Input [yellow] 8 4" xfId="2364"/>
    <cellStyle name="Input [yellow] 9" xfId="662"/>
    <cellStyle name="Input [yellow] 9 2" xfId="1344"/>
    <cellStyle name="Input [yellow] 9 3" xfId="1931"/>
    <cellStyle name="Input [yellow] 9 4" xfId="2803"/>
    <cellStyle name="J401K" xfId="30"/>
    <cellStyle name="JT帳票" xfId="31"/>
    <cellStyle name="Normal" xfId="0" builtinId="0"/>
    <cellStyle name="Normal - Style1" xfId="32"/>
    <cellStyle name="Normal - Style1 2" xfId="33"/>
    <cellStyle name="Normal - Style1 2 2" xfId="34"/>
    <cellStyle name="Normal - Style1 2 2 2" xfId="35"/>
    <cellStyle name="Normal - Style1 2 2 2 2" xfId="162"/>
    <cellStyle name="Normal - Style1 2 2 3" xfId="161"/>
    <cellStyle name="Normal - Style1 2 3" xfId="36"/>
    <cellStyle name="Normal - Style1 2 3 2" xfId="37"/>
    <cellStyle name="Normal - Style1 2 3 2 2" xfId="164"/>
    <cellStyle name="Normal - Style1 2 3 3" xfId="163"/>
    <cellStyle name="Normal - Style1 2 4" xfId="38"/>
    <cellStyle name="Normal - Style1 2 4 2" xfId="165"/>
    <cellStyle name="Normal - Style1 2 5" xfId="160"/>
    <cellStyle name="Normal - Style1 2_マッピング定義共通" xfId="39"/>
    <cellStyle name="Normal - Style1 3" xfId="40"/>
    <cellStyle name="Normal - Style1_マッピング定義共通" xfId="41"/>
    <cellStyle name="Normal 2" xfId="261"/>
    <cellStyle name="Normal 3" xfId="1038"/>
    <cellStyle name="Normal 4" xfId="3300"/>
    <cellStyle name="Normal 5" xfId="195"/>
    <cellStyle name="Normal 5 2" xfId="201"/>
    <cellStyle name="Normal 5 2 2" xfId="3278"/>
    <cellStyle name="Normal 5 3" xfId="202"/>
    <cellStyle name="per.style" xfId="42"/>
    <cellStyle name="Percent [2]" xfId="43"/>
    <cellStyle name="price" xfId="44"/>
    <cellStyle name="PSChar" xfId="45"/>
    <cellStyle name="PSHeading" xfId="46"/>
    <cellStyle name="revised" xfId="47"/>
    <cellStyle name="SAPBEXaggData" xfId="48"/>
    <cellStyle name="SAPBEXaggDataEmph" xfId="49"/>
    <cellStyle name="SAPBEXaggItem" xfId="50"/>
    <cellStyle name="SAPBEXchaText" xfId="51"/>
    <cellStyle name="SAPBEXexcBad" xfId="52"/>
    <cellStyle name="SAPBEXexcCritical" xfId="53"/>
    <cellStyle name="SAPBEXexcGood" xfId="54"/>
    <cellStyle name="SAPBEXexcVeryBad" xfId="55"/>
    <cellStyle name="SAPBEXfilterDrill" xfId="56"/>
    <cellStyle name="SAPBEXfilterItem" xfId="57"/>
    <cellStyle name="SAPBEXfilterText" xfId="58"/>
    <cellStyle name="SAPBEXformats" xfId="59"/>
    <cellStyle name="SAPBEXheaderData" xfId="60"/>
    <cellStyle name="SAPBEXheaderItem" xfId="61"/>
    <cellStyle name="SAPBEXheaderText" xfId="62"/>
    <cellStyle name="SAPBEXresData" xfId="63"/>
    <cellStyle name="SAPBEXresDataEmph" xfId="64"/>
    <cellStyle name="SAPBEXresItem" xfId="65"/>
    <cellStyle name="SAPBEXstdData" xfId="66"/>
    <cellStyle name="SAPBEXstdDataEmph" xfId="67"/>
    <cellStyle name="SAPBEXstdItem" xfId="68"/>
    <cellStyle name="SAPBEXsubData" xfId="69"/>
    <cellStyle name="SAPBEXsubDataEmph" xfId="70"/>
    <cellStyle name="SAPBEXsubItem" xfId="71"/>
    <cellStyle name="SAPBEXtitle" xfId="72"/>
    <cellStyle name="SAPBEXundefined" xfId="73"/>
    <cellStyle name="section" xfId="74"/>
    <cellStyle name="subhead" xfId="75"/>
    <cellStyle name="title" xfId="76"/>
    <cellStyle name="umeda" xfId="77"/>
    <cellStyle name="アクセント 1 2" xfId="78"/>
    <cellStyle name="アクセント 2 2" xfId="79"/>
    <cellStyle name="アクセント 3 2" xfId="80"/>
    <cellStyle name="アクセント 4 2" xfId="81"/>
    <cellStyle name="アクセント 5 2" xfId="82"/>
    <cellStyle name="アクセント 6 2" xfId="83"/>
    <cellStyle name="スタイル 1" xfId="84"/>
    <cellStyle name="センター" xfId="85"/>
    <cellStyle name="タイトル 2" xfId="86"/>
    <cellStyle name="チェック セル 2" xfId="87"/>
    <cellStyle name="どちらでもない 2" xfId="88"/>
    <cellStyle name="メモ 2" xfId="89"/>
    <cellStyle name="メモ 2 10" xfId="1024"/>
    <cellStyle name="メモ 2 10 2" xfId="1705"/>
    <cellStyle name="メモ 2 10 3" xfId="2280"/>
    <cellStyle name="メモ 2 10 4" xfId="2743"/>
    <cellStyle name="メモ 2 10 5" xfId="3164"/>
    <cellStyle name="メモ 2 11" xfId="356"/>
    <cellStyle name="メモ 2 12" xfId="3244"/>
    <cellStyle name="メモ 2 13" xfId="3241"/>
    <cellStyle name="メモ 2 14" xfId="3242"/>
    <cellStyle name="メモ 2 2" xfId="166"/>
    <cellStyle name="メモ 2 2 10" xfId="1065"/>
    <cellStyle name="メモ 2 2 10 2" xfId="1735"/>
    <cellStyle name="メモ 2 2 10 3" xfId="2305"/>
    <cellStyle name="メモ 2 2 10 4" xfId="2769"/>
    <cellStyle name="メモ 2 2 10 5" xfId="3189"/>
    <cellStyle name="メモ 2 2 11" xfId="1022"/>
    <cellStyle name="メモ 2 2 11 2" xfId="1703"/>
    <cellStyle name="メモ 2 2 11 3" xfId="2278"/>
    <cellStyle name="メモ 2 2 11 4" xfId="2741"/>
    <cellStyle name="メモ 2 2 11 5" xfId="3162"/>
    <cellStyle name="メモ 2 2 12" xfId="1060"/>
    <cellStyle name="メモ 2 2 12 2" xfId="1730"/>
    <cellStyle name="メモ 2 2 12 3" xfId="2764"/>
    <cellStyle name="メモ 2 2 12 4" xfId="3184"/>
    <cellStyle name="メモ 2 2 13" xfId="1102"/>
    <cellStyle name="メモ 2 2 13 2" xfId="1768"/>
    <cellStyle name="メモ 2 2 13 3" xfId="2335"/>
    <cellStyle name="メモ 2 2 13 4" xfId="3220"/>
    <cellStyle name="メモ 2 2 14" xfId="399"/>
    <cellStyle name="メモ 2 2 15" xfId="3262"/>
    <cellStyle name="メモ 2 2 16" xfId="3282"/>
    <cellStyle name="メモ 2 2 17" xfId="3273"/>
    <cellStyle name="メモ 2 2 18" xfId="3290"/>
    <cellStyle name="メモ 2 2 19" xfId="3256"/>
    <cellStyle name="メモ 2 2 2" xfId="235"/>
    <cellStyle name="メモ 2 2 2 10" xfId="807"/>
    <cellStyle name="メモ 2 2 2 10 2" xfId="1489"/>
    <cellStyle name="メモ 2 2 2 10 3" xfId="2076"/>
    <cellStyle name="メモ 2 2 2 10 4" xfId="2548"/>
    <cellStyle name="メモ 2 2 2 10 5" xfId="2948"/>
    <cellStyle name="メモ 2 2 2 11" xfId="447"/>
    <cellStyle name="メモ 2 2 2 12" xfId="1140"/>
    <cellStyle name="メモ 2 2 2 13" xfId="337"/>
    <cellStyle name="メモ 2 2 2 14" xfId="373"/>
    <cellStyle name="メモ 2 2 2 2" xfId="284"/>
    <cellStyle name="メモ 2 2 2 2 10" xfId="1327"/>
    <cellStyle name="メモ 2 2 2 2 11" xfId="2289"/>
    <cellStyle name="メモ 2 2 2 2 2" xfId="718"/>
    <cellStyle name="メモ 2 2 2 2 2 2" xfId="1400"/>
    <cellStyle name="メモ 2 2 2 2 2 3" xfId="1987"/>
    <cellStyle name="メモ 2 2 2 2 2 4" xfId="2459"/>
    <cellStyle name="メモ 2 2 2 2 2 5" xfId="2859"/>
    <cellStyle name="メモ 2 2 2 2 3" xfId="775"/>
    <cellStyle name="メモ 2 2 2 2 3 2" xfId="1457"/>
    <cellStyle name="メモ 2 2 2 2 3 3" xfId="2044"/>
    <cellStyle name="メモ 2 2 2 2 3 4" xfId="2516"/>
    <cellStyle name="メモ 2 2 2 2 3 5" xfId="2916"/>
    <cellStyle name="メモ 2 2 2 2 4" xfId="824"/>
    <cellStyle name="メモ 2 2 2 2 4 2" xfId="1506"/>
    <cellStyle name="メモ 2 2 2 2 4 3" xfId="2093"/>
    <cellStyle name="メモ 2 2 2 2 4 4" xfId="2563"/>
    <cellStyle name="メモ 2 2 2 2 4 5" xfId="2965"/>
    <cellStyle name="メモ 2 2 2 2 5" xfId="875"/>
    <cellStyle name="メモ 2 2 2 2 5 2" xfId="1557"/>
    <cellStyle name="メモ 2 2 2 2 5 3" xfId="2144"/>
    <cellStyle name="メモ 2 2 2 2 5 4" xfId="3016"/>
    <cellStyle name="メモ 2 2 2 2 6" xfId="912"/>
    <cellStyle name="メモ 2 2 2 2 6 2" xfId="1594"/>
    <cellStyle name="メモ 2 2 2 2 6 3" xfId="2181"/>
    <cellStyle name="メモ 2 2 2 2 6 4" xfId="2635"/>
    <cellStyle name="メモ 2 2 2 2 6 5" xfId="3053"/>
    <cellStyle name="メモ 2 2 2 2 7" xfId="951"/>
    <cellStyle name="メモ 2 2 2 2 7 2" xfId="1633"/>
    <cellStyle name="メモ 2 2 2 2 7 3" xfId="2220"/>
    <cellStyle name="メモ 2 2 2 2 7 4" xfId="2673"/>
    <cellStyle name="メモ 2 2 2 2 7 5" xfId="3092"/>
    <cellStyle name="メモ 2 2 2 2 8" xfId="990"/>
    <cellStyle name="メモ 2 2 2 2 8 2" xfId="1672"/>
    <cellStyle name="メモ 2 2 2 2 8 3" xfId="2711"/>
    <cellStyle name="メモ 2 2 2 2 8 4" xfId="3131"/>
    <cellStyle name="メモ 2 2 2 2 9" xfId="644"/>
    <cellStyle name="メモ 2 2 2 3" xfId="596"/>
    <cellStyle name="メモ 2 2 2 3 2" xfId="1283"/>
    <cellStyle name="メモ 2 2 2 3 3" xfId="1880"/>
    <cellStyle name="メモ 2 2 2 3 4" xfId="2384"/>
    <cellStyle name="メモ 2 2 2 3 5" xfId="2351"/>
    <cellStyle name="メモ 2 2 2 4" xfId="677"/>
    <cellStyle name="メモ 2 2 2 4 2" xfId="1359"/>
    <cellStyle name="メモ 2 2 2 4 3" xfId="1946"/>
    <cellStyle name="メモ 2 2 2 4 4" xfId="2419"/>
    <cellStyle name="メモ 2 2 2 4 5" xfId="2818"/>
    <cellStyle name="メモ 2 2 2 5" xfId="738"/>
    <cellStyle name="メモ 2 2 2 5 2" xfId="1420"/>
    <cellStyle name="メモ 2 2 2 5 3" xfId="2007"/>
    <cellStyle name="メモ 2 2 2 5 4" xfId="2479"/>
    <cellStyle name="メモ 2 2 2 5 5" xfId="2879"/>
    <cellStyle name="メモ 2 2 2 6" xfId="561"/>
    <cellStyle name="メモ 2 2 2 6 2" xfId="1250"/>
    <cellStyle name="メモ 2 2 2 6 3" xfId="1848"/>
    <cellStyle name="メモ 2 2 2 6 4" xfId="2354"/>
    <cellStyle name="メモ 2 2 2 6 5" xfId="345"/>
    <cellStyle name="メモ 2 2 2 7" xfId="841"/>
    <cellStyle name="メモ 2 2 2 7 2" xfId="1523"/>
    <cellStyle name="メモ 2 2 2 7 3" xfId="2110"/>
    <cellStyle name="メモ 2 2 2 7 4" xfId="2579"/>
    <cellStyle name="メモ 2 2 2 7 5" xfId="2982"/>
    <cellStyle name="メモ 2 2 2 8" xfId="701"/>
    <cellStyle name="メモ 2 2 2 8 2" xfId="1383"/>
    <cellStyle name="メモ 2 2 2 8 3" xfId="1970"/>
    <cellStyle name="メモ 2 2 2 8 4" xfId="2443"/>
    <cellStyle name="メモ 2 2 2 8 5" xfId="2842"/>
    <cellStyle name="メモ 2 2 2 9" xfId="532"/>
    <cellStyle name="メモ 2 2 2 9 2" xfId="1222"/>
    <cellStyle name="メモ 2 2 2 9 3" xfId="1820"/>
    <cellStyle name="メモ 2 2 2 9 4" xfId="1128"/>
    <cellStyle name="メモ 2 2 2 9 5" xfId="2624"/>
    <cellStyle name="メモ 2 2 3" xfId="295"/>
    <cellStyle name="メモ 2 2 3 10" xfId="458"/>
    <cellStyle name="メモ 2 2 3 11" xfId="409"/>
    <cellStyle name="メモ 2 2 3 2" xfId="655"/>
    <cellStyle name="メモ 2 2 3 2 2" xfId="1337"/>
    <cellStyle name="メモ 2 2 3 2 3" xfId="1924"/>
    <cellStyle name="メモ 2 2 3 2 4" xfId="2400"/>
    <cellStyle name="メモ 2 2 3 2 5" xfId="2290"/>
    <cellStyle name="メモ 2 2 3 3" xfId="729"/>
    <cellStyle name="メモ 2 2 3 3 2" xfId="1411"/>
    <cellStyle name="メモ 2 2 3 3 3" xfId="1998"/>
    <cellStyle name="メモ 2 2 3 3 4" xfId="2470"/>
    <cellStyle name="メモ 2 2 3 3 5" xfId="2870"/>
    <cellStyle name="メモ 2 2 3 4" xfId="784"/>
    <cellStyle name="メモ 2 2 3 4 2" xfId="1466"/>
    <cellStyle name="メモ 2 2 3 4 3" xfId="2053"/>
    <cellStyle name="メモ 2 2 3 4 4" xfId="2525"/>
    <cellStyle name="メモ 2 2 3 4 5" xfId="2925"/>
    <cellStyle name="メモ 2 2 3 5" xfId="833"/>
    <cellStyle name="メモ 2 2 3 5 2" xfId="1515"/>
    <cellStyle name="メモ 2 2 3 5 3" xfId="2102"/>
    <cellStyle name="メモ 2 2 3 5 4" xfId="2572"/>
    <cellStyle name="メモ 2 2 3 5 5" xfId="2974"/>
    <cellStyle name="メモ 2 2 3 6" xfId="883"/>
    <cellStyle name="メモ 2 2 3 6 2" xfId="1565"/>
    <cellStyle name="メモ 2 2 3 6 3" xfId="2152"/>
    <cellStyle name="メモ 2 2 3 6 4" xfId="3024"/>
    <cellStyle name="メモ 2 2 3 7" xfId="922"/>
    <cellStyle name="メモ 2 2 3 7 2" xfId="1604"/>
    <cellStyle name="メモ 2 2 3 7 3" xfId="2191"/>
    <cellStyle name="メモ 2 2 3 7 4" xfId="2645"/>
    <cellStyle name="メモ 2 2 3 7 5" xfId="3063"/>
    <cellStyle name="メモ 2 2 3 8" xfId="959"/>
    <cellStyle name="メモ 2 2 3 8 2" xfId="1641"/>
    <cellStyle name="メモ 2 2 3 8 3" xfId="2228"/>
    <cellStyle name="メモ 2 2 3 8 4" xfId="2681"/>
    <cellStyle name="メモ 2 2 3 8 5" xfId="3100"/>
    <cellStyle name="メモ 2 2 3 9" xfId="998"/>
    <cellStyle name="メモ 2 2 3 9 2" xfId="1680"/>
    <cellStyle name="メモ 2 2 3 9 3" xfId="2719"/>
    <cellStyle name="メモ 2 2 3 9 4" xfId="3139"/>
    <cellStyle name="メモ 2 2 4" xfId="250"/>
    <cellStyle name="メモ 2 2 4 10" xfId="1298"/>
    <cellStyle name="メモ 2 2 4 11" xfId="1893"/>
    <cellStyle name="メモ 2 2 4 12" xfId="353"/>
    <cellStyle name="メモ 2 2 4 2" xfId="691"/>
    <cellStyle name="メモ 2 2 4 2 2" xfId="1373"/>
    <cellStyle name="メモ 2 2 4 2 3" xfId="1960"/>
    <cellStyle name="メモ 2 2 4 2 4" xfId="2433"/>
    <cellStyle name="メモ 2 2 4 2 5" xfId="2832"/>
    <cellStyle name="メモ 2 2 4 3" xfId="752"/>
    <cellStyle name="メモ 2 2 4 3 2" xfId="1434"/>
    <cellStyle name="メモ 2 2 4 3 3" xfId="2021"/>
    <cellStyle name="メモ 2 2 4 3 4" xfId="2493"/>
    <cellStyle name="メモ 2 2 4 3 5" xfId="2893"/>
    <cellStyle name="メモ 2 2 4 4" xfId="799"/>
    <cellStyle name="メモ 2 2 4 4 2" xfId="1481"/>
    <cellStyle name="メモ 2 2 4 4 3" xfId="2068"/>
    <cellStyle name="メモ 2 2 4 4 4" xfId="2540"/>
    <cellStyle name="メモ 2 2 4 4 5" xfId="2940"/>
    <cellStyle name="メモ 2 2 4 5" xfId="853"/>
    <cellStyle name="メモ 2 2 4 5 2" xfId="1535"/>
    <cellStyle name="メモ 2 2 4 5 3" xfId="2122"/>
    <cellStyle name="メモ 2 2 4 5 4" xfId="2591"/>
    <cellStyle name="メモ 2 2 4 5 5" xfId="2994"/>
    <cellStyle name="メモ 2 2 4 6" xfId="892"/>
    <cellStyle name="メモ 2 2 4 6 2" xfId="1574"/>
    <cellStyle name="メモ 2 2 4 6 3" xfId="2161"/>
    <cellStyle name="メモ 2 2 4 6 4" xfId="2616"/>
    <cellStyle name="メモ 2 2 4 6 5" xfId="3033"/>
    <cellStyle name="メモ 2 2 4 7" xfId="932"/>
    <cellStyle name="メモ 2 2 4 7 2" xfId="1614"/>
    <cellStyle name="メモ 2 2 4 7 3" xfId="2201"/>
    <cellStyle name="メモ 2 2 4 7 4" xfId="2655"/>
    <cellStyle name="メモ 2 2 4 7 5" xfId="3073"/>
    <cellStyle name="メモ 2 2 4 8" xfId="972"/>
    <cellStyle name="メモ 2 2 4 8 2" xfId="1654"/>
    <cellStyle name="メモ 2 2 4 8 3" xfId="2241"/>
    <cellStyle name="メモ 2 2 4 8 4" xfId="2694"/>
    <cellStyle name="メモ 2 2 4 8 5" xfId="3113"/>
    <cellStyle name="メモ 2 2 4 9" xfId="611"/>
    <cellStyle name="メモ 2 2 5" xfId="214"/>
    <cellStyle name="メモ 2 2 5 2" xfId="489"/>
    <cellStyle name="メモ 2 2 5 3" xfId="1179"/>
    <cellStyle name="メモ 2 2 5 4" xfId="1777"/>
    <cellStyle name="メモ 2 2 5 5" xfId="1149"/>
    <cellStyle name="メモ 2 2 5 6" xfId="2313"/>
    <cellStyle name="メモ 2 2 6" xfId="304"/>
    <cellStyle name="メモ 2 2 6 2" xfId="625"/>
    <cellStyle name="メモ 2 2 6 3" xfId="1310"/>
    <cellStyle name="メモ 2 2 6 4" xfId="1904"/>
    <cellStyle name="メモ 2 2 6 5" xfId="2392"/>
    <cellStyle name="メモ 2 2 6 6" xfId="1131"/>
    <cellStyle name="メモ 2 2 7" xfId="724"/>
    <cellStyle name="メモ 2 2 7 2" xfId="1406"/>
    <cellStyle name="メモ 2 2 7 3" xfId="1993"/>
    <cellStyle name="メモ 2 2 7 4" xfId="2465"/>
    <cellStyle name="メモ 2 2 7 5" xfId="2865"/>
    <cellStyle name="メモ 2 2 8" xfId="564"/>
    <cellStyle name="メモ 2 2 8 2" xfId="1253"/>
    <cellStyle name="メモ 2 2 8 3" xfId="1851"/>
    <cellStyle name="メモ 2 2 8 4" xfId="2357"/>
    <cellStyle name="メモ 2 2 8 5" xfId="2501"/>
    <cellStyle name="メモ 2 2 9" xfId="918"/>
    <cellStyle name="メモ 2 2 9 2" xfId="1600"/>
    <cellStyle name="メモ 2 2 9 3" xfId="2187"/>
    <cellStyle name="メモ 2 2 9 4" xfId="2641"/>
    <cellStyle name="メモ 2 2 9 5" xfId="3059"/>
    <cellStyle name="メモ 2 3" xfId="225"/>
    <cellStyle name="メモ 2 3 10" xfId="481"/>
    <cellStyle name="メモ 2 3 10 2" xfId="1171"/>
    <cellStyle name="メモ 2 3 10 3" xfId="389"/>
    <cellStyle name="メモ 2 3 10 4" xfId="1774"/>
    <cellStyle name="メモ 2 3 10 5" xfId="1920"/>
    <cellStyle name="メモ 2 3 11" xfId="1041"/>
    <cellStyle name="メモ 2 3 11 2" xfId="1717"/>
    <cellStyle name="メモ 2 3 11 3" xfId="2753"/>
    <cellStyle name="メモ 2 3 11 4" xfId="3173"/>
    <cellStyle name="メモ 2 3 12" xfId="1077"/>
    <cellStyle name="メモ 2 3 12 2" xfId="1747"/>
    <cellStyle name="メモ 2 3 12 3" xfId="2316"/>
    <cellStyle name="メモ 2 3 12 4" xfId="2781"/>
    <cellStyle name="メモ 2 3 12 5" xfId="3201"/>
    <cellStyle name="メモ 2 3 13" xfId="1087"/>
    <cellStyle name="メモ 2 3 13 2" xfId="1757"/>
    <cellStyle name="メモ 2 3 13 3" xfId="2326"/>
    <cellStyle name="メモ 2 3 13 4" xfId="2791"/>
    <cellStyle name="メモ 2 3 13 5" xfId="3211"/>
    <cellStyle name="メモ 2 3 14" xfId="442"/>
    <cellStyle name="メモ 2 3 15" xfId="320"/>
    <cellStyle name="メモ 2 3 2" xfId="279"/>
    <cellStyle name="メモ 2 3 2 10" xfId="1323"/>
    <cellStyle name="メモ 2 3 2 11" xfId="1916"/>
    <cellStyle name="メモ 2 3 2 12" xfId="366"/>
    <cellStyle name="メモ 2 3 2 2" xfId="715"/>
    <cellStyle name="メモ 2 3 2 2 2" xfId="1397"/>
    <cellStyle name="メモ 2 3 2 2 3" xfId="1984"/>
    <cellStyle name="メモ 2 3 2 2 4" xfId="2457"/>
    <cellStyle name="メモ 2 3 2 2 5" xfId="2856"/>
    <cellStyle name="メモ 2 3 2 3" xfId="771"/>
    <cellStyle name="メモ 2 3 2 3 2" xfId="1453"/>
    <cellStyle name="メモ 2 3 2 3 3" xfId="2040"/>
    <cellStyle name="メモ 2 3 2 3 4" xfId="2512"/>
    <cellStyle name="メモ 2 3 2 3 5" xfId="2912"/>
    <cellStyle name="メモ 2 3 2 4" xfId="821"/>
    <cellStyle name="メモ 2 3 2 4 2" xfId="1503"/>
    <cellStyle name="メモ 2 3 2 4 3" xfId="2090"/>
    <cellStyle name="メモ 2 3 2 4 4" xfId="2561"/>
    <cellStyle name="メモ 2 3 2 4 5" xfId="2962"/>
    <cellStyle name="メモ 2 3 2 5" xfId="872"/>
    <cellStyle name="メモ 2 3 2 5 2" xfId="1554"/>
    <cellStyle name="メモ 2 3 2 5 3" xfId="2141"/>
    <cellStyle name="メモ 2 3 2 5 4" xfId="2609"/>
    <cellStyle name="メモ 2 3 2 5 5" xfId="3013"/>
    <cellStyle name="メモ 2 3 2 6" xfId="909"/>
    <cellStyle name="メモ 2 3 2 6 2" xfId="1591"/>
    <cellStyle name="メモ 2 3 2 6 3" xfId="2178"/>
    <cellStyle name="メモ 2 3 2 6 4" xfId="2633"/>
    <cellStyle name="メモ 2 3 2 6 5" xfId="3050"/>
    <cellStyle name="メモ 2 3 2 7" xfId="948"/>
    <cellStyle name="メモ 2 3 2 7 2" xfId="1630"/>
    <cellStyle name="メモ 2 3 2 7 3" xfId="2217"/>
    <cellStyle name="メモ 2 3 2 7 4" xfId="2670"/>
    <cellStyle name="メモ 2 3 2 7 5" xfId="3089"/>
    <cellStyle name="メモ 2 3 2 8" xfId="987"/>
    <cellStyle name="メモ 2 3 2 8 2" xfId="1669"/>
    <cellStyle name="メモ 2 3 2 8 3" xfId="2256"/>
    <cellStyle name="メモ 2 3 2 8 4" xfId="2708"/>
    <cellStyle name="メモ 2 3 2 8 5" xfId="3128"/>
    <cellStyle name="メモ 2 3 2 9" xfId="639"/>
    <cellStyle name="メモ 2 3 3" xfId="586"/>
    <cellStyle name="メモ 2 3 3 2" xfId="1274"/>
    <cellStyle name="メモ 2 3 3 3" xfId="1872"/>
    <cellStyle name="メモ 2 3 3 4" xfId="2376"/>
    <cellStyle name="メモ 2 3 3 5" xfId="2602"/>
    <cellStyle name="メモ 2 3 4" xfId="668"/>
    <cellStyle name="メモ 2 3 4 2" xfId="1350"/>
    <cellStyle name="メモ 2 3 4 3" xfId="1937"/>
    <cellStyle name="メモ 2 3 4 4" xfId="2410"/>
    <cellStyle name="メモ 2 3 4 5" xfId="2809"/>
    <cellStyle name="メモ 2 3 5" xfId="575"/>
    <cellStyle name="メモ 2 3 5 2" xfId="1264"/>
    <cellStyle name="メモ 2 3 5 3" xfId="1862"/>
    <cellStyle name="メモ 2 3 5 4" xfId="2368"/>
    <cellStyle name="メモ 2 3 5 5" xfId="1117"/>
    <cellStyle name="メモ 2 3 6" xfId="501"/>
    <cellStyle name="メモ 2 3 6 2" xfId="1191"/>
    <cellStyle name="メモ 2 3 6 3" xfId="1789"/>
    <cellStyle name="メモ 2 3 6 4" xfId="1766"/>
    <cellStyle name="メモ 2 3 6 5" xfId="2680"/>
    <cellStyle name="メモ 2 3 7" xfId="533"/>
    <cellStyle name="メモ 2 3 7 2" xfId="1223"/>
    <cellStyle name="メモ 2 3 7 3" xfId="1821"/>
    <cellStyle name="メモ 2 3 7 4" xfId="1309"/>
    <cellStyle name="メモ 2 3 7 5" xfId="2601"/>
    <cellStyle name="メモ 2 3 8" xfId="494"/>
    <cellStyle name="メモ 2 3 8 2" xfId="1184"/>
    <cellStyle name="メモ 2 3 8 3" xfId="1782"/>
    <cellStyle name="メモ 2 3 8 4" xfId="354"/>
    <cellStyle name="メモ 2 3 8 5" xfId="370"/>
    <cellStyle name="メモ 2 3 9" xfId="751"/>
    <cellStyle name="メモ 2 3 9 2" xfId="1433"/>
    <cellStyle name="メモ 2 3 9 3" xfId="2020"/>
    <cellStyle name="メモ 2 3 9 4" xfId="2492"/>
    <cellStyle name="メモ 2 3 9 5" xfId="2892"/>
    <cellStyle name="メモ 2 4" xfId="242"/>
    <cellStyle name="メモ 2 4 10" xfId="1290"/>
    <cellStyle name="メモ 2 4 11" xfId="1886"/>
    <cellStyle name="メモ 2 4 12" xfId="2553"/>
    <cellStyle name="メモ 2 4 2" xfId="684"/>
    <cellStyle name="メモ 2 4 2 2" xfId="1366"/>
    <cellStyle name="メモ 2 4 2 3" xfId="1953"/>
    <cellStyle name="メモ 2 4 2 4" xfId="2426"/>
    <cellStyle name="メモ 2 4 2 5" xfId="2825"/>
    <cellStyle name="メモ 2 4 3" xfId="745"/>
    <cellStyle name="メモ 2 4 3 2" xfId="1427"/>
    <cellStyle name="メモ 2 4 3 3" xfId="2014"/>
    <cellStyle name="メモ 2 4 3 4" xfId="2486"/>
    <cellStyle name="メモ 2 4 3 5" xfId="2886"/>
    <cellStyle name="メモ 2 4 4" xfId="793"/>
    <cellStyle name="メモ 2 4 4 2" xfId="1475"/>
    <cellStyle name="メモ 2 4 4 3" xfId="2062"/>
    <cellStyle name="メモ 2 4 4 4" xfId="2534"/>
    <cellStyle name="メモ 2 4 4 5" xfId="2934"/>
    <cellStyle name="メモ 2 4 5" xfId="847"/>
    <cellStyle name="メモ 2 4 5 2" xfId="1529"/>
    <cellStyle name="メモ 2 4 5 3" xfId="2116"/>
    <cellStyle name="メモ 2 4 5 4" xfId="2585"/>
    <cellStyle name="メモ 2 4 5 5" xfId="2988"/>
    <cellStyle name="メモ 2 4 6" xfId="513"/>
    <cellStyle name="メモ 2 4 6 2" xfId="1203"/>
    <cellStyle name="メモ 2 4 6 3" xfId="1801"/>
    <cellStyle name="メモ 2 4 6 4" xfId="2314"/>
    <cellStyle name="メモ 2 4 6 5" xfId="2409"/>
    <cellStyle name="メモ 2 4 7" xfId="565"/>
    <cellStyle name="メモ 2 4 7 2" xfId="1254"/>
    <cellStyle name="メモ 2 4 7 3" xfId="1852"/>
    <cellStyle name="メモ 2 4 7 4" xfId="2358"/>
    <cellStyle name="メモ 2 4 7 5" xfId="2444"/>
    <cellStyle name="メモ 2 4 8" xfId="966"/>
    <cellStyle name="メモ 2 4 8 2" xfId="1648"/>
    <cellStyle name="メモ 2 4 8 3" xfId="2235"/>
    <cellStyle name="メモ 2 4 8 4" xfId="2688"/>
    <cellStyle name="メモ 2 4 8 5" xfId="3107"/>
    <cellStyle name="メモ 2 4 9" xfId="603"/>
    <cellStyle name="メモ 2 5" xfId="526"/>
    <cellStyle name="メモ 2 5 2" xfId="1216"/>
    <cellStyle name="メモ 2 5 3" xfId="1814"/>
    <cellStyle name="メモ 2 5 4" xfId="330"/>
    <cellStyle name="メモ 2 5 5" xfId="2485"/>
    <cellStyle name="メモ 2 6" xfId="524"/>
    <cellStyle name="メモ 2 6 2" xfId="1214"/>
    <cellStyle name="メモ 2 6 3" xfId="1812"/>
    <cellStyle name="メモ 2 6 4" xfId="1127"/>
    <cellStyle name="メモ 2 6 5" xfId="1312"/>
    <cellStyle name="メモ 2 7" xfId="697"/>
    <cellStyle name="メモ 2 7 2" xfId="1379"/>
    <cellStyle name="メモ 2 7 3" xfId="1966"/>
    <cellStyle name="メモ 2 7 4" xfId="2439"/>
    <cellStyle name="メモ 2 7 5" xfId="2838"/>
    <cellStyle name="メモ 2 8" xfId="1012"/>
    <cellStyle name="メモ 2 8 2" xfId="1693"/>
    <cellStyle name="メモ 2 8 3" xfId="2269"/>
    <cellStyle name="メモ 2 8 4" xfId="2732"/>
    <cellStyle name="メモ 2 8 5" xfId="3152"/>
    <cellStyle name="メモ 2 9" xfId="1010"/>
    <cellStyle name="メモ 2 9 2" xfId="1691"/>
    <cellStyle name="メモ 2 9 3" xfId="2267"/>
    <cellStyle name="メモ 2 9 4" xfId="2730"/>
    <cellStyle name="メモ 2 9 5" xfId="3150"/>
    <cellStyle name="メモ 3" xfId="90"/>
    <cellStyle name="メモ 3 10" xfId="1013"/>
    <cellStyle name="メモ 3 10 2" xfId="1694"/>
    <cellStyle name="メモ 3 10 3" xfId="2270"/>
    <cellStyle name="メモ 3 10 4" xfId="2733"/>
    <cellStyle name="メモ 3 10 5" xfId="3153"/>
    <cellStyle name="メモ 3 11" xfId="357"/>
    <cellStyle name="メモ 3 12" xfId="3245"/>
    <cellStyle name="メモ 3 13" xfId="3240"/>
    <cellStyle name="メモ 3 14" xfId="3243"/>
    <cellStyle name="メモ 3 2" xfId="167"/>
    <cellStyle name="メモ 3 2 10" xfId="1066"/>
    <cellStyle name="メモ 3 2 10 2" xfId="1736"/>
    <cellStyle name="メモ 3 2 10 3" xfId="2306"/>
    <cellStyle name="メモ 3 2 10 4" xfId="2770"/>
    <cellStyle name="メモ 3 2 10 5" xfId="3190"/>
    <cellStyle name="メモ 3 2 11" xfId="1023"/>
    <cellStyle name="メモ 3 2 11 2" xfId="1704"/>
    <cellStyle name="メモ 3 2 11 3" xfId="2279"/>
    <cellStyle name="メモ 3 2 11 4" xfId="2742"/>
    <cellStyle name="メモ 3 2 11 5" xfId="3163"/>
    <cellStyle name="メモ 3 2 12" xfId="1017"/>
    <cellStyle name="メモ 3 2 12 2" xfId="1698"/>
    <cellStyle name="メモ 3 2 12 3" xfId="2737"/>
    <cellStyle name="メモ 3 2 12 4" xfId="3157"/>
    <cellStyle name="メモ 3 2 13" xfId="1103"/>
    <cellStyle name="メモ 3 2 13 2" xfId="1769"/>
    <cellStyle name="メモ 3 2 13 3" xfId="2336"/>
    <cellStyle name="メモ 3 2 13 4" xfId="3221"/>
    <cellStyle name="メモ 3 2 14" xfId="400"/>
    <cellStyle name="メモ 3 2 15" xfId="3263"/>
    <cellStyle name="メモ 3 2 16" xfId="3283"/>
    <cellStyle name="メモ 3 2 17" xfId="3254"/>
    <cellStyle name="メモ 3 2 18" xfId="3235"/>
    <cellStyle name="メモ 3 2 19" xfId="3296"/>
    <cellStyle name="メモ 3 2 2" xfId="236"/>
    <cellStyle name="メモ 3 2 2 10" xfId="517"/>
    <cellStyle name="メモ 3 2 2 10 2" xfId="1207"/>
    <cellStyle name="メモ 3 2 2 10 3" xfId="1805"/>
    <cellStyle name="メモ 3 2 2 10 4" xfId="2322"/>
    <cellStyle name="メモ 3 2 2 10 5" xfId="2603"/>
    <cellStyle name="メモ 3 2 2 11" xfId="448"/>
    <cellStyle name="メモ 3 2 2 12" xfId="1141"/>
    <cellStyle name="メモ 3 2 2 13" xfId="336"/>
    <cellStyle name="メモ 3 2 2 14" xfId="1930"/>
    <cellStyle name="メモ 3 2 2 2" xfId="285"/>
    <cellStyle name="メモ 3 2 2 2 10" xfId="1328"/>
    <cellStyle name="メモ 3 2 2 2 11" xfId="2297"/>
    <cellStyle name="メモ 3 2 2 2 2" xfId="719"/>
    <cellStyle name="メモ 3 2 2 2 2 2" xfId="1401"/>
    <cellStyle name="メモ 3 2 2 2 2 3" xfId="1988"/>
    <cellStyle name="メモ 3 2 2 2 2 4" xfId="2460"/>
    <cellStyle name="メモ 3 2 2 2 2 5" xfId="2860"/>
    <cellStyle name="メモ 3 2 2 2 3" xfId="776"/>
    <cellStyle name="メモ 3 2 2 2 3 2" xfId="1458"/>
    <cellStyle name="メモ 3 2 2 2 3 3" xfId="2045"/>
    <cellStyle name="メモ 3 2 2 2 3 4" xfId="2517"/>
    <cellStyle name="メモ 3 2 2 2 3 5" xfId="2917"/>
    <cellStyle name="メモ 3 2 2 2 4" xfId="825"/>
    <cellStyle name="メモ 3 2 2 2 4 2" xfId="1507"/>
    <cellStyle name="メモ 3 2 2 2 4 3" xfId="2094"/>
    <cellStyle name="メモ 3 2 2 2 4 4" xfId="2564"/>
    <cellStyle name="メモ 3 2 2 2 4 5" xfId="2966"/>
    <cellStyle name="メモ 3 2 2 2 5" xfId="876"/>
    <cellStyle name="メモ 3 2 2 2 5 2" xfId="1558"/>
    <cellStyle name="メモ 3 2 2 2 5 3" xfId="2145"/>
    <cellStyle name="メモ 3 2 2 2 5 4" xfId="3017"/>
    <cellStyle name="メモ 3 2 2 2 6" xfId="913"/>
    <cellStyle name="メモ 3 2 2 2 6 2" xfId="1595"/>
    <cellStyle name="メモ 3 2 2 2 6 3" xfId="2182"/>
    <cellStyle name="メモ 3 2 2 2 6 4" xfId="2636"/>
    <cellStyle name="メモ 3 2 2 2 6 5" xfId="3054"/>
    <cellStyle name="メモ 3 2 2 2 7" xfId="952"/>
    <cellStyle name="メモ 3 2 2 2 7 2" xfId="1634"/>
    <cellStyle name="メモ 3 2 2 2 7 3" xfId="2221"/>
    <cellStyle name="メモ 3 2 2 2 7 4" xfId="2674"/>
    <cellStyle name="メモ 3 2 2 2 7 5" xfId="3093"/>
    <cellStyle name="メモ 3 2 2 2 8" xfId="991"/>
    <cellStyle name="メモ 3 2 2 2 8 2" xfId="1673"/>
    <cellStyle name="メモ 3 2 2 2 8 3" xfId="2712"/>
    <cellStyle name="メモ 3 2 2 2 8 4" xfId="3132"/>
    <cellStyle name="メモ 3 2 2 2 9" xfId="645"/>
    <cellStyle name="メモ 3 2 2 3" xfId="597"/>
    <cellStyle name="メモ 3 2 2 3 2" xfId="1284"/>
    <cellStyle name="メモ 3 2 2 3 3" xfId="1881"/>
    <cellStyle name="メモ 3 2 2 3 4" xfId="2385"/>
    <cellStyle name="メモ 3 2 2 3 5" xfId="1158"/>
    <cellStyle name="メモ 3 2 2 4" xfId="678"/>
    <cellStyle name="メモ 3 2 2 4 2" xfId="1360"/>
    <cellStyle name="メモ 3 2 2 4 3" xfId="1947"/>
    <cellStyle name="メモ 3 2 2 4 4" xfId="2420"/>
    <cellStyle name="メモ 3 2 2 4 5" xfId="2819"/>
    <cellStyle name="メモ 3 2 2 5" xfId="739"/>
    <cellStyle name="メモ 3 2 2 5 2" xfId="1421"/>
    <cellStyle name="メモ 3 2 2 5 3" xfId="2008"/>
    <cellStyle name="メモ 3 2 2 5 4" xfId="2480"/>
    <cellStyle name="メモ 3 2 2 5 5" xfId="2880"/>
    <cellStyle name="メモ 3 2 2 6" xfId="497"/>
    <cellStyle name="メモ 3 2 2 6 2" xfId="1187"/>
    <cellStyle name="メモ 3 2 2 6 3" xfId="1785"/>
    <cellStyle name="メモ 3 2 2 6 4" xfId="1244"/>
    <cellStyle name="メモ 3 2 2 6 5" xfId="1124"/>
    <cellStyle name="メモ 3 2 2 7" xfId="842"/>
    <cellStyle name="メモ 3 2 2 7 2" xfId="1524"/>
    <cellStyle name="メモ 3 2 2 7 3" xfId="2111"/>
    <cellStyle name="メモ 3 2 2 7 4" xfId="2580"/>
    <cellStyle name="メモ 3 2 2 7 5" xfId="2983"/>
    <cellStyle name="メモ 3 2 2 8" xfId="508"/>
    <cellStyle name="メモ 3 2 2 8 2" xfId="1198"/>
    <cellStyle name="メモ 3 2 2 8 3" xfId="1796"/>
    <cellStyle name="メモ 3 2 2 8 4" xfId="1123"/>
    <cellStyle name="メモ 3 2 2 8 5" xfId="2600"/>
    <cellStyle name="メモ 3 2 2 9" xfId="529"/>
    <cellStyle name="メモ 3 2 2 9 2" xfId="1219"/>
    <cellStyle name="メモ 3 2 2 9 3" xfId="1817"/>
    <cellStyle name="メモ 3 2 2 9 4" xfId="1129"/>
    <cellStyle name="メモ 3 2 2 9 5" xfId="355"/>
    <cellStyle name="メモ 3 2 3" xfId="296"/>
    <cellStyle name="メモ 3 2 3 10" xfId="459"/>
    <cellStyle name="メモ 3 2 3 11" xfId="1923"/>
    <cellStyle name="メモ 3 2 3 2" xfId="656"/>
    <cellStyle name="メモ 3 2 3 2 2" xfId="1338"/>
    <cellStyle name="メモ 3 2 3 2 3" xfId="1925"/>
    <cellStyle name="メモ 3 2 3 2 4" xfId="2401"/>
    <cellStyle name="メモ 3 2 3 2 5" xfId="2298"/>
    <cellStyle name="メモ 3 2 3 3" xfId="730"/>
    <cellStyle name="メモ 3 2 3 3 2" xfId="1412"/>
    <cellStyle name="メモ 3 2 3 3 3" xfId="1999"/>
    <cellStyle name="メモ 3 2 3 3 4" xfId="2471"/>
    <cellStyle name="メモ 3 2 3 3 5" xfId="2871"/>
    <cellStyle name="メモ 3 2 3 4" xfId="785"/>
    <cellStyle name="メモ 3 2 3 4 2" xfId="1467"/>
    <cellStyle name="メモ 3 2 3 4 3" xfId="2054"/>
    <cellStyle name="メモ 3 2 3 4 4" xfId="2526"/>
    <cellStyle name="メモ 3 2 3 4 5" xfId="2926"/>
    <cellStyle name="メモ 3 2 3 5" xfId="834"/>
    <cellStyle name="メモ 3 2 3 5 2" xfId="1516"/>
    <cellStyle name="メモ 3 2 3 5 3" xfId="2103"/>
    <cellStyle name="メモ 3 2 3 5 4" xfId="2573"/>
    <cellStyle name="メモ 3 2 3 5 5" xfId="2975"/>
    <cellStyle name="メモ 3 2 3 6" xfId="884"/>
    <cellStyle name="メモ 3 2 3 6 2" xfId="1566"/>
    <cellStyle name="メモ 3 2 3 6 3" xfId="2153"/>
    <cellStyle name="メモ 3 2 3 6 4" xfId="3025"/>
    <cellStyle name="メモ 3 2 3 7" xfId="923"/>
    <cellStyle name="メモ 3 2 3 7 2" xfId="1605"/>
    <cellStyle name="メモ 3 2 3 7 3" xfId="2192"/>
    <cellStyle name="メモ 3 2 3 7 4" xfId="2646"/>
    <cellStyle name="メモ 3 2 3 7 5" xfId="3064"/>
    <cellStyle name="メモ 3 2 3 8" xfId="960"/>
    <cellStyle name="メモ 3 2 3 8 2" xfId="1642"/>
    <cellStyle name="メモ 3 2 3 8 3" xfId="2229"/>
    <cellStyle name="メモ 3 2 3 8 4" xfId="2682"/>
    <cellStyle name="メモ 3 2 3 8 5" xfId="3101"/>
    <cellStyle name="メモ 3 2 3 9" xfId="999"/>
    <cellStyle name="メモ 3 2 3 9 2" xfId="1681"/>
    <cellStyle name="メモ 3 2 3 9 3" xfId="2720"/>
    <cellStyle name="メモ 3 2 3 9 4" xfId="3140"/>
    <cellStyle name="メモ 3 2 4" xfId="251"/>
    <cellStyle name="メモ 3 2 4 10" xfId="1299"/>
    <cellStyle name="メモ 3 2 4 11" xfId="1894"/>
    <cellStyle name="メモ 3 2 4 12" xfId="2477"/>
    <cellStyle name="メモ 3 2 4 2" xfId="692"/>
    <cellStyle name="メモ 3 2 4 2 2" xfId="1374"/>
    <cellStyle name="メモ 3 2 4 2 3" xfId="1961"/>
    <cellStyle name="メモ 3 2 4 2 4" xfId="2434"/>
    <cellStyle name="メモ 3 2 4 2 5" xfId="2833"/>
    <cellStyle name="メモ 3 2 4 3" xfId="753"/>
    <cellStyle name="メモ 3 2 4 3 2" xfId="1435"/>
    <cellStyle name="メモ 3 2 4 3 3" xfId="2022"/>
    <cellStyle name="メモ 3 2 4 3 4" xfId="2494"/>
    <cellStyle name="メモ 3 2 4 3 5" xfId="2894"/>
    <cellStyle name="メモ 3 2 4 4" xfId="800"/>
    <cellStyle name="メモ 3 2 4 4 2" xfId="1482"/>
    <cellStyle name="メモ 3 2 4 4 3" xfId="2069"/>
    <cellStyle name="メモ 3 2 4 4 4" xfId="2541"/>
    <cellStyle name="メモ 3 2 4 4 5" xfId="2941"/>
    <cellStyle name="メモ 3 2 4 5" xfId="854"/>
    <cellStyle name="メモ 3 2 4 5 2" xfId="1536"/>
    <cellStyle name="メモ 3 2 4 5 3" xfId="2123"/>
    <cellStyle name="メモ 3 2 4 5 4" xfId="2592"/>
    <cellStyle name="メモ 3 2 4 5 5" xfId="2995"/>
    <cellStyle name="メモ 3 2 4 6" xfId="893"/>
    <cellStyle name="メモ 3 2 4 6 2" xfId="1575"/>
    <cellStyle name="メモ 3 2 4 6 3" xfId="2162"/>
    <cellStyle name="メモ 3 2 4 6 4" xfId="2617"/>
    <cellStyle name="メモ 3 2 4 6 5" xfId="3034"/>
    <cellStyle name="メモ 3 2 4 7" xfId="933"/>
    <cellStyle name="メモ 3 2 4 7 2" xfId="1615"/>
    <cellStyle name="メモ 3 2 4 7 3" xfId="2202"/>
    <cellStyle name="メモ 3 2 4 7 4" xfId="2656"/>
    <cellStyle name="メモ 3 2 4 7 5" xfId="3074"/>
    <cellStyle name="メモ 3 2 4 8" xfId="973"/>
    <cellStyle name="メモ 3 2 4 8 2" xfId="1655"/>
    <cellStyle name="メモ 3 2 4 8 3" xfId="2242"/>
    <cellStyle name="メモ 3 2 4 8 4" xfId="2695"/>
    <cellStyle name="メモ 3 2 4 8 5" xfId="3114"/>
    <cellStyle name="メモ 3 2 4 9" xfId="612"/>
    <cellStyle name="メモ 3 2 5" xfId="215"/>
    <cellStyle name="メモ 3 2 5 2" xfId="488"/>
    <cellStyle name="メモ 3 2 5 3" xfId="1178"/>
    <cellStyle name="メモ 3 2 5 4" xfId="1776"/>
    <cellStyle name="メモ 3 2 5 5" xfId="1723"/>
    <cellStyle name="メモ 3 2 5 6" xfId="372"/>
    <cellStyle name="メモ 3 2 6" xfId="305"/>
    <cellStyle name="メモ 3 2 6 2" xfId="491"/>
    <cellStyle name="メモ 3 2 6 3" xfId="1181"/>
    <cellStyle name="メモ 3 2 6 4" xfId="1779"/>
    <cellStyle name="メモ 3 2 6 5" xfId="1151"/>
    <cellStyle name="メモ 3 2 6 6" xfId="342"/>
    <cellStyle name="メモ 3 2 7" xfId="735"/>
    <cellStyle name="メモ 3 2 7 2" xfId="1417"/>
    <cellStyle name="メモ 3 2 7 3" xfId="2004"/>
    <cellStyle name="メモ 3 2 7 4" xfId="2476"/>
    <cellStyle name="メモ 3 2 7 5" xfId="2876"/>
    <cellStyle name="メモ 3 2 8" xfId="570"/>
    <cellStyle name="メモ 3 2 8 2" xfId="1259"/>
    <cellStyle name="メモ 3 2 8 3" xfId="1857"/>
    <cellStyle name="メモ 3 2 8 4" xfId="2363"/>
    <cellStyle name="メモ 3 2 8 5" xfId="2611"/>
    <cellStyle name="メモ 3 2 9" xfId="928"/>
    <cellStyle name="メモ 3 2 9 2" xfId="1610"/>
    <cellStyle name="メモ 3 2 9 3" xfId="2197"/>
    <cellStyle name="メモ 3 2 9 4" xfId="2651"/>
    <cellStyle name="メモ 3 2 9 5" xfId="3069"/>
    <cellStyle name="メモ 3 3" xfId="226"/>
    <cellStyle name="メモ 3 3 10" xfId="504"/>
    <cellStyle name="メモ 3 3 10 2" xfId="1194"/>
    <cellStyle name="メモ 3 3 10 3" xfId="1792"/>
    <cellStyle name="メモ 3 3 10 4" xfId="333"/>
    <cellStyle name="メモ 3 3 10 5" xfId="2571"/>
    <cellStyle name="メモ 3 3 11" xfId="1042"/>
    <cellStyle name="メモ 3 3 11 2" xfId="1718"/>
    <cellStyle name="メモ 3 3 11 3" xfId="2754"/>
    <cellStyle name="メモ 3 3 11 4" xfId="3174"/>
    <cellStyle name="メモ 3 3 12" xfId="1078"/>
    <cellStyle name="メモ 3 3 12 2" xfId="1748"/>
    <cellStyle name="メモ 3 3 12 3" xfId="2317"/>
    <cellStyle name="メモ 3 3 12 4" xfId="2782"/>
    <cellStyle name="メモ 3 3 12 5" xfId="3202"/>
    <cellStyle name="メモ 3 3 13" xfId="1088"/>
    <cellStyle name="メモ 3 3 13 2" xfId="1758"/>
    <cellStyle name="メモ 3 3 13 3" xfId="2327"/>
    <cellStyle name="メモ 3 3 13 4" xfId="2792"/>
    <cellStyle name="メモ 3 3 13 5" xfId="3212"/>
    <cellStyle name="メモ 3 3 14" xfId="441"/>
    <cellStyle name="メモ 3 3 15" xfId="371"/>
    <cellStyle name="メモ 3 3 2" xfId="278"/>
    <cellStyle name="メモ 3 3 2 10" xfId="1322"/>
    <cellStyle name="メモ 3 3 2 11" xfId="1915"/>
    <cellStyle name="メモ 3 3 2 12" xfId="348"/>
    <cellStyle name="メモ 3 3 2 2" xfId="714"/>
    <cellStyle name="メモ 3 3 2 2 2" xfId="1396"/>
    <cellStyle name="メモ 3 3 2 2 3" xfId="1983"/>
    <cellStyle name="メモ 3 3 2 2 4" xfId="2456"/>
    <cellStyle name="メモ 3 3 2 2 5" xfId="2855"/>
    <cellStyle name="メモ 3 3 2 3" xfId="770"/>
    <cellStyle name="メモ 3 3 2 3 2" xfId="1452"/>
    <cellStyle name="メモ 3 3 2 3 3" xfId="2039"/>
    <cellStyle name="メモ 3 3 2 3 4" xfId="2511"/>
    <cellStyle name="メモ 3 3 2 3 5" xfId="2911"/>
    <cellStyle name="メモ 3 3 2 4" xfId="820"/>
    <cellStyle name="メモ 3 3 2 4 2" xfId="1502"/>
    <cellStyle name="メモ 3 3 2 4 3" xfId="2089"/>
    <cellStyle name="メモ 3 3 2 4 4" xfId="2560"/>
    <cellStyle name="メモ 3 3 2 4 5" xfId="2961"/>
    <cellStyle name="メモ 3 3 2 5" xfId="871"/>
    <cellStyle name="メモ 3 3 2 5 2" xfId="1553"/>
    <cellStyle name="メモ 3 3 2 5 3" xfId="2140"/>
    <cellStyle name="メモ 3 3 2 5 4" xfId="2608"/>
    <cellStyle name="メモ 3 3 2 5 5" xfId="3012"/>
    <cellStyle name="メモ 3 3 2 6" xfId="908"/>
    <cellStyle name="メモ 3 3 2 6 2" xfId="1590"/>
    <cellStyle name="メモ 3 3 2 6 3" xfId="2177"/>
    <cellStyle name="メモ 3 3 2 6 4" xfId="2632"/>
    <cellStyle name="メモ 3 3 2 6 5" xfId="3049"/>
    <cellStyle name="メモ 3 3 2 7" xfId="947"/>
    <cellStyle name="メモ 3 3 2 7 2" xfId="1629"/>
    <cellStyle name="メモ 3 3 2 7 3" xfId="2216"/>
    <cellStyle name="メモ 3 3 2 7 4" xfId="2669"/>
    <cellStyle name="メモ 3 3 2 7 5" xfId="3088"/>
    <cellStyle name="メモ 3 3 2 8" xfId="986"/>
    <cellStyle name="メモ 3 3 2 8 2" xfId="1668"/>
    <cellStyle name="メモ 3 3 2 8 3" xfId="2255"/>
    <cellStyle name="メモ 3 3 2 8 4" xfId="2707"/>
    <cellStyle name="メモ 3 3 2 8 5" xfId="3127"/>
    <cellStyle name="メモ 3 3 2 9" xfId="638"/>
    <cellStyle name="メモ 3 3 3" xfId="587"/>
    <cellStyle name="メモ 3 3 3 2" xfId="1275"/>
    <cellStyle name="メモ 3 3 3 3" xfId="1873"/>
    <cellStyle name="メモ 3 3 3 4" xfId="2377"/>
    <cellStyle name="メモ 3 3 3 5" xfId="2554"/>
    <cellStyle name="メモ 3 3 4" xfId="669"/>
    <cellStyle name="メモ 3 3 4 2" xfId="1351"/>
    <cellStyle name="メモ 3 3 4 3" xfId="1938"/>
    <cellStyle name="メモ 3 3 4 4" xfId="2411"/>
    <cellStyle name="メモ 3 3 4 5" xfId="2810"/>
    <cellStyle name="メモ 3 3 5" xfId="555"/>
    <cellStyle name="メモ 3 3 5 2" xfId="1245"/>
    <cellStyle name="メモ 3 3 5 3" xfId="1843"/>
    <cellStyle name="メモ 3 3 5 4" xfId="2349"/>
    <cellStyle name="メモ 3 3 5 5" xfId="2513"/>
    <cellStyle name="メモ 3 3 6" xfId="474"/>
    <cellStyle name="メモ 3 3 6 2" xfId="1164"/>
    <cellStyle name="メモ 3 3 6 3" xfId="379"/>
    <cellStyle name="メモ 3 3 6 4" xfId="1726"/>
    <cellStyle name="メモ 3 3 6 5" xfId="340"/>
    <cellStyle name="メモ 3 3 7" xfId="551"/>
    <cellStyle name="メモ 3 3 7 2" xfId="1241"/>
    <cellStyle name="メモ 3 3 7 3" xfId="1839"/>
    <cellStyle name="メモ 3 3 7 4" xfId="2346"/>
    <cellStyle name="メモ 3 3 7 5" xfId="2397"/>
    <cellStyle name="メモ 3 3 8" xfId="665"/>
    <cellStyle name="メモ 3 3 8 2" xfId="1347"/>
    <cellStyle name="メモ 3 3 8 3" xfId="1934"/>
    <cellStyle name="メモ 3 3 8 4" xfId="2408"/>
    <cellStyle name="メモ 3 3 8 5" xfId="2806"/>
    <cellStyle name="メモ 3 3 9" xfId="577"/>
    <cellStyle name="メモ 3 3 9 2" xfId="1266"/>
    <cellStyle name="メモ 3 3 9 3" xfId="1864"/>
    <cellStyle name="メモ 3 3 9 4" xfId="2370"/>
    <cellStyle name="メモ 3 3 9 5" xfId="2355"/>
    <cellStyle name="メモ 3 4" xfId="243"/>
    <cellStyle name="メモ 3 4 10" xfId="1291"/>
    <cellStyle name="メモ 3 4 11" xfId="1887"/>
    <cellStyle name="メモ 3 4 12" xfId="2504"/>
    <cellStyle name="メモ 3 4 2" xfId="685"/>
    <cellStyle name="メモ 3 4 2 2" xfId="1367"/>
    <cellStyle name="メモ 3 4 2 3" xfId="1954"/>
    <cellStyle name="メモ 3 4 2 4" xfId="2427"/>
    <cellStyle name="メモ 3 4 2 5" xfId="2826"/>
    <cellStyle name="メモ 3 4 3" xfId="746"/>
    <cellStyle name="メモ 3 4 3 2" xfId="1428"/>
    <cellStyle name="メモ 3 4 3 3" xfId="2015"/>
    <cellStyle name="メモ 3 4 3 4" xfId="2487"/>
    <cellStyle name="メモ 3 4 3 5" xfId="2887"/>
    <cellStyle name="メモ 3 4 4" xfId="794"/>
    <cellStyle name="メモ 3 4 4 2" xfId="1476"/>
    <cellStyle name="メモ 3 4 4 3" xfId="2063"/>
    <cellStyle name="メモ 3 4 4 4" xfId="2535"/>
    <cellStyle name="メモ 3 4 4 5" xfId="2935"/>
    <cellStyle name="メモ 3 4 5" xfId="848"/>
    <cellStyle name="メモ 3 4 5 2" xfId="1530"/>
    <cellStyle name="メモ 3 4 5 3" xfId="2117"/>
    <cellStyle name="メモ 3 4 5 4" xfId="2586"/>
    <cellStyle name="メモ 3 4 5 5" xfId="2989"/>
    <cellStyle name="メモ 3 4 6" xfId="505"/>
    <cellStyle name="メモ 3 4 6 2" xfId="1195"/>
    <cellStyle name="メモ 3 4 6 3" xfId="1793"/>
    <cellStyle name="メモ 3 4 6 4" xfId="332"/>
    <cellStyle name="メモ 3 4 6 5" xfId="2523"/>
    <cellStyle name="メモ 3 4 7" xfId="568"/>
    <cellStyle name="メモ 3 4 7 2" xfId="1257"/>
    <cellStyle name="メモ 3 4 7 3" xfId="1855"/>
    <cellStyle name="メモ 3 4 7 4" xfId="2361"/>
    <cellStyle name="メモ 3 4 7 5" xfId="2679"/>
    <cellStyle name="メモ 3 4 8" xfId="967"/>
    <cellStyle name="メモ 3 4 8 2" xfId="1649"/>
    <cellStyle name="メモ 3 4 8 3" xfId="2236"/>
    <cellStyle name="メモ 3 4 8 4" xfId="2689"/>
    <cellStyle name="メモ 3 4 8 5" xfId="3108"/>
    <cellStyle name="メモ 3 4 9" xfId="604"/>
    <cellStyle name="メモ 3 5" xfId="525"/>
    <cellStyle name="メモ 3 5 2" xfId="1215"/>
    <cellStyle name="メモ 3 5 3" xfId="1813"/>
    <cellStyle name="メモ 3 5 4" xfId="1308"/>
    <cellStyle name="メモ 3 5 5" xfId="2445"/>
    <cellStyle name="メモ 3 6" xfId="563"/>
    <cellStyle name="メモ 3 6 2" xfId="1252"/>
    <cellStyle name="メモ 3 6 3" xfId="1850"/>
    <cellStyle name="メモ 3 6 4" xfId="2356"/>
    <cellStyle name="メモ 3 6 5" xfId="2549"/>
    <cellStyle name="メモ 3 7" xfId="830"/>
    <cellStyle name="メモ 3 7 2" xfId="1512"/>
    <cellStyle name="メモ 3 7 3" xfId="2099"/>
    <cellStyle name="メモ 3 7 4" xfId="2569"/>
    <cellStyle name="メモ 3 7 5" xfId="2971"/>
    <cellStyle name="メモ 3 8" xfId="1011"/>
    <cellStyle name="メモ 3 8 2" xfId="1692"/>
    <cellStyle name="メモ 3 8 3" xfId="2268"/>
    <cellStyle name="メモ 3 8 4" xfId="2731"/>
    <cellStyle name="メモ 3 8 5" xfId="3151"/>
    <cellStyle name="メモ 3 9" xfId="1067"/>
    <cellStyle name="メモ 3 9 2" xfId="1737"/>
    <cellStyle name="メモ 3 9 3" xfId="2307"/>
    <cellStyle name="メモ 3 9 4" xfId="2771"/>
    <cellStyle name="メモ 3 9 5" xfId="3191"/>
    <cellStyle name="リンク セル 2" xfId="91"/>
    <cellStyle name="悪い 2" xfId="92"/>
    <cellStyle name="下点線" xfId="93"/>
    <cellStyle name="下点線 2" xfId="94"/>
    <cellStyle name="下点線 2 2" xfId="95"/>
    <cellStyle name="下点線 2 2 2" xfId="170"/>
    <cellStyle name="下点線 2 3" xfId="169"/>
    <cellStyle name="下点線 3" xfId="96"/>
    <cellStyle name="下点線 3 2" xfId="97"/>
    <cellStyle name="下点線 3 2 2" xfId="172"/>
    <cellStyle name="下点線 3 3" xfId="171"/>
    <cellStyle name="下点線 4" xfId="98"/>
    <cellStyle name="下点線 4 2" xfId="173"/>
    <cellStyle name="下点線 5" xfId="168"/>
    <cellStyle name="下点線_マッピング定義共通" xfId="99"/>
    <cellStyle name="型番" xfId="100"/>
    <cellStyle name="計算 2" xfId="101"/>
    <cellStyle name="計算 2 10" xfId="1068"/>
    <cellStyle name="計算 2 10 2" xfId="1738"/>
    <cellStyle name="計算 2 10 3" xfId="2308"/>
    <cellStyle name="計算 2 10 4" xfId="2772"/>
    <cellStyle name="計算 2 10 5" xfId="3192"/>
    <cellStyle name="計算 2 11" xfId="359"/>
    <cellStyle name="計算 2 12" xfId="3247"/>
    <cellStyle name="計算 2 13" xfId="3239"/>
    <cellStyle name="計算 2 14" xfId="3265"/>
    <cellStyle name="計算 2 2" xfId="174"/>
    <cellStyle name="計算 2 2 10" xfId="1069"/>
    <cellStyle name="計算 2 2 10 2" xfId="1739"/>
    <cellStyle name="計算 2 2 10 3" xfId="2309"/>
    <cellStyle name="計算 2 2 10 4" xfId="2773"/>
    <cellStyle name="計算 2 2 10 5" xfId="3193"/>
    <cellStyle name="計算 2 2 11" xfId="1025"/>
    <cellStyle name="計算 2 2 11 2" xfId="1706"/>
    <cellStyle name="計算 2 2 11 3" xfId="2281"/>
    <cellStyle name="計算 2 2 11 4" xfId="2744"/>
    <cellStyle name="計算 2 2 11 5" xfId="3165"/>
    <cellStyle name="計算 2 2 12" xfId="1061"/>
    <cellStyle name="計算 2 2 12 2" xfId="1731"/>
    <cellStyle name="計算 2 2 12 3" xfId="2765"/>
    <cellStyle name="計算 2 2 12 4" xfId="3185"/>
    <cellStyle name="計算 2 2 13" xfId="1104"/>
    <cellStyle name="計算 2 2 13 2" xfId="1770"/>
    <cellStyle name="計算 2 2 13 3" xfId="2337"/>
    <cellStyle name="計算 2 2 13 4" xfId="3222"/>
    <cellStyle name="計算 2 2 14" xfId="401"/>
    <cellStyle name="計算 2 2 15" xfId="3266"/>
    <cellStyle name="計算 2 2 16" xfId="3284"/>
    <cellStyle name="計算 2 2 17" xfId="3291"/>
    <cellStyle name="計算 2 2 18" xfId="3288"/>
    <cellStyle name="計算 2 2 19" xfId="3276"/>
    <cellStyle name="計算 2 2 2" xfId="237"/>
    <cellStyle name="計算 2 2 2 10" xfId="496"/>
    <cellStyle name="計算 2 2 2 10 2" xfId="1186"/>
    <cellStyle name="計算 2 2 2 10 3" xfId="1784"/>
    <cellStyle name="計算 2 2 2 10 4" xfId="1296"/>
    <cellStyle name="計算 2 2 2 10 5" xfId="2406"/>
    <cellStyle name="計算 2 2 2 11" xfId="449"/>
    <cellStyle name="計算 2 2 2 12" xfId="1142"/>
    <cellStyle name="計算 2 2 2 13" xfId="1115"/>
    <cellStyle name="計算 2 2 2 14" xfId="377"/>
    <cellStyle name="計算 2 2 2 2" xfId="286"/>
    <cellStyle name="計算 2 2 2 2 10" xfId="1329"/>
    <cellStyle name="計算 2 2 2 2 11" xfId="2342"/>
    <cellStyle name="計算 2 2 2 2 2" xfId="720"/>
    <cellStyle name="計算 2 2 2 2 2 2" xfId="1402"/>
    <cellStyle name="計算 2 2 2 2 2 3" xfId="1989"/>
    <cellStyle name="計算 2 2 2 2 2 4" xfId="2461"/>
    <cellStyle name="計算 2 2 2 2 2 5" xfId="2861"/>
    <cellStyle name="計算 2 2 2 2 3" xfId="777"/>
    <cellStyle name="計算 2 2 2 2 3 2" xfId="1459"/>
    <cellStyle name="計算 2 2 2 2 3 3" xfId="2046"/>
    <cellStyle name="計算 2 2 2 2 3 4" xfId="2518"/>
    <cellStyle name="計算 2 2 2 2 3 5" xfId="2918"/>
    <cellStyle name="計算 2 2 2 2 4" xfId="826"/>
    <cellStyle name="計算 2 2 2 2 4 2" xfId="1508"/>
    <cellStyle name="計算 2 2 2 2 4 3" xfId="2095"/>
    <cellStyle name="計算 2 2 2 2 4 4" xfId="2565"/>
    <cellStyle name="計算 2 2 2 2 4 5" xfId="2967"/>
    <cellStyle name="計算 2 2 2 2 5" xfId="877"/>
    <cellStyle name="計算 2 2 2 2 5 2" xfId="1559"/>
    <cellStyle name="計算 2 2 2 2 5 3" xfId="2146"/>
    <cellStyle name="計算 2 2 2 2 5 4" xfId="3018"/>
    <cellStyle name="計算 2 2 2 2 6" xfId="914"/>
    <cellStyle name="計算 2 2 2 2 6 2" xfId="1596"/>
    <cellStyle name="計算 2 2 2 2 6 3" xfId="2183"/>
    <cellStyle name="計算 2 2 2 2 6 4" xfId="2637"/>
    <cellStyle name="計算 2 2 2 2 6 5" xfId="3055"/>
    <cellStyle name="計算 2 2 2 2 7" xfId="953"/>
    <cellStyle name="計算 2 2 2 2 7 2" xfId="1635"/>
    <cellStyle name="計算 2 2 2 2 7 3" xfId="2222"/>
    <cellStyle name="計算 2 2 2 2 7 4" xfId="2675"/>
    <cellStyle name="計算 2 2 2 2 7 5" xfId="3094"/>
    <cellStyle name="計算 2 2 2 2 8" xfId="992"/>
    <cellStyle name="計算 2 2 2 2 8 2" xfId="1674"/>
    <cellStyle name="計算 2 2 2 2 8 3" xfId="2713"/>
    <cellStyle name="計算 2 2 2 2 8 4" xfId="3133"/>
    <cellStyle name="計算 2 2 2 2 9" xfId="646"/>
    <cellStyle name="計算 2 2 2 3" xfId="598"/>
    <cellStyle name="計算 2 2 2 3 2" xfId="1285"/>
    <cellStyle name="計算 2 2 2 3 3" xfId="1882"/>
    <cellStyle name="計算 2 2 2 3 4" xfId="2386"/>
    <cellStyle name="計算 2 2 2 3 5" xfId="1118"/>
    <cellStyle name="計算 2 2 2 4" xfId="679"/>
    <cellStyle name="計算 2 2 2 4 2" xfId="1361"/>
    <cellStyle name="計算 2 2 2 4 3" xfId="1948"/>
    <cellStyle name="計算 2 2 2 4 4" xfId="2421"/>
    <cellStyle name="計算 2 2 2 4 5" xfId="2820"/>
    <cellStyle name="計算 2 2 2 5" xfId="740"/>
    <cellStyle name="計算 2 2 2 5 2" xfId="1422"/>
    <cellStyle name="計算 2 2 2 5 3" xfId="2009"/>
    <cellStyle name="計算 2 2 2 5 4" xfId="2481"/>
    <cellStyle name="計算 2 2 2 5 5" xfId="2881"/>
    <cellStyle name="計算 2 2 2 6" xfId="472"/>
    <cellStyle name="計算 2 2 2 6 2" xfId="1162"/>
    <cellStyle name="計算 2 2 2 6 3" xfId="412"/>
    <cellStyle name="計算 2 2 2 6 4" xfId="1333"/>
    <cellStyle name="計算 2 2 2 6 5" xfId="421"/>
    <cellStyle name="計算 2 2 2 7" xfId="843"/>
    <cellStyle name="計算 2 2 2 7 2" xfId="1525"/>
    <cellStyle name="計算 2 2 2 7 3" xfId="2112"/>
    <cellStyle name="計算 2 2 2 7 4" xfId="2581"/>
    <cellStyle name="計算 2 2 2 7 5" xfId="2984"/>
    <cellStyle name="計算 2 2 2 8" xfId="690"/>
    <cellStyle name="計算 2 2 2 8 2" xfId="1372"/>
    <cellStyle name="計算 2 2 2 8 3" xfId="1959"/>
    <cellStyle name="計算 2 2 2 8 4" xfId="2432"/>
    <cellStyle name="計算 2 2 2 8 5" xfId="2831"/>
    <cellStyle name="計算 2 2 2 9" xfId="536"/>
    <cellStyle name="計算 2 2 2 9 2" xfId="1226"/>
    <cellStyle name="計算 2 2 2 9 3" xfId="1824"/>
    <cellStyle name="計算 2 2 2 9 4" xfId="424"/>
    <cellStyle name="計算 2 2 2 9 5" xfId="2448"/>
    <cellStyle name="計算 2 2 3" xfId="297"/>
    <cellStyle name="計算 2 2 3 10" xfId="460"/>
    <cellStyle name="計算 2 2 3 11" xfId="1152"/>
    <cellStyle name="計算 2 2 3 12" xfId="374"/>
    <cellStyle name="計算 2 2 3 2" xfId="657"/>
    <cellStyle name="計算 2 2 3 2 2" xfId="1339"/>
    <cellStyle name="計算 2 2 3 2 3" xfId="1926"/>
    <cellStyle name="計算 2 2 3 2 4" xfId="2402"/>
    <cellStyle name="計算 2 2 3 2 5" xfId="2799"/>
    <cellStyle name="計算 2 2 3 3" xfId="731"/>
    <cellStyle name="計算 2 2 3 3 2" xfId="1413"/>
    <cellStyle name="計算 2 2 3 3 3" xfId="2000"/>
    <cellStyle name="計算 2 2 3 3 4" xfId="2472"/>
    <cellStyle name="計算 2 2 3 3 5" xfId="2872"/>
    <cellStyle name="計算 2 2 3 4" xfId="786"/>
    <cellStyle name="計算 2 2 3 4 2" xfId="1468"/>
    <cellStyle name="計算 2 2 3 4 3" xfId="2055"/>
    <cellStyle name="計算 2 2 3 4 4" xfId="2527"/>
    <cellStyle name="計算 2 2 3 4 5" xfId="2927"/>
    <cellStyle name="計算 2 2 3 5" xfId="835"/>
    <cellStyle name="計算 2 2 3 5 2" xfId="1517"/>
    <cellStyle name="計算 2 2 3 5 3" xfId="2104"/>
    <cellStyle name="計算 2 2 3 5 4" xfId="2574"/>
    <cellStyle name="計算 2 2 3 5 5" xfId="2976"/>
    <cellStyle name="計算 2 2 3 6" xfId="885"/>
    <cellStyle name="計算 2 2 3 6 2" xfId="1567"/>
    <cellStyle name="計算 2 2 3 6 3" xfId="2154"/>
    <cellStyle name="計算 2 2 3 6 4" xfId="3026"/>
    <cellStyle name="計算 2 2 3 7" xfId="924"/>
    <cellStyle name="計算 2 2 3 7 2" xfId="1606"/>
    <cellStyle name="計算 2 2 3 7 3" xfId="2193"/>
    <cellStyle name="計算 2 2 3 7 4" xfId="2647"/>
    <cellStyle name="計算 2 2 3 7 5" xfId="3065"/>
    <cellStyle name="計算 2 2 3 8" xfId="961"/>
    <cellStyle name="計算 2 2 3 8 2" xfId="1643"/>
    <cellStyle name="計算 2 2 3 8 3" xfId="2230"/>
    <cellStyle name="計算 2 2 3 8 4" xfId="2683"/>
    <cellStyle name="計算 2 2 3 8 5" xfId="3102"/>
    <cellStyle name="計算 2 2 3 9" xfId="1000"/>
    <cellStyle name="計算 2 2 3 9 2" xfId="1682"/>
    <cellStyle name="計算 2 2 3 9 3" xfId="2721"/>
    <cellStyle name="計算 2 2 3 9 4" xfId="3141"/>
    <cellStyle name="計算 2 2 4" xfId="252"/>
    <cellStyle name="計算 2 2 4 10" xfId="1300"/>
    <cellStyle name="計算 2 2 4 11" xfId="1895"/>
    <cellStyle name="計算 2 2 4 12" xfId="2417"/>
    <cellStyle name="計算 2 2 4 2" xfId="693"/>
    <cellStyle name="計算 2 2 4 2 2" xfId="1375"/>
    <cellStyle name="計算 2 2 4 2 3" xfId="1962"/>
    <cellStyle name="計算 2 2 4 2 4" xfId="2435"/>
    <cellStyle name="計算 2 2 4 2 5" xfId="2834"/>
    <cellStyle name="計算 2 2 4 3" xfId="754"/>
    <cellStyle name="計算 2 2 4 3 2" xfId="1436"/>
    <cellStyle name="計算 2 2 4 3 3" xfId="2023"/>
    <cellStyle name="計算 2 2 4 3 4" xfId="2495"/>
    <cellStyle name="計算 2 2 4 3 5" xfId="2895"/>
    <cellStyle name="計算 2 2 4 4" xfId="801"/>
    <cellStyle name="計算 2 2 4 4 2" xfId="1483"/>
    <cellStyle name="計算 2 2 4 4 3" xfId="2070"/>
    <cellStyle name="計算 2 2 4 4 4" xfId="2542"/>
    <cellStyle name="計算 2 2 4 4 5" xfId="2942"/>
    <cellStyle name="計算 2 2 4 5" xfId="855"/>
    <cellStyle name="計算 2 2 4 5 2" xfId="1537"/>
    <cellStyle name="計算 2 2 4 5 3" xfId="2124"/>
    <cellStyle name="計算 2 2 4 5 4" xfId="2593"/>
    <cellStyle name="計算 2 2 4 5 5" xfId="2996"/>
    <cellStyle name="計算 2 2 4 6" xfId="894"/>
    <cellStyle name="計算 2 2 4 6 2" xfId="1576"/>
    <cellStyle name="計算 2 2 4 6 3" xfId="2163"/>
    <cellStyle name="計算 2 2 4 6 4" xfId="2618"/>
    <cellStyle name="計算 2 2 4 6 5" xfId="3035"/>
    <cellStyle name="計算 2 2 4 7" xfId="934"/>
    <cellStyle name="計算 2 2 4 7 2" xfId="1616"/>
    <cellStyle name="計算 2 2 4 7 3" xfId="2203"/>
    <cellStyle name="計算 2 2 4 7 4" xfId="2657"/>
    <cellStyle name="計算 2 2 4 7 5" xfId="3075"/>
    <cellStyle name="計算 2 2 4 8" xfId="974"/>
    <cellStyle name="計算 2 2 4 8 2" xfId="1656"/>
    <cellStyle name="計算 2 2 4 8 3" xfId="2243"/>
    <cellStyle name="計算 2 2 4 8 4" xfId="2696"/>
    <cellStyle name="計算 2 2 4 8 5" xfId="3115"/>
    <cellStyle name="計算 2 2 4 9" xfId="613"/>
    <cellStyle name="計算 2 2 5" xfId="216"/>
    <cellStyle name="計算 2 2 5 2" xfId="486"/>
    <cellStyle name="計算 2 2 5 3" xfId="1176"/>
    <cellStyle name="計算 2 2 5 4" xfId="416"/>
    <cellStyle name="計算 2 2 5 5" xfId="2291"/>
    <cellStyle name="計算 2 2 5 6" xfId="1868"/>
    <cellStyle name="計算 2 2 6" xfId="306"/>
    <cellStyle name="計算 2 2 6 2" xfId="490"/>
    <cellStyle name="計算 2 2 6 3" xfId="1180"/>
    <cellStyle name="計算 2 2 6 4" xfId="1778"/>
    <cellStyle name="計算 2 2 6 5" xfId="1336"/>
    <cellStyle name="計算 2 2 6 6" xfId="1903"/>
    <cellStyle name="計算 2 2 7" xfId="572"/>
    <cellStyle name="計算 2 2 7 2" xfId="1261"/>
    <cellStyle name="計算 2 2 7 3" xfId="1859"/>
    <cellStyle name="計算 2 2 7 4" xfId="2365"/>
    <cellStyle name="計算 2 2 7 5" xfId="2522"/>
    <cellStyle name="計算 2 2 8" xfId="806"/>
    <cellStyle name="計算 2 2 8 2" xfId="1488"/>
    <cellStyle name="計算 2 2 8 3" xfId="2075"/>
    <cellStyle name="計算 2 2 8 4" xfId="2547"/>
    <cellStyle name="計算 2 2 8 5" xfId="2947"/>
    <cellStyle name="計算 2 2 9" xfId="544"/>
    <cellStyle name="計算 2 2 9 2" xfId="1234"/>
    <cellStyle name="計算 2 2 9 3" xfId="1832"/>
    <cellStyle name="計算 2 2 9 4" xfId="1119"/>
    <cellStyle name="計算 2 2 9 5" xfId="2710"/>
    <cellStyle name="計算 2 3" xfId="227"/>
    <cellStyle name="計算 2 3 10" xfId="514"/>
    <cellStyle name="計算 2 3 10 2" xfId="1204"/>
    <cellStyle name="計算 2 3 10 3" xfId="1802"/>
    <cellStyle name="計算 2 3 10 4" xfId="2292"/>
    <cellStyle name="計算 2 3 10 5" xfId="2702"/>
    <cellStyle name="計算 2 3 11" xfId="1043"/>
    <cellStyle name="計算 2 3 11 2" xfId="1719"/>
    <cellStyle name="計算 2 3 11 3" xfId="2755"/>
    <cellStyle name="計算 2 3 11 4" xfId="3175"/>
    <cellStyle name="計算 2 3 12" xfId="1079"/>
    <cellStyle name="計算 2 3 12 2" xfId="1749"/>
    <cellStyle name="計算 2 3 12 3" xfId="2318"/>
    <cellStyle name="計算 2 3 12 4" xfId="2783"/>
    <cellStyle name="計算 2 3 12 5" xfId="3203"/>
    <cellStyle name="計算 2 3 13" xfId="1089"/>
    <cellStyle name="計算 2 3 13 2" xfId="1759"/>
    <cellStyle name="計算 2 3 13 3" xfId="2328"/>
    <cellStyle name="計算 2 3 13 4" xfId="2793"/>
    <cellStyle name="計算 2 3 13 5" xfId="3213"/>
    <cellStyle name="計算 2 3 14" xfId="440"/>
    <cellStyle name="計算 2 3 15" xfId="319"/>
    <cellStyle name="計算 2 3 2" xfId="277"/>
    <cellStyle name="計算 2 3 2 10" xfId="1321"/>
    <cellStyle name="計算 2 3 2 11" xfId="1914"/>
    <cellStyle name="計算 2 3 2 12" xfId="362"/>
    <cellStyle name="計算 2 3 2 2" xfId="713"/>
    <cellStyle name="計算 2 3 2 2 2" xfId="1395"/>
    <cellStyle name="計算 2 3 2 2 3" xfId="1982"/>
    <cellStyle name="計算 2 3 2 2 4" xfId="2455"/>
    <cellStyle name="計算 2 3 2 2 5" xfId="2854"/>
    <cellStyle name="計算 2 3 2 3" xfId="769"/>
    <cellStyle name="計算 2 3 2 3 2" xfId="1451"/>
    <cellStyle name="計算 2 3 2 3 3" xfId="2038"/>
    <cellStyle name="計算 2 3 2 3 4" xfId="2510"/>
    <cellStyle name="計算 2 3 2 3 5" xfId="2910"/>
    <cellStyle name="計算 2 3 2 4" xfId="819"/>
    <cellStyle name="計算 2 3 2 4 2" xfId="1501"/>
    <cellStyle name="計算 2 3 2 4 3" xfId="2088"/>
    <cellStyle name="計算 2 3 2 4 4" xfId="2559"/>
    <cellStyle name="計算 2 3 2 4 5" xfId="2960"/>
    <cellStyle name="計算 2 3 2 5" xfId="870"/>
    <cellStyle name="計算 2 3 2 5 2" xfId="1552"/>
    <cellStyle name="計算 2 3 2 5 3" xfId="2139"/>
    <cellStyle name="計算 2 3 2 5 4" xfId="2607"/>
    <cellStyle name="計算 2 3 2 5 5" xfId="3011"/>
    <cellStyle name="計算 2 3 2 6" xfId="907"/>
    <cellStyle name="計算 2 3 2 6 2" xfId="1589"/>
    <cellStyle name="計算 2 3 2 6 3" xfId="2176"/>
    <cellStyle name="計算 2 3 2 6 4" xfId="2631"/>
    <cellStyle name="計算 2 3 2 6 5" xfId="3048"/>
    <cellStyle name="計算 2 3 2 7" xfId="946"/>
    <cellStyle name="計算 2 3 2 7 2" xfId="1628"/>
    <cellStyle name="計算 2 3 2 7 3" xfId="2215"/>
    <cellStyle name="計算 2 3 2 7 4" xfId="2668"/>
    <cellStyle name="計算 2 3 2 7 5" xfId="3087"/>
    <cellStyle name="計算 2 3 2 8" xfId="985"/>
    <cellStyle name="計算 2 3 2 8 2" xfId="1667"/>
    <cellStyle name="計算 2 3 2 8 3" xfId="2254"/>
    <cellStyle name="計算 2 3 2 8 4" xfId="2706"/>
    <cellStyle name="計算 2 3 2 8 5" xfId="3126"/>
    <cellStyle name="計算 2 3 2 9" xfId="637"/>
    <cellStyle name="計算 2 3 3" xfId="588"/>
    <cellStyle name="計算 2 3 3 2" xfId="1276"/>
    <cellStyle name="計算 2 3 3 3" xfId="1874"/>
    <cellStyle name="計算 2 3 3 4" xfId="2378"/>
    <cellStyle name="計算 2 3 3 5" xfId="2505"/>
    <cellStyle name="計算 2 3 4" xfId="670"/>
    <cellStyle name="計算 2 3 4 2" xfId="1352"/>
    <cellStyle name="計算 2 3 4 3" xfId="1939"/>
    <cellStyle name="計算 2 3 4 4" xfId="2412"/>
    <cellStyle name="計算 2 3 4 5" xfId="2811"/>
    <cellStyle name="計算 2 3 5" xfId="546"/>
    <cellStyle name="計算 2 3 5 2" xfId="1236"/>
    <cellStyle name="計算 2 3 5 3" xfId="1834"/>
    <cellStyle name="計算 2 3 5 4" xfId="396"/>
    <cellStyle name="計算 2 3 5 5" xfId="2634"/>
    <cellStyle name="計算 2 3 6" xfId="475"/>
    <cellStyle name="計算 2 3 6 2" xfId="1165"/>
    <cellStyle name="計算 2 3 6 3" xfId="380"/>
    <cellStyle name="計算 2 3 6 4" xfId="1156"/>
    <cellStyle name="計算 2 3 6 5" xfId="1150"/>
    <cellStyle name="計算 2 3 7" xfId="534"/>
    <cellStyle name="計算 2 3 7 2" xfId="1224"/>
    <cellStyle name="計算 2 3 7 3" xfId="1822"/>
    <cellStyle name="計算 2 3 7 4" xfId="328"/>
    <cellStyle name="計算 2 3 7 5" xfId="2552"/>
    <cellStyle name="計算 2 3 8" xfId="698"/>
    <cellStyle name="計算 2 3 8 2" xfId="1380"/>
    <cellStyle name="計算 2 3 8 3" xfId="1967"/>
    <cellStyle name="計算 2 3 8 4" xfId="2440"/>
    <cellStyle name="計算 2 3 8 5" xfId="2839"/>
    <cellStyle name="計算 2 3 9" xfId="580"/>
    <cellStyle name="計算 2 3 9 2" xfId="1269"/>
    <cellStyle name="計算 2 3 9 3" xfId="1867"/>
    <cellStyle name="計算 2 3 9 4" xfId="2372"/>
    <cellStyle name="計算 2 3 9 5" xfId="326"/>
    <cellStyle name="計算 2 4" xfId="244"/>
    <cellStyle name="計算 2 4 10" xfId="1292"/>
    <cellStyle name="計算 2 4 11" xfId="1888"/>
    <cellStyle name="計算 2 4 12" xfId="2449"/>
    <cellStyle name="計算 2 4 2" xfId="686"/>
    <cellStyle name="計算 2 4 2 2" xfId="1368"/>
    <cellStyle name="計算 2 4 2 3" xfId="1955"/>
    <cellStyle name="計算 2 4 2 4" xfId="2428"/>
    <cellStyle name="計算 2 4 2 5" xfId="2827"/>
    <cellStyle name="計算 2 4 3" xfId="747"/>
    <cellStyle name="計算 2 4 3 2" xfId="1429"/>
    <cellStyle name="計算 2 4 3 3" xfId="2016"/>
    <cellStyle name="計算 2 4 3 4" xfId="2488"/>
    <cellStyle name="計算 2 4 3 5" xfId="2888"/>
    <cellStyle name="計算 2 4 4" xfId="795"/>
    <cellStyle name="計算 2 4 4 2" xfId="1477"/>
    <cellStyle name="計算 2 4 4 3" xfId="2064"/>
    <cellStyle name="計算 2 4 4 4" xfId="2536"/>
    <cellStyle name="計算 2 4 4 5" xfId="2936"/>
    <cellStyle name="計算 2 4 5" xfId="849"/>
    <cellStyle name="計算 2 4 5 2" xfId="1531"/>
    <cellStyle name="計算 2 4 5 3" xfId="2118"/>
    <cellStyle name="計算 2 4 5 4" xfId="2587"/>
    <cellStyle name="計算 2 4 5 5" xfId="2990"/>
    <cellStyle name="計算 2 4 6" xfId="479"/>
    <cellStyle name="計算 2 4 6 2" xfId="1169"/>
    <cellStyle name="計算 2 4 6 3" xfId="415"/>
    <cellStyle name="計算 2 4 6 4" xfId="1268"/>
    <cellStyle name="計算 2 4 6 5" xfId="405"/>
    <cellStyle name="計算 2 4 7" xfId="582"/>
    <cellStyle name="計算 2 4 7 2" xfId="1271"/>
    <cellStyle name="計算 2 4 7 3" xfId="1869"/>
    <cellStyle name="計算 2 4 7 4" xfId="2373"/>
    <cellStyle name="計算 2 4 7 5" xfId="2374"/>
    <cellStyle name="計算 2 4 8" xfId="968"/>
    <cellStyle name="計算 2 4 8 2" xfId="1650"/>
    <cellStyle name="計算 2 4 8 3" xfId="2237"/>
    <cellStyle name="計算 2 4 8 4" xfId="2690"/>
    <cellStyle name="計算 2 4 8 5" xfId="3109"/>
    <cellStyle name="計算 2 4 9" xfId="605"/>
    <cellStyle name="計算 2 5" xfId="523"/>
    <cellStyle name="計算 2 5 2" xfId="1213"/>
    <cellStyle name="計算 2 5 3" xfId="1811"/>
    <cellStyle name="計算 2 5 4" xfId="331"/>
    <cellStyle name="計算 2 5 5" xfId="1297"/>
    <cellStyle name="計算 2 6" xfId="487"/>
    <cellStyle name="計算 2 6 2" xfId="1177"/>
    <cellStyle name="計算 2 6 3" xfId="390"/>
    <cellStyle name="計算 2 6 4" xfId="386"/>
    <cellStyle name="計算 2 6 5" xfId="314"/>
    <cellStyle name="計算 2 7" xfId="509"/>
    <cellStyle name="計算 2 7 2" xfId="1199"/>
    <cellStyle name="計算 2 7 3" xfId="1797"/>
    <cellStyle name="計算 2 7 4" xfId="322"/>
    <cellStyle name="計算 2 7 5" xfId="2551"/>
    <cellStyle name="計算 2 8" xfId="1009"/>
    <cellStyle name="計算 2 8 2" xfId="1690"/>
    <cellStyle name="計算 2 8 3" xfId="2266"/>
    <cellStyle name="計算 2 8 4" xfId="2729"/>
    <cellStyle name="計算 2 8 5" xfId="3149"/>
    <cellStyle name="計算 2 9" xfId="1015"/>
    <cellStyle name="計算 2 9 2" xfId="1696"/>
    <cellStyle name="計算 2 9 3" xfId="2272"/>
    <cellStyle name="計算 2 9 4" xfId="2735"/>
    <cellStyle name="計算 2 9 5" xfId="3155"/>
    <cellStyle name="警告文 2" xfId="102"/>
    <cellStyle name="桁区切り 2" xfId="103"/>
    <cellStyle name="桁区切り 3" xfId="104"/>
    <cellStyle name="見出し 1 2" xfId="105"/>
    <cellStyle name="見出し 2 2" xfId="106"/>
    <cellStyle name="見出し 3 2" xfId="107"/>
    <cellStyle name="見出し 4 2" xfId="108"/>
    <cellStyle name="集計 2" xfId="109"/>
    <cellStyle name="集計 2 10" xfId="1008"/>
    <cellStyle name="集計 2 10 2" xfId="1689"/>
    <cellStyle name="集計 2 10 3" xfId="2265"/>
    <cellStyle name="集計 2 10 4" xfId="2728"/>
    <cellStyle name="集計 2 10 5" xfId="3148"/>
    <cellStyle name="集計 2 11" xfId="364"/>
    <cellStyle name="集計 2 12" xfId="3249"/>
    <cellStyle name="集計 2 13" xfId="3238"/>
    <cellStyle name="集計 2 14" xfId="3264"/>
    <cellStyle name="集計 2 2" xfId="175"/>
    <cellStyle name="集計 2 2 10" xfId="1070"/>
    <cellStyle name="集計 2 2 10 2" xfId="1740"/>
    <cellStyle name="集計 2 2 10 3" xfId="2310"/>
    <cellStyle name="集計 2 2 10 4" xfId="2774"/>
    <cellStyle name="集計 2 2 10 5" xfId="3194"/>
    <cellStyle name="集計 2 2 11" xfId="1031"/>
    <cellStyle name="集計 2 2 11 2" xfId="1711"/>
    <cellStyle name="集計 2 2 11 3" xfId="2286"/>
    <cellStyle name="集計 2 2 11 4" xfId="2748"/>
    <cellStyle name="集計 2 2 11 5" xfId="3169"/>
    <cellStyle name="集計 2 2 12" xfId="1074"/>
    <cellStyle name="集計 2 2 12 2" xfId="1744"/>
    <cellStyle name="集計 2 2 12 3" xfId="2778"/>
    <cellStyle name="集計 2 2 12 4" xfId="3198"/>
    <cellStyle name="集計 2 2 13" xfId="1105"/>
    <cellStyle name="集計 2 2 13 2" xfId="1771"/>
    <cellStyle name="集計 2 2 13 3" xfId="2338"/>
    <cellStyle name="集計 2 2 13 4" xfId="3223"/>
    <cellStyle name="集計 2 2 14" xfId="402"/>
    <cellStyle name="集計 2 2 15" xfId="3267"/>
    <cellStyle name="集計 2 2 16" xfId="3285"/>
    <cellStyle name="集計 2 2 17" xfId="3292"/>
    <cellStyle name="集計 2 2 18" xfId="3232"/>
    <cellStyle name="集計 2 2 19" xfId="3297"/>
    <cellStyle name="集計 2 2 2" xfId="238"/>
    <cellStyle name="集計 2 2 2 10" xfId="482"/>
    <cellStyle name="集計 2 2 2 10 2" xfId="1172"/>
    <cellStyle name="集計 2 2 2 10 3" xfId="382"/>
    <cellStyle name="集計 2 2 2 10 4" xfId="1138"/>
    <cellStyle name="集計 2 2 2 10 5" xfId="338"/>
    <cellStyle name="集計 2 2 2 11" xfId="450"/>
    <cellStyle name="集計 2 2 2 12" xfId="1143"/>
    <cellStyle name="集計 2 2 2 13" xfId="325"/>
    <cellStyle name="集計 2 2 2 14" xfId="1899"/>
    <cellStyle name="集計 2 2 2 2" xfId="287"/>
    <cellStyle name="集計 2 2 2 2 10" xfId="1330"/>
    <cellStyle name="集計 2 2 2 2 11" xfId="349"/>
    <cellStyle name="集計 2 2 2 2 2" xfId="721"/>
    <cellStyle name="集計 2 2 2 2 2 2" xfId="1403"/>
    <cellStyle name="集計 2 2 2 2 2 3" xfId="1990"/>
    <cellStyle name="集計 2 2 2 2 2 4" xfId="2462"/>
    <cellStyle name="集計 2 2 2 2 2 5" xfId="2862"/>
    <cellStyle name="集計 2 2 2 2 3" xfId="778"/>
    <cellStyle name="集計 2 2 2 2 3 2" xfId="1460"/>
    <cellStyle name="集計 2 2 2 2 3 3" xfId="2047"/>
    <cellStyle name="集計 2 2 2 2 3 4" xfId="2519"/>
    <cellStyle name="集計 2 2 2 2 3 5" xfId="2919"/>
    <cellStyle name="集計 2 2 2 2 4" xfId="827"/>
    <cellStyle name="集計 2 2 2 2 4 2" xfId="1509"/>
    <cellStyle name="集計 2 2 2 2 4 3" xfId="2096"/>
    <cellStyle name="集計 2 2 2 2 4 4" xfId="2566"/>
    <cellStyle name="集計 2 2 2 2 4 5" xfId="2968"/>
    <cellStyle name="集計 2 2 2 2 5" xfId="878"/>
    <cellStyle name="集計 2 2 2 2 5 2" xfId="1560"/>
    <cellStyle name="集計 2 2 2 2 5 3" xfId="2147"/>
    <cellStyle name="集計 2 2 2 2 5 4" xfId="3019"/>
    <cellStyle name="集計 2 2 2 2 6" xfId="915"/>
    <cellStyle name="集計 2 2 2 2 6 2" xfId="1597"/>
    <cellStyle name="集計 2 2 2 2 6 3" xfId="2184"/>
    <cellStyle name="集計 2 2 2 2 6 4" xfId="2638"/>
    <cellStyle name="集計 2 2 2 2 6 5" xfId="3056"/>
    <cellStyle name="集計 2 2 2 2 7" xfId="954"/>
    <cellStyle name="集計 2 2 2 2 7 2" xfId="1636"/>
    <cellStyle name="集計 2 2 2 2 7 3" xfId="2223"/>
    <cellStyle name="集計 2 2 2 2 7 4" xfId="2676"/>
    <cellStyle name="集計 2 2 2 2 7 5" xfId="3095"/>
    <cellStyle name="集計 2 2 2 2 8" xfId="993"/>
    <cellStyle name="集計 2 2 2 2 8 2" xfId="1675"/>
    <cellStyle name="集計 2 2 2 2 8 3" xfId="2714"/>
    <cellStyle name="集計 2 2 2 2 8 4" xfId="3134"/>
    <cellStyle name="集計 2 2 2 2 9" xfId="647"/>
    <cellStyle name="集計 2 2 2 3" xfId="599"/>
    <cellStyle name="集計 2 2 2 3 2" xfId="1286"/>
    <cellStyle name="集計 2 2 2 3 3" xfId="1883"/>
    <cellStyle name="集計 2 2 2 3 4" xfId="2387"/>
    <cellStyle name="集計 2 2 2 3 5" xfId="2701"/>
    <cellStyle name="集計 2 2 2 4" xfId="680"/>
    <cellStyle name="集計 2 2 2 4 2" xfId="1362"/>
    <cellStyle name="集計 2 2 2 4 3" xfId="1949"/>
    <cellStyle name="集計 2 2 2 4 4" xfId="2422"/>
    <cellStyle name="集計 2 2 2 4 5" xfId="2821"/>
    <cellStyle name="集計 2 2 2 5" xfId="741"/>
    <cellStyle name="集計 2 2 2 5 2" xfId="1423"/>
    <cellStyle name="集計 2 2 2 5 3" xfId="2010"/>
    <cellStyle name="集計 2 2 2 5 4" xfId="2482"/>
    <cellStyle name="集計 2 2 2 5 5" xfId="2882"/>
    <cellStyle name="集計 2 2 2 6" xfId="560"/>
    <cellStyle name="集計 2 2 2 6 2" xfId="1249"/>
    <cellStyle name="集計 2 2 2 6 3" xfId="1847"/>
    <cellStyle name="集計 2 2 2 6 4" xfId="2353"/>
    <cellStyle name="集計 2 2 2 6 5" xfId="2343"/>
    <cellStyle name="集計 2 2 2 7" xfId="844"/>
    <cellStyle name="集計 2 2 2 7 2" xfId="1526"/>
    <cellStyle name="集計 2 2 2 7 3" xfId="2113"/>
    <cellStyle name="集計 2 2 2 7 4" xfId="2582"/>
    <cellStyle name="集計 2 2 2 7 5" xfId="2985"/>
    <cellStyle name="集計 2 2 2 8" xfId="704"/>
    <cellStyle name="集計 2 2 2 8 2" xfId="1386"/>
    <cellStyle name="集計 2 2 2 8 3" xfId="1973"/>
    <cellStyle name="集計 2 2 2 8 4" xfId="2446"/>
    <cellStyle name="集計 2 2 2 8 5" xfId="2845"/>
    <cellStyle name="集計 2 2 2 9" xfId="567"/>
    <cellStyle name="集計 2 2 2 9 2" xfId="1256"/>
    <cellStyle name="集計 2 2 2 9 3" xfId="1854"/>
    <cellStyle name="集計 2 2 2 9 4" xfId="2360"/>
    <cellStyle name="集計 2 2 2 9 5" xfId="2717"/>
    <cellStyle name="集計 2 2 3" xfId="298"/>
    <cellStyle name="集計 2 2 3 10" xfId="461"/>
    <cellStyle name="集計 2 2 3 11" xfId="1153"/>
    <cellStyle name="集計 2 2 3 12" xfId="1892"/>
    <cellStyle name="集計 2 2 3 2" xfId="658"/>
    <cellStyle name="集計 2 2 3 2 2" xfId="1340"/>
    <cellStyle name="集計 2 2 3 2 3" xfId="1927"/>
    <cellStyle name="集計 2 2 3 2 4" xfId="2403"/>
    <cellStyle name="集計 2 2 3 2 5" xfId="2800"/>
    <cellStyle name="集計 2 2 3 3" xfId="732"/>
    <cellStyle name="集計 2 2 3 3 2" xfId="1414"/>
    <cellStyle name="集計 2 2 3 3 3" xfId="2001"/>
    <cellStyle name="集計 2 2 3 3 4" xfId="2473"/>
    <cellStyle name="集計 2 2 3 3 5" xfId="2873"/>
    <cellStyle name="集計 2 2 3 4" xfId="787"/>
    <cellStyle name="集計 2 2 3 4 2" xfId="1469"/>
    <cellStyle name="集計 2 2 3 4 3" xfId="2056"/>
    <cellStyle name="集計 2 2 3 4 4" xfId="2528"/>
    <cellStyle name="集計 2 2 3 4 5" xfId="2928"/>
    <cellStyle name="集計 2 2 3 5" xfId="836"/>
    <cellStyle name="集計 2 2 3 5 2" xfId="1518"/>
    <cellStyle name="集計 2 2 3 5 3" xfId="2105"/>
    <cellStyle name="集計 2 2 3 5 4" xfId="2575"/>
    <cellStyle name="集計 2 2 3 5 5" xfId="2977"/>
    <cellStyle name="集計 2 2 3 6" xfId="886"/>
    <cellStyle name="集計 2 2 3 6 2" xfId="1568"/>
    <cellStyle name="集計 2 2 3 6 3" xfId="2155"/>
    <cellStyle name="集計 2 2 3 6 4" xfId="3027"/>
    <cellStyle name="集計 2 2 3 7" xfId="925"/>
    <cellStyle name="集計 2 2 3 7 2" xfId="1607"/>
    <cellStyle name="集計 2 2 3 7 3" xfId="2194"/>
    <cellStyle name="集計 2 2 3 7 4" xfId="2648"/>
    <cellStyle name="集計 2 2 3 7 5" xfId="3066"/>
    <cellStyle name="集計 2 2 3 8" xfId="962"/>
    <cellStyle name="集計 2 2 3 8 2" xfId="1644"/>
    <cellStyle name="集計 2 2 3 8 3" xfId="2231"/>
    <cellStyle name="集計 2 2 3 8 4" xfId="2684"/>
    <cellStyle name="集計 2 2 3 8 5" xfId="3103"/>
    <cellStyle name="集計 2 2 3 9" xfId="1001"/>
    <cellStyle name="集計 2 2 3 9 2" xfId="1683"/>
    <cellStyle name="集計 2 2 3 9 3" xfId="2722"/>
    <cellStyle name="集計 2 2 3 9 4" xfId="3142"/>
    <cellStyle name="集計 2 2 4" xfId="253"/>
    <cellStyle name="集計 2 2 4 10" xfId="1301"/>
    <cellStyle name="集計 2 2 4 11" xfId="1896"/>
    <cellStyle name="集計 2 2 4 12" xfId="2382"/>
    <cellStyle name="集計 2 2 4 2" xfId="694"/>
    <cellStyle name="集計 2 2 4 2 2" xfId="1376"/>
    <cellStyle name="集計 2 2 4 2 3" xfId="1963"/>
    <cellStyle name="集計 2 2 4 2 4" xfId="2436"/>
    <cellStyle name="集計 2 2 4 2 5" xfId="2835"/>
    <cellStyle name="集計 2 2 4 3" xfId="755"/>
    <cellStyle name="集計 2 2 4 3 2" xfId="1437"/>
    <cellStyle name="集計 2 2 4 3 3" xfId="2024"/>
    <cellStyle name="集計 2 2 4 3 4" xfId="2496"/>
    <cellStyle name="集計 2 2 4 3 5" xfId="2896"/>
    <cellStyle name="集計 2 2 4 4" xfId="802"/>
    <cellStyle name="集計 2 2 4 4 2" xfId="1484"/>
    <cellStyle name="集計 2 2 4 4 3" xfId="2071"/>
    <cellStyle name="集計 2 2 4 4 4" xfId="2543"/>
    <cellStyle name="集計 2 2 4 4 5" xfId="2943"/>
    <cellStyle name="集計 2 2 4 5" xfId="856"/>
    <cellStyle name="集計 2 2 4 5 2" xfId="1538"/>
    <cellStyle name="集計 2 2 4 5 3" xfId="2125"/>
    <cellStyle name="集計 2 2 4 5 4" xfId="2594"/>
    <cellStyle name="集計 2 2 4 5 5" xfId="2997"/>
    <cellStyle name="集計 2 2 4 6" xfId="895"/>
    <cellStyle name="集計 2 2 4 6 2" xfId="1577"/>
    <cellStyle name="集計 2 2 4 6 3" xfId="2164"/>
    <cellStyle name="集計 2 2 4 6 4" xfId="2619"/>
    <cellStyle name="集計 2 2 4 6 5" xfId="3036"/>
    <cellStyle name="集計 2 2 4 7" xfId="935"/>
    <cellStyle name="集計 2 2 4 7 2" xfId="1617"/>
    <cellStyle name="集計 2 2 4 7 3" xfId="2204"/>
    <cellStyle name="集計 2 2 4 7 4" xfId="2658"/>
    <cellStyle name="集計 2 2 4 7 5" xfId="3076"/>
    <cellStyle name="集計 2 2 4 8" xfId="975"/>
    <cellStyle name="集計 2 2 4 8 2" xfId="1657"/>
    <cellStyle name="集計 2 2 4 8 3" xfId="2244"/>
    <cellStyle name="集計 2 2 4 8 4" xfId="2697"/>
    <cellStyle name="集計 2 2 4 8 5" xfId="3116"/>
    <cellStyle name="集計 2 2 4 9" xfId="614"/>
    <cellStyle name="集計 2 2 5" xfId="217"/>
    <cellStyle name="集計 2 2 5 2" xfId="485"/>
    <cellStyle name="集計 2 2 5 3" xfId="1175"/>
    <cellStyle name="集計 2 2 5 4" xfId="384"/>
    <cellStyle name="集計 2 2 5 5" xfId="368"/>
    <cellStyle name="集計 2 2 5 6" xfId="1132"/>
    <cellStyle name="集計 2 2 6" xfId="307"/>
    <cellStyle name="集計 2 2 6 2" xfId="559"/>
    <cellStyle name="集計 2 2 6 3" xfId="1248"/>
    <cellStyle name="集計 2 2 6 4" xfId="1846"/>
    <cellStyle name="集計 2 2 6 5" xfId="2352"/>
    <cellStyle name="集計 2 2 6 6" xfId="2499"/>
    <cellStyle name="集計 2 2 7" xfId="727"/>
    <cellStyle name="集計 2 2 7 2" xfId="1409"/>
    <cellStyle name="集計 2 2 7 3" xfId="1996"/>
    <cellStyle name="集計 2 2 7 4" xfId="2468"/>
    <cellStyle name="集計 2 2 7 5" xfId="2868"/>
    <cellStyle name="集計 2 2 8" xfId="898"/>
    <cellStyle name="集計 2 2 8 2" xfId="1580"/>
    <cellStyle name="集計 2 2 8 3" xfId="2167"/>
    <cellStyle name="集計 2 2 8 4" xfId="2622"/>
    <cellStyle name="集計 2 2 8 5" xfId="3039"/>
    <cellStyle name="集計 2 2 9" xfId="921"/>
    <cellStyle name="集計 2 2 9 2" xfId="1603"/>
    <cellStyle name="集計 2 2 9 3" xfId="2190"/>
    <cellStyle name="集計 2 2 9 4" xfId="2644"/>
    <cellStyle name="集計 2 2 9 5" xfId="3062"/>
    <cellStyle name="集計 2 3" xfId="228"/>
    <cellStyle name="集計 2 3 10" xfId="705"/>
    <cellStyle name="集計 2 3 10 2" xfId="1387"/>
    <cellStyle name="集計 2 3 10 3" xfId="1974"/>
    <cellStyle name="集計 2 3 10 4" xfId="2447"/>
    <cellStyle name="集計 2 3 10 5" xfId="2846"/>
    <cellStyle name="集計 2 3 11" xfId="1044"/>
    <cellStyle name="集計 2 3 11 2" xfId="1720"/>
    <cellStyle name="集計 2 3 11 3" xfId="2756"/>
    <cellStyle name="集計 2 3 11 4" xfId="3176"/>
    <cellStyle name="集計 2 3 12" xfId="1080"/>
    <cellStyle name="集計 2 3 12 2" xfId="1750"/>
    <cellStyle name="集計 2 3 12 3" xfId="2319"/>
    <cellStyle name="集計 2 3 12 4" xfId="2784"/>
    <cellStyle name="集計 2 3 12 5" xfId="3204"/>
    <cellStyle name="集計 2 3 13" xfId="1090"/>
    <cellStyle name="集計 2 3 13 2" xfId="1760"/>
    <cellStyle name="集計 2 3 13 3" xfId="2329"/>
    <cellStyle name="集計 2 3 13 4" xfId="2794"/>
    <cellStyle name="集計 2 3 13 5" xfId="3214"/>
    <cellStyle name="集計 2 3 14" xfId="439"/>
    <cellStyle name="集計 2 3 15" xfId="323"/>
    <cellStyle name="集計 2 3 2" xfId="276"/>
    <cellStyle name="集計 2 3 2 10" xfId="1320"/>
    <cellStyle name="集計 2 3 2 11" xfId="1913"/>
    <cellStyle name="集計 2 3 2 12" xfId="363"/>
    <cellStyle name="集計 2 3 2 2" xfId="712"/>
    <cellStyle name="集計 2 3 2 2 2" xfId="1394"/>
    <cellStyle name="集計 2 3 2 2 3" xfId="1981"/>
    <cellStyle name="集計 2 3 2 2 4" xfId="2454"/>
    <cellStyle name="集計 2 3 2 2 5" xfId="2853"/>
    <cellStyle name="集計 2 3 2 3" xfId="768"/>
    <cellStyle name="集計 2 3 2 3 2" xfId="1450"/>
    <cellStyle name="集計 2 3 2 3 3" xfId="2037"/>
    <cellStyle name="集計 2 3 2 3 4" xfId="2509"/>
    <cellStyle name="集計 2 3 2 3 5" xfId="2909"/>
    <cellStyle name="集計 2 3 2 4" xfId="818"/>
    <cellStyle name="集計 2 3 2 4 2" xfId="1500"/>
    <cellStyle name="集計 2 3 2 4 3" xfId="2087"/>
    <cellStyle name="集計 2 3 2 4 4" xfId="2558"/>
    <cellStyle name="集計 2 3 2 4 5" xfId="2959"/>
    <cellStyle name="集計 2 3 2 5" xfId="869"/>
    <cellStyle name="集計 2 3 2 5 2" xfId="1551"/>
    <cellStyle name="集計 2 3 2 5 3" xfId="2138"/>
    <cellStyle name="集計 2 3 2 5 4" xfId="2606"/>
    <cellStyle name="集計 2 3 2 5 5" xfId="3010"/>
    <cellStyle name="集計 2 3 2 6" xfId="906"/>
    <cellStyle name="集計 2 3 2 6 2" xfId="1588"/>
    <cellStyle name="集計 2 3 2 6 3" xfId="2175"/>
    <cellStyle name="集計 2 3 2 6 4" xfId="2630"/>
    <cellStyle name="集計 2 3 2 6 5" xfId="3047"/>
    <cellStyle name="集計 2 3 2 7" xfId="945"/>
    <cellStyle name="集計 2 3 2 7 2" xfId="1627"/>
    <cellStyle name="集計 2 3 2 7 3" xfId="2214"/>
    <cellStyle name="集計 2 3 2 7 4" xfId="2667"/>
    <cellStyle name="集計 2 3 2 7 5" xfId="3086"/>
    <cellStyle name="集計 2 3 2 8" xfId="984"/>
    <cellStyle name="集計 2 3 2 8 2" xfId="1666"/>
    <cellStyle name="集計 2 3 2 8 3" xfId="2253"/>
    <cellStyle name="集計 2 3 2 8 4" xfId="2705"/>
    <cellStyle name="集計 2 3 2 8 5" xfId="3125"/>
    <cellStyle name="集計 2 3 2 9" xfId="636"/>
    <cellStyle name="集計 2 3 3" xfId="589"/>
    <cellStyle name="集計 2 3 3 2" xfId="1277"/>
    <cellStyle name="集計 2 3 3 3" xfId="1875"/>
    <cellStyle name="集計 2 3 3 4" xfId="2379"/>
    <cellStyle name="集計 2 3 3 5" xfId="2450"/>
    <cellStyle name="集計 2 3 4" xfId="671"/>
    <cellStyle name="集計 2 3 4 2" xfId="1353"/>
    <cellStyle name="集計 2 3 4 3" xfId="1940"/>
    <cellStyle name="集計 2 3 4 4" xfId="2413"/>
    <cellStyle name="集計 2 3 4 5" xfId="2812"/>
    <cellStyle name="集計 2 3 5" xfId="547"/>
    <cellStyle name="集計 2 3 5 2" xfId="1237"/>
    <cellStyle name="集計 2 3 5 3" xfId="1835"/>
    <cellStyle name="集計 2 3 5 4" xfId="1122"/>
    <cellStyle name="集計 2 3 5 5" xfId="2610"/>
    <cellStyle name="集計 2 3 6" xfId="500"/>
    <cellStyle name="集計 2 3 6 2" xfId="1190"/>
    <cellStyle name="集計 2 3 6 3" xfId="1788"/>
    <cellStyle name="集計 2 3 6 4" xfId="1708"/>
    <cellStyle name="集計 2 3 6 5" xfId="2718"/>
    <cellStyle name="集計 2 3 7" xfId="569"/>
    <cellStyle name="集計 2 3 7 2" xfId="1258"/>
    <cellStyle name="集計 2 3 7 3" xfId="1856"/>
    <cellStyle name="集計 2 3 7 4" xfId="2362"/>
    <cellStyle name="集計 2 3 7 5" xfId="2642"/>
    <cellStyle name="集計 2 3 8" xfId="507"/>
    <cellStyle name="集計 2 3 8 2" xfId="1197"/>
    <cellStyle name="集計 2 3 8 3" xfId="1795"/>
    <cellStyle name="集計 2 3 8 4" xfId="408"/>
    <cellStyle name="集計 2 3 8 5" xfId="1116"/>
    <cellStyle name="集計 2 3 9" xfId="531"/>
    <cellStyle name="集計 2 3 9 2" xfId="1221"/>
    <cellStyle name="集計 2 3 9 3" xfId="1819"/>
    <cellStyle name="集計 2 3 9 4" xfId="1270"/>
    <cellStyle name="集計 2 3 9 5" xfId="2661"/>
    <cellStyle name="集計 2 4" xfId="245"/>
    <cellStyle name="集計 2 4 10" xfId="1293"/>
    <cellStyle name="集計 2 4 11" xfId="1889"/>
    <cellStyle name="集計 2 4 12" xfId="2394"/>
    <cellStyle name="集計 2 4 2" xfId="687"/>
    <cellStyle name="集計 2 4 2 2" xfId="1369"/>
    <cellStyle name="集計 2 4 2 3" xfId="1956"/>
    <cellStyle name="集計 2 4 2 4" xfId="2429"/>
    <cellStyle name="集計 2 4 2 5" xfId="2828"/>
    <cellStyle name="集計 2 4 3" xfId="748"/>
    <cellStyle name="集計 2 4 3 2" xfId="1430"/>
    <cellStyle name="集計 2 4 3 3" xfId="2017"/>
    <cellStyle name="集計 2 4 3 4" xfId="2489"/>
    <cellStyle name="集計 2 4 3 5" xfId="2889"/>
    <cellStyle name="集計 2 4 4" xfId="796"/>
    <cellStyle name="集計 2 4 4 2" xfId="1478"/>
    <cellStyle name="集計 2 4 4 3" xfId="2065"/>
    <cellStyle name="集計 2 4 4 4" xfId="2537"/>
    <cellStyle name="集計 2 4 4 5" xfId="2937"/>
    <cellStyle name="集計 2 4 5" xfId="850"/>
    <cellStyle name="集計 2 4 5 2" xfId="1532"/>
    <cellStyle name="集計 2 4 5 3" xfId="2119"/>
    <cellStyle name="集計 2 4 5 4" xfId="2588"/>
    <cellStyle name="集計 2 4 5 5" xfId="2991"/>
    <cellStyle name="集計 2 4 6" xfId="889"/>
    <cellStyle name="集計 2 4 6 2" xfId="1571"/>
    <cellStyle name="集計 2 4 6 3" xfId="2158"/>
    <cellStyle name="集計 2 4 6 4" xfId="2613"/>
    <cellStyle name="集計 2 4 6 5" xfId="3030"/>
    <cellStyle name="集計 2 4 7" xfId="929"/>
    <cellStyle name="集計 2 4 7 2" xfId="1611"/>
    <cellStyle name="集計 2 4 7 3" xfId="2198"/>
    <cellStyle name="集計 2 4 7 4" xfId="2652"/>
    <cellStyle name="集計 2 4 7 5" xfId="3070"/>
    <cellStyle name="集計 2 4 8" xfId="969"/>
    <cellStyle name="集計 2 4 8 2" xfId="1651"/>
    <cellStyle name="集計 2 4 8 3" xfId="2238"/>
    <cellStyle name="集計 2 4 8 4" xfId="2691"/>
    <cellStyle name="集計 2 4 8 5" xfId="3110"/>
    <cellStyle name="集計 2 4 9" xfId="606"/>
    <cellStyle name="集計 2 5" xfId="519"/>
    <cellStyle name="集計 2 5 2" xfId="1209"/>
    <cellStyle name="集計 2 5 3" xfId="1807"/>
    <cellStyle name="集計 2 5 4" xfId="391"/>
    <cellStyle name="集計 2 5 5" xfId="2506"/>
    <cellStyle name="集計 2 6" xfId="522"/>
    <cellStyle name="集計 2 6 2" xfId="1212"/>
    <cellStyle name="集計 2 6 3" xfId="1810"/>
    <cellStyle name="集計 2 6 4" xfId="2271"/>
    <cellStyle name="集計 2 6 5" xfId="2531"/>
    <cellStyle name="集計 2 7" xfId="683"/>
    <cellStyle name="集計 2 7 2" xfId="1365"/>
    <cellStyle name="集計 2 7 3" xfId="1952"/>
    <cellStyle name="集計 2 7 4" xfId="2425"/>
    <cellStyle name="集計 2 7 5" xfId="2824"/>
    <cellStyle name="集計 2 8" xfId="1006"/>
    <cellStyle name="集計 2 8 2" xfId="1687"/>
    <cellStyle name="集計 2 8 3" xfId="2263"/>
    <cellStyle name="集計 2 8 4" xfId="2726"/>
    <cellStyle name="集計 2 8 5" xfId="3146"/>
    <cellStyle name="集計 2 9" xfId="1016"/>
    <cellStyle name="集計 2 9 2" xfId="1697"/>
    <cellStyle name="集計 2 9 3" xfId="2273"/>
    <cellStyle name="集計 2 9 4" xfId="2736"/>
    <cellStyle name="集計 2 9 5" xfId="3156"/>
    <cellStyle name="出力 2" xfId="110"/>
    <cellStyle name="出力 2 10" xfId="1007"/>
    <cellStyle name="出力 2 10 2" xfId="1688"/>
    <cellStyle name="出力 2 10 3" xfId="2264"/>
    <cellStyle name="出力 2 10 4" xfId="2727"/>
    <cellStyle name="出力 2 10 5" xfId="3147"/>
    <cellStyle name="出力 2 11" xfId="365"/>
    <cellStyle name="出力 2 12" xfId="3250"/>
    <cellStyle name="出力 2 13" xfId="3237"/>
    <cellStyle name="出力 2 14" xfId="3246"/>
    <cellStyle name="出力 2 2" xfId="176"/>
    <cellStyle name="出力 2 2 10" xfId="1071"/>
    <cellStyle name="出力 2 2 10 2" xfId="1741"/>
    <cellStyle name="出力 2 2 10 3" xfId="2311"/>
    <cellStyle name="出力 2 2 10 4" xfId="2775"/>
    <cellStyle name="出力 2 2 10 5" xfId="3195"/>
    <cellStyle name="出力 2 2 11" xfId="1026"/>
    <cellStyle name="出力 2 2 11 2" xfId="1707"/>
    <cellStyle name="出力 2 2 11 3" xfId="2282"/>
    <cellStyle name="出力 2 2 11 4" xfId="2745"/>
    <cellStyle name="出力 2 2 11 5" xfId="3166"/>
    <cellStyle name="出力 2 2 12" xfId="1073"/>
    <cellStyle name="出力 2 2 12 2" xfId="1743"/>
    <cellStyle name="出力 2 2 12 3" xfId="2777"/>
    <cellStyle name="出力 2 2 12 4" xfId="3197"/>
    <cellStyle name="出力 2 2 13" xfId="1106"/>
    <cellStyle name="出力 2 2 13 2" xfId="1772"/>
    <cellStyle name="出力 2 2 13 3" xfId="2339"/>
    <cellStyle name="出力 2 2 13 4" xfId="3224"/>
    <cellStyle name="出力 2 2 14" xfId="403"/>
    <cellStyle name="出力 2 2 15" xfId="3268"/>
    <cellStyle name="出力 2 2 16" xfId="3286"/>
    <cellStyle name="出力 2 2 17" xfId="3293"/>
    <cellStyle name="出力 2 2 18" xfId="3231"/>
    <cellStyle name="出力 2 2 19" xfId="3227"/>
    <cellStyle name="出力 2 2 2" xfId="239"/>
    <cellStyle name="出力 2 2 2 10" xfId="516"/>
    <cellStyle name="出力 2 2 2 10 2" xfId="1206"/>
    <cellStyle name="出力 2 2 2 10 3" xfId="1804"/>
    <cellStyle name="出力 2 2 2 10 4" xfId="1917"/>
    <cellStyle name="出力 2 2 2 10 5" xfId="2627"/>
    <cellStyle name="出力 2 2 2 11" xfId="451"/>
    <cellStyle name="出力 2 2 2 12" xfId="1144"/>
    <cellStyle name="出力 2 2 2 13" xfId="1114"/>
    <cellStyle name="出力 2 2 2 14" xfId="1866"/>
    <cellStyle name="出力 2 2 2 2" xfId="288"/>
    <cellStyle name="出力 2 2 2 2 10" xfId="1331"/>
    <cellStyle name="出力 2 2 2 2 11" xfId="351"/>
    <cellStyle name="出力 2 2 2 2 2" xfId="722"/>
    <cellStyle name="出力 2 2 2 2 2 2" xfId="1404"/>
    <cellStyle name="出力 2 2 2 2 2 3" xfId="1991"/>
    <cellStyle name="出力 2 2 2 2 2 4" xfId="2463"/>
    <cellStyle name="出力 2 2 2 2 2 5" xfId="2863"/>
    <cellStyle name="出力 2 2 2 2 3" xfId="779"/>
    <cellStyle name="出力 2 2 2 2 3 2" xfId="1461"/>
    <cellStyle name="出力 2 2 2 2 3 3" xfId="2048"/>
    <cellStyle name="出力 2 2 2 2 3 4" xfId="2520"/>
    <cellStyle name="出力 2 2 2 2 3 5" xfId="2920"/>
    <cellStyle name="出力 2 2 2 2 4" xfId="828"/>
    <cellStyle name="出力 2 2 2 2 4 2" xfId="1510"/>
    <cellStyle name="出力 2 2 2 2 4 3" xfId="2097"/>
    <cellStyle name="出力 2 2 2 2 4 4" xfId="2567"/>
    <cellStyle name="出力 2 2 2 2 4 5" xfId="2969"/>
    <cellStyle name="出力 2 2 2 2 5" xfId="879"/>
    <cellStyle name="出力 2 2 2 2 5 2" xfId="1561"/>
    <cellStyle name="出力 2 2 2 2 5 3" xfId="2148"/>
    <cellStyle name="出力 2 2 2 2 5 4" xfId="3020"/>
    <cellStyle name="出力 2 2 2 2 6" xfId="916"/>
    <cellStyle name="出力 2 2 2 2 6 2" xfId="1598"/>
    <cellStyle name="出力 2 2 2 2 6 3" xfId="2185"/>
    <cellStyle name="出力 2 2 2 2 6 4" xfId="2639"/>
    <cellStyle name="出力 2 2 2 2 6 5" xfId="3057"/>
    <cellStyle name="出力 2 2 2 2 7" xfId="955"/>
    <cellStyle name="出力 2 2 2 2 7 2" xfId="1637"/>
    <cellStyle name="出力 2 2 2 2 7 3" xfId="2224"/>
    <cellStyle name="出力 2 2 2 2 7 4" xfId="2677"/>
    <cellStyle name="出力 2 2 2 2 7 5" xfId="3096"/>
    <cellStyle name="出力 2 2 2 2 8" xfId="994"/>
    <cellStyle name="出力 2 2 2 2 8 2" xfId="1676"/>
    <cellStyle name="出力 2 2 2 2 8 3" xfId="2715"/>
    <cellStyle name="出力 2 2 2 2 8 4" xfId="3135"/>
    <cellStyle name="出力 2 2 2 2 9" xfId="648"/>
    <cellStyle name="出力 2 2 2 3" xfId="600"/>
    <cellStyle name="出力 2 2 2 3 2" xfId="1287"/>
    <cellStyle name="出力 2 2 2 3 3" xfId="1884"/>
    <cellStyle name="出力 2 2 2 3 4" xfId="2388"/>
    <cellStyle name="出力 2 2 2 3 5" xfId="2662"/>
    <cellStyle name="出力 2 2 2 4" xfId="681"/>
    <cellStyle name="出力 2 2 2 4 2" xfId="1363"/>
    <cellStyle name="出力 2 2 2 4 3" xfId="1950"/>
    <cellStyle name="出力 2 2 2 4 4" xfId="2423"/>
    <cellStyle name="出力 2 2 2 4 5" xfId="2822"/>
    <cellStyle name="出力 2 2 2 5" xfId="742"/>
    <cellStyle name="出力 2 2 2 5 2" xfId="1424"/>
    <cellStyle name="出力 2 2 2 5 3" xfId="2011"/>
    <cellStyle name="出力 2 2 2 5 4" xfId="2483"/>
    <cellStyle name="出力 2 2 2 5 5" xfId="2883"/>
    <cellStyle name="出力 2 2 2 6" xfId="791"/>
    <cellStyle name="出力 2 2 2 6 2" xfId="1473"/>
    <cellStyle name="出力 2 2 2 6 3" xfId="2060"/>
    <cellStyle name="出力 2 2 2 6 4" xfId="2532"/>
    <cellStyle name="出力 2 2 2 6 5" xfId="2932"/>
    <cellStyle name="出力 2 2 2 7" xfId="845"/>
    <cellStyle name="出力 2 2 2 7 2" xfId="1527"/>
    <cellStyle name="出力 2 2 2 7 3" xfId="2114"/>
    <cellStyle name="出力 2 2 2 7 4" xfId="2583"/>
    <cellStyle name="出力 2 2 2 7 5" xfId="2986"/>
    <cellStyle name="出力 2 2 2 8" xfId="664"/>
    <cellStyle name="出力 2 2 2 8 2" xfId="1346"/>
    <cellStyle name="出力 2 2 2 8 3" xfId="1933"/>
    <cellStyle name="出力 2 2 2 8 4" xfId="2407"/>
    <cellStyle name="出力 2 2 2 8 5" xfId="2805"/>
    <cellStyle name="出力 2 2 2 9" xfId="539"/>
    <cellStyle name="出力 2 2 2 9 2" xfId="1229"/>
    <cellStyle name="出力 2 2 2 9 3" xfId="1827"/>
    <cellStyle name="出力 2 2 2 9 4" xfId="1775"/>
    <cellStyle name="出力 2 2 2 9 5" xfId="2469"/>
    <cellStyle name="出力 2 2 3" xfId="299"/>
    <cellStyle name="出力 2 2 3 10" xfId="462"/>
    <cellStyle name="出力 2 2 3 11" xfId="1154"/>
    <cellStyle name="出力 2 2 3 12" xfId="1842"/>
    <cellStyle name="出力 2 2 3 2" xfId="659"/>
    <cellStyle name="出力 2 2 3 2 2" xfId="1341"/>
    <cellStyle name="出力 2 2 3 2 3" xfId="1928"/>
    <cellStyle name="出力 2 2 3 2 4" xfId="2404"/>
    <cellStyle name="出力 2 2 3 2 5" xfId="2801"/>
    <cellStyle name="出力 2 2 3 3" xfId="733"/>
    <cellStyle name="出力 2 2 3 3 2" xfId="1415"/>
    <cellStyle name="出力 2 2 3 3 3" xfId="2002"/>
    <cellStyle name="出力 2 2 3 3 4" xfId="2474"/>
    <cellStyle name="出力 2 2 3 3 5" xfId="2874"/>
    <cellStyle name="出力 2 2 3 4" xfId="788"/>
    <cellStyle name="出力 2 2 3 4 2" xfId="1470"/>
    <cellStyle name="出力 2 2 3 4 3" xfId="2057"/>
    <cellStyle name="出力 2 2 3 4 4" xfId="2529"/>
    <cellStyle name="出力 2 2 3 4 5" xfId="2929"/>
    <cellStyle name="出力 2 2 3 5" xfId="837"/>
    <cellStyle name="出力 2 2 3 5 2" xfId="1519"/>
    <cellStyle name="出力 2 2 3 5 3" xfId="2106"/>
    <cellStyle name="出力 2 2 3 5 4" xfId="2576"/>
    <cellStyle name="出力 2 2 3 5 5" xfId="2978"/>
    <cellStyle name="出力 2 2 3 6" xfId="887"/>
    <cellStyle name="出力 2 2 3 6 2" xfId="1569"/>
    <cellStyle name="出力 2 2 3 6 3" xfId="2156"/>
    <cellStyle name="出力 2 2 3 6 4" xfId="3028"/>
    <cellStyle name="出力 2 2 3 7" xfId="926"/>
    <cellStyle name="出力 2 2 3 7 2" xfId="1608"/>
    <cellStyle name="出力 2 2 3 7 3" xfId="2195"/>
    <cellStyle name="出力 2 2 3 7 4" xfId="2649"/>
    <cellStyle name="出力 2 2 3 7 5" xfId="3067"/>
    <cellStyle name="出力 2 2 3 8" xfId="963"/>
    <cellStyle name="出力 2 2 3 8 2" xfId="1645"/>
    <cellStyle name="出力 2 2 3 8 3" xfId="2232"/>
    <cellStyle name="出力 2 2 3 8 4" xfId="2685"/>
    <cellStyle name="出力 2 2 3 8 5" xfId="3104"/>
    <cellStyle name="出力 2 2 3 9" xfId="1002"/>
    <cellStyle name="出力 2 2 3 9 2" xfId="1684"/>
    <cellStyle name="出力 2 2 3 9 3" xfId="2723"/>
    <cellStyle name="出力 2 2 3 9 4" xfId="3143"/>
    <cellStyle name="出力 2 2 4" xfId="254"/>
    <cellStyle name="出力 2 2 4 10" xfId="469"/>
    <cellStyle name="出力 2 2 4 11" xfId="1160"/>
    <cellStyle name="出力 2 2 4 12" xfId="376"/>
    <cellStyle name="出力 2 2 4 13" xfId="406"/>
    <cellStyle name="出力 2 2 4 2" xfId="615"/>
    <cellStyle name="出力 2 2 4 2 2" xfId="1302"/>
    <cellStyle name="出力 2 2 4 2 3" xfId="1897"/>
    <cellStyle name="出力 2 2 4 2 4" xfId="2709"/>
    <cellStyle name="出力 2 2 4 3" xfId="695"/>
    <cellStyle name="出力 2 2 4 3 2" xfId="1377"/>
    <cellStyle name="出力 2 2 4 3 3" xfId="1964"/>
    <cellStyle name="出力 2 2 4 3 4" xfId="2437"/>
    <cellStyle name="出力 2 2 4 3 5" xfId="2836"/>
    <cellStyle name="出力 2 2 4 4" xfId="756"/>
    <cellStyle name="出力 2 2 4 4 2" xfId="1438"/>
    <cellStyle name="出力 2 2 4 4 3" xfId="2025"/>
    <cellStyle name="出力 2 2 4 4 4" xfId="2497"/>
    <cellStyle name="出力 2 2 4 4 5" xfId="2897"/>
    <cellStyle name="出力 2 2 4 5" xfId="803"/>
    <cellStyle name="出力 2 2 4 5 2" xfId="1485"/>
    <cellStyle name="出力 2 2 4 5 3" xfId="2072"/>
    <cellStyle name="出力 2 2 4 5 4" xfId="2544"/>
    <cellStyle name="出力 2 2 4 5 5" xfId="2944"/>
    <cellStyle name="出力 2 2 4 6" xfId="857"/>
    <cellStyle name="出力 2 2 4 6 2" xfId="1539"/>
    <cellStyle name="出力 2 2 4 6 3" xfId="2126"/>
    <cellStyle name="出力 2 2 4 6 4" xfId="2595"/>
    <cellStyle name="出力 2 2 4 6 5" xfId="2998"/>
    <cellStyle name="出力 2 2 4 7" xfId="896"/>
    <cellStyle name="出力 2 2 4 7 2" xfId="1578"/>
    <cellStyle name="出力 2 2 4 7 3" xfId="2165"/>
    <cellStyle name="出力 2 2 4 7 4" xfId="2620"/>
    <cellStyle name="出力 2 2 4 7 5" xfId="3037"/>
    <cellStyle name="出力 2 2 4 8" xfId="936"/>
    <cellStyle name="出力 2 2 4 8 2" xfId="1618"/>
    <cellStyle name="出力 2 2 4 8 3" xfId="2205"/>
    <cellStyle name="出力 2 2 4 8 4" xfId="2659"/>
    <cellStyle name="出力 2 2 4 8 5" xfId="3077"/>
    <cellStyle name="出力 2 2 4 9" xfId="976"/>
    <cellStyle name="出力 2 2 4 9 2" xfId="1658"/>
    <cellStyle name="出力 2 2 4 9 3" xfId="2245"/>
    <cellStyle name="出力 2 2 4 9 4" xfId="2698"/>
    <cellStyle name="出力 2 2 4 9 5" xfId="3117"/>
    <cellStyle name="出力 2 2 5" xfId="218"/>
    <cellStyle name="出力 2 2 5 2" xfId="484"/>
    <cellStyle name="出力 2 2 5 3" xfId="1174"/>
    <cellStyle name="出力 2 2 5 4" xfId="387"/>
    <cellStyle name="出力 2 2 5 5" xfId="1280"/>
    <cellStyle name="出力 2 2 5 6" xfId="358"/>
    <cellStyle name="出力 2 2 6" xfId="308"/>
    <cellStyle name="出力 2 2 6 2" xfId="552"/>
    <cellStyle name="出力 2 2 6 3" xfId="1242"/>
    <cellStyle name="出力 2 2 6 4" xfId="1840"/>
    <cellStyle name="出力 2 2 6 5" xfId="2347"/>
    <cellStyle name="出力 2 2 6 6" xfId="1343"/>
    <cellStyle name="出力 2 2 7" xfId="699"/>
    <cellStyle name="出力 2 2 7 2" xfId="1381"/>
    <cellStyle name="出力 2 2 7 3" xfId="1968"/>
    <cellStyle name="出力 2 2 7 4" xfId="2441"/>
    <cellStyle name="出力 2 2 7 5" xfId="2840"/>
    <cellStyle name="出力 2 2 8" xfId="859"/>
    <cellStyle name="出力 2 2 8 2" xfId="1541"/>
    <cellStyle name="出力 2 2 8 3" xfId="2128"/>
    <cellStyle name="出力 2 2 8 4" xfId="2597"/>
    <cellStyle name="出力 2 2 8 5" xfId="3000"/>
    <cellStyle name="出力 2 2 9" xfId="860"/>
    <cellStyle name="出力 2 2 9 2" xfId="1542"/>
    <cellStyle name="出力 2 2 9 3" xfId="2129"/>
    <cellStyle name="出力 2 2 9 4" xfId="2598"/>
    <cellStyle name="出力 2 2 9 5" xfId="3001"/>
    <cellStyle name="出力 2 3" xfId="229"/>
    <cellStyle name="出力 2 3 10" xfId="512"/>
    <cellStyle name="出力 2 3 10 2" xfId="1202"/>
    <cellStyle name="出力 2 3 10 3" xfId="1800"/>
    <cellStyle name="出力 2 3 10 4" xfId="1909"/>
    <cellStyle name="出力 2 3 10 5" xfId="2371"/>
    <cellStyle name="出力 2 3 11" xfId="1045"/>
    <cellStyle name="出力 2 3 11 2" xfId="1721"/>
    <cellStyle name="出力 2 3 11 3" xfId="2757"/>
    <cellStyle name="出力 2 3 11 4" xfId="3177"/>
    <cellStyle name="出力 2 3 12" xfId="1081"/>
    <cellStyle name="出力 2 3 12 2" xfId="1751"/>
    <cellStyle name="出力 2 3 12 3" xfId="2320"/>
    <cellStyle name="出力 2 3 12 4" xfId="2785"/>
    <cellStyle name="出力 2 3 12 5" xfId="3205"/>
    <cellStyle name="出力 2 3 13" xfId="1091"/>
    <cellStyle name="出力 2 3 13 2" xfId="1761"/>
    <cellStyle name="出力 2 3 13 3" xfId="2330"/>
    <cellStyle name="出力 2 3 13 4" xfId="2795"/>
    <cellStyle name="出力 2 3 13 5" xfId="3215"/>
    <cellStyle name="出力 2 3 14" xfId="438"/>
    <cellStyle name="出力 2 3 15" xfId="429"/>
    <cellStyle name="出力 2 3 2" xfId="275"/>
    <cellStyle name="出力 2 3 2 10" xfId="1319"/>
    <cellStyle name="出力 2 3 2 11" xfId="1912"/>
    <cellStyle name="出力 2 3 2 12" xfId="347"/>
    <cellStyle name="出力 2 3 2 2" xfId="711"/>
    <cellStyle name="出力 2 3 2 2 2" xfId="1393"/>
    <cellStyle name="出力 2 3 2 2 3" xfId="1980"/>
    <cellStyle name="出力 2 3 2 2 4" xfId="2453"/>
    <cellStyle name="出力 2 3 2 2 5" xfId="2852"/>
    <cellStyle name="出力 2 3 2 3" xfId="767"/>
    <cellStyle name="出力 2 3 2 3 2" xfId="1449"/>
    <cellStyle name="出力 2 3 2 3 3" xfId="2036"/>
    <cellStyle name="出力 2 3 2 3 4" xfId="2508"/>
    <cellStyle name="出力 2 3 2 3 5" xfId="2908"/>
    <cellStyle name="出力 2 3 2 4" xfId="817"/>
    <cellStyle name="出力 2 3 2 4 2" xfId="1499"/>
    <cellStyle name="出力 2 3 2 4 3" xfId="2086"/>
    <cellStyle name="出力 2 3 2 4 4" xfId="2557"/>
    <cellStyle name="出力 2 3 2 4 5" xfId="2958"/>
    <cellStyle name="出力 2 3 2 5" xfId="868"/>
    <cellStyle name="出力 2 3 2 5 2" xfId="1550"/>
    <cellStyle name="出力 2 3 2 5 3" xfId="2137"/>
    <cellStyle name="出力 2 3 2 5 4" xfId="2605"/>
    <cellStyle name="出力 2 3 2 5 5" xfId="3009"/>
    <cellStyle name="出力 2 3 2 6" xfId="905"/>
    <cellStyle name="出力 2 3 2 6 2" xfId="1587"/>
    <cellStyle name="出力 2 3 2 6 3" xfId="2174"/>
    <cellStyle name="出力 2 3 2 6 4" xfId="2629"/>
    <cellStyle name="出力 2 3 2 6 5" xfId="3046"/>
    <cellStyle name="出力 2 3 2 7" xfId="944"/>
    <cellStyle name="出力 2 3 2 7 2" xfId="1626"/>
    <cellStyle name="出力 2 3 2 7 3" xfId="2213"/>
    <cellStyle name="出力 2 3 2 7 4" xfId="2666"/>
    <cellStyle name="出力 2 3 2 7 5" xfId="3085"/>
    <cellStyle name="出力 2 3 2 8" xfId="983"/>
    <cellStyle name="出力 2 3 2 8 2" xfId="1665"/>
    <cellStyle name="出力 2 3 2 8 3" xfId="2252"/>
    <cellStyle name="出力 2 3 2 8 4" xfId="2704"/>
    <cellStyle name="出力 2 3 2 8 5" xfId="3124"/>
    <cellStyle name="出力 2 3 2 9" xfId="635"/>
    <cellStyle name="出力 2 3 3" xfId="590"/>
    <cellStyle name="出力 2 3 3 2" xfId="1278"/>
    <cellStyle name="出力 2 3 3 3" xfId="1876"/>
    <cellStyle name="出力 2 3 3 4" xfId="2380"/>
    <cellStyle name="出力 2 3 3 5" xfId="2395"/>
    <cellStyle name="出力 2 3 4" xfId="672"/>
    <cellStyle name="出力 2 3 4 2" xfId="1354"/>
    <cellStyle name="出力 2 3 4 3" xfId="1941"/>
    <cellStyle name="出力 2 3 4 4" xfId="2414"/>
    <cellStyle name="出力 2 3 4 5" xfId="2813"/>
    <cellStyle name="出力 2 3 5" xfId="553"/>
    <cellStyle name="出力 2 3 5 2" xfId="1243"/>
    <cellStyle name="出力 2 3 5 3" xfId="1841"/>
    <cellStyle name="出力 2 3 5 4" xfId="2348"/>
    <cellStyle name="出力 2 3 5 5" xfId="385"/>
    <cellStyle name="出力 2 3 6" xfId="473"/>
    <cellStyle name="出力 2 3 6 2" xfId="1163"/>
    <cellStyle name="出力 2 3 6 3" xfId="411"/>
    <cellStyle name="出力 2 3 6 4" xfId="1289"/>
    <cellStyle name="出力 2 3 6 5" xfId="1902"/>
    <cellStyle name="出力 2 3 7" xfId="550"/>
    <cellStyle name="出力 2 3 7 2" xfId="1240"/>
    <cellStyle name="出力 2 3 7 3" xfId="1838"/>
    <cellStyle name="出力 2 3 7 4" xfId="2345"/>
    <cellStyle name="出力 2 3 7 5" xfId="2458"/>
    <cellStyle name="出力 2 3 8" xfId="700"/>
    <cellStyle name="出力 2 3 8 2" xfId="1382"/>
    <cellStyle name="出力 2 3 8 3" xfId="1969"/>
    <cellStyle name="出力 2 3 8 4" xfId="2442"/>
    <cellStyle name="出力 2 3 8 5" xfId="2841"/>
    <cellStyle name="出力 2 3 9" xfId="530"/>
    <cellStyle name="出力 2 3 9 2" xfId="1220"/>
    <cellStyle name="出力 2 3 9 3" xfId="1818"/>
    <cellStyle name="出力 2 3 9 4" xfId="1305"/>
    <cellStyle name="出力 2 3 9 5" xfId="2700"/>
    <cellStyle name="出力 2 4" xfId="246"/>
    <cellStyle name="出力 2 4 10" xfId="1294"/>
    <cellStyle name="出力 2 4 11" xfId="1890"/>
    <cellStyle name="出力 2 4 12" xfId="2302"/>
    <cellStyle name="出力 2 4 2" xfId="688"/>
    <cellStyle name="出力 2 4 2 2" xfId="1370"/>
    <cellStyle name="出力 2 4 2 3" xfId="1957"/>
    <cellStyle name="出力 2 4 2 4" xfId="2430"/>
    <cellStyle name="出力 2 4 2 5" xfId="2829"/>
    <cellStyle name="出力 2 4 3" xfId="749"/>
    <cellStyle name="出力 2 4 3 2" xfId="1431"/>
    <cellStyle name="出力 2 4 3 3" xfId="2018"/>
    <cellStyle name="出力 2 4 3 4" xfId="2490"/>
    <cellStyle name="出力 2 4 3 5" xfId="2890"/>
    <cellStyle name="出力 2 4 4" xfId="797"/>
    <cellStyle name="出力 2 4 4 2" xfId="1479"/>
    <cellStyle name="出力 2 4 4 3" xfId="2066"/>
    <cellStyle name="出力 2 4 4 4" xfId="2538"/>
    <cellStyle name="出力 2 4 4 5" xfId="2938"/>
    <cellStyle name="出力 2 4 5" xfId="851"/>
    <cellStyle name="出力 2 4 5 2" xfId="1533"/>
    <cellStyle name="出力 2 4 5 3" xfId="2120"/>
    <cellStyle name="出力 2 4 5 4" xfId="2589"/>
    <cellStyle name="出力 2 4 5 5" xfId="2992"/>
    <cellStyle name="出力 2 4 6" xfId="890"/>
    <cellStyle name="出力 2 4 6 2" xfId="1572"/>
    <cellStyle name="出力 2 4 6 3" xfId="2159"/>
    <cellStyle name="出力 2 4 6 4" xfId="2614"/>
    <cellStyle name="出力 2 4 6 5" xfId="3031"/>
    <cellStyle name="出力 2 4 7" xfId="930"/>
    <cellStyle name="出力 2 4 7 2" xfId="1612"/>
    <cellStyle name="出力 2 4 7 3" xfId="2199"/>
    <cellStyle name="出力 2 4 7 4" xfId="2653"/>
    <cellStyle name="出力 2 4 7 5" xfId="3071"/>
    <cellStyle name="出力 2 4 8" xfId="970"/>
    <cellStyle name="出力 2 4 8 2" xfId="1652"/>
    <cellStyle name="出力 2 4 8 3" xfId="2239"/>
    <cellStyle name="出力 2 4 8 4" xfId="2692"/>
    <cellStyle name="出力 2 4 8 5" xfId="3111"/>
    <cellStyle name="出力 2 4 9" xfId="607"/>
    <cellStyle name="出力 2 5" xfId="518"/>
    <cellStyle name="出力 2 5 2" xfId="1208"/>
    <cellStyle name="出力 2 5 3" xfId="1806"/>
    <cellStyle name="出力 2 5 4" xfId="2294"/>
    <cellStyle name="出力 2 5 5" xfId="2555"/>
    <cellStyle name="出力 2 6" xfId="521"/>
    <cellStyle name="出力 2 6 2" xfId="1211"/>
    <cellStyle name="出力 2 6 3" xfId="1809"/>
    <cellStyle name="出力 2 6 4" xfId="2277"/>
    <cellStyle name="出力 2 6 5" xfId="2396"/>
    <cellStyle name="出力 2 7" xfId="759"/>
    <cellStyle name="出力 2 7 2" xfId="1441"/>
    <cellStyle name="出力 2 7 3" xfId="2028"/>
    <cellStyle name="出力 2 7 4" xfId="2500"/>
    <cellStyle name="出力 2 7 5" xfId="2900"/>
    <cellStyle name="出力 2 8" xfId="1005"/>
    <cellStyle name="出力 2 8 2" xfId="1686"/>
    <cellStyle name="出力 2 8 3" xfId="2262"/>
    <cellStyle name="出力 2 8 4" xfId="2725"/>
    <cellStyle name="出力 2 8 5" xfId="3145"/>
    <cellStyle name="出力 2 9" xfId="1029"/>
    <cellStyle name="出力 2 9 2" xfId="1709"/>
    <cellStyle name="出力 2 9 3" xfId="2284"/>
    <cellStyle name="出力 2 9 4" xfId="2746"/>
    <cellStyle name="出力 2 9 5" xfId="3167"/>
    <cellStyle name="説明文 2" xfId="111"/>
    <cellStyle name="脱浦 [0.00]_?O±U" xfId="112"/>
    <cellStyle name="脱浦_?O±U" xfId="113"/>
    <cellStyle name="追加スタイル（梅田）" xfId="114"/>
    <cellStyle name="通貨 3" xfId="264"/>
    <cellStyle name="通貨 3 2" xfId="266"/>
    <cellStyle name="通貨 3 2 2" xfId="626"/>
    <cellStyle name="通貨 3 2 3" xfId="430"/>
    <cellStyle name="通貨 3 3" xfId="624"/>
    <cellStyle name="通貨 3 4" xfId="428"/>
    <cellStyle name="入力 2" xfId="115"/>
    <cellStyle name="入力 2 10" xfId="1057"/>
    <cellStyle name="入力 2 10 2" xfId="1727"/>
    <cellStyle name="入力 2 10 3" xfId="2299"/>
    <cellStyle name="入力 2 10 4" xfId="2761"/>
    <cellStyle name="入力 2 10 5" xfId="3181"/>
    <cellStyle name="入力 2 11" xfId="367"/>
    <cellStyle name="入力 2 12" xfId="3251"/>
    <cellStyle name="入力 2 13" xfId="3236"/>
    <cellStyle name="入力 2 14" xfId="3248"/>
    <cellStyle name="入力 2 2" xfId="177"/>
    <cellStyle name="入力 2 2 10" xfId="1072"/>
    <cellStyle name="入力 2 2 10 2" xfId="1742"/>
    <cellStyle name="入力 2 2 10 3" xfId="2312"/>
    <cellStyle name="入力 2 2 10 4" xfId="2776"/>
    <cellStyle name="入力 2 2 10 5" xfId="3196"/>
    <cellStyle name="入力 2 2 11" xfId="1032"/>
    <cellStyle name="入力 2 2 11 2" xfId="1712"/>
    <cellStyle name="入力 2 2 11 3" xfId="2287"/>
    <cellStyle name="入力 2 2 11 4" xfId="2749"/>
    <cellStyle name="入力 2 2 11 5" xfId="3170"/>
    <cellStyle name="入力 2 2 12" xfId="1062"/>
    <cellStyle name="入力 2 2 12 2" xfId="1732"/>
    <cellStyle name="入力 2 2 12 3" xfId="2766"/>
    <cellStyle name="入力 2 2 12 4" xfId="3186"/>
    <cellStyle name="入力 2 2 13" xfId="1107"/>
    <cellStyle name="入力 2 2 13 2" xfId="1773"/>
    <cellStyle name="入力 2 2 13 3" xfId="2340"/>
    <cellStyle name="入力 2 2 13 4" xfId="3225"/>
    <cellStyle name="入力 2 2 14" xfId="404"/>
    <cellStyle name="入力 2 2 15" xfId="3269"/>
    <cellStyle name="入力 2 2 16" xfId="3287"/>
    <cellStyle name="入力 2 2 17" xfId="3294"/>
    <cellStyle name="入力 2 2 18" xfId="3299"/>
    <cellStyle name="入力 2 2 19" xfId="3281"/>
    <cellStyle name="入力 2 2 2" xfId="240"/>
    <cellStyle name="入力 2 2 2 10" xfId="965"/>
    <cellStyle name="入力 2 2 2 10 2" xfId="1647"/>
    <cellStyle name="入力 2 2 2 10 3" xfId="2234"/>
    <cellStyle name="入力 2 2 2 10 4" xfId="2687"/>
    <cellStyle name="入力 2 2 2 10 5" xfId="3106"/>
    <cellStyle name="入力 2 2 2 11" xfId="452"/>
    <cellStyle name="入力 2 2 2 12" xfId="1145"/>
    <cellStyle name="入力 2 2 2 13" xfId="335"/>
    <cellStyle name="入力 2 2 2 14" xfId="2288"/>
    <cellStyle name="入力 2 2 2 2" xfId="289"/>
    <cellStyle name="入力 2 2 2 2 10" xfId="1332"/>
    <cellStyle name="入力 2 2 2 2 11" xfId="317"/>
    <cellStyle name="入力 2 2 2 2 2" xfId="723"/>
    <cellStyle name="入力 2 2 2 2 2 2" xfId="1405"/>
    <cellStyle name="入力 2 2 2 2 2 3" xfId="1992"/>
    <cellStyle name="入力 2 2 2 2 2 4" xfId="2464"/>
    <cellStyle name="入力 2 2 2 2 2 5" xfId="2864"/>
    <cellStyle name="入力 2 2 2 2 3" xfId="780"/>
    <cellStyle name="入力 2 2 2 2 3 2" xfId="1462"/>
    <cellStyle name="入力 2 2 2 2 3 3" xfId="2049"/>
    <cellStyle name="入力 2 2 2 2 3 4" xfId="2521"/>
    <cellStyle name="入力 2 2 2 2 3 5" xfId="2921"/>
    <cellStyle name="入力 2 2 2 2 4" xfId="829"/>
    <cellStyle name="入力 2 2 2 2 4 2" xfId="1511"/>
    <cellStyle name="入力 2 2 2 2 4 3" xfId="2098"/>
    <cellStyle name="入力 2 2 2 2 4 4" xfId="2568"/>
    <cellStyle name="入力 2 2 2 2 4 5" xfId="2970"/>
    <cellStyle name="入力 2 2 2 2 5" xfId="880"/>
    <cellStyle name="入力 2 2 2 2 5 2" xfId="1562"/>
    <cellStyle name="入力 2 2 2 2 5 3" xfId="2149"/>
    <cellStyle name="入力 2 2 2 2 5 4" xfId="3021"/>
    <cellStyle name="入力 2 2 2 2 6" xfId="917"/>
    <cellStyle name="入力 2 2 2 2 6 2" xfId="1599"/>
    <cellStyle name="入力 2 2 2 2 6 3" xfId="2186"/>
    <cellStyle name="入力 2 2 2 2 6 4" xfId="2640"/>
    <cellStyle name="入力 2 2 2 2 6 5" xfId="3058"/>
    <cellStyle name="入力 2 2 2 2 7" xfId="956"/>
    <cellStyle name="入力 2 2 2 2 7 2" xfId="1638"/>
    <cellStyle name="入力 2 2 2 2 7 3" xfId="2225"/>
    <cellStyle name="入力 2 2 2 2 7 4" xfId="2678"/>
    <cellStyle name="入力 2 2 2 2 7 5" xfId="3097"/>
    <cellStyle name="入力 2 2 2 2 8" xfId="995"/>
    <cellStyle name="入力 2 2 2 2 8 2" xfId="1677"/>
    <cellStyle name="入力 2 2 2 2 8 3" xfId="2716"/>
    <cellStyle name="入力 2 2 2 2 8 4" xfId="3136"/>
    <cellStyle name="入力 2 2 2 2 9" xfId="649"/>
    <cellStyle name="入力 2 2 2 3" xfId="601"/>
    <cellStyle name="入力 2 2 2 3 2" xfId="1288"/>
    <cellStyle name="入力 2 2 2 3 3" xfId="1885"/>
    <cellStyle name="入力 2 2 2 3 4" xfId="2389"/>
    <cellStyle name="入力 2 2 2 3 5" xfId="2625"/>
    <cellStyle name="入力 2 2 2 4" xfId="682"/>
    <cellStyle name="入力 2 2 2 4 2" xfId="1364"/>
    <cellStyle name="入力 2 2 2 4 3" xfId="1951"/>
    <cellStyle name="入力 2 2 2 4 4" xfId="2424"/>
    <cellStyle name="入力 2 2 2 4 5" xfId="2823"/>
    <cellStyle name="入力 2 2 2 5" xfId="743"/>
    <cellStyle name="入力 2 2 2 5 2" xfId="1425"/>
    <cellStyle name="入力 2 2 2 5 3" xfId="2012"/>
    <cellStyle name="入力 2 2 2 5 4" xfId="2484"/>
    <cellStyle name="入力 2 2 2 5 5" xfId="2884"/>
    <cellStyle name="入力 2 2 2 6" xfId="792"/>
    <cellStyle name="入力 2 2 2 6 2" xfId="1474"/>
    <cellStyle name="入力 2 2 2 6 3" xfId="2061"/>
    <cellStyle name="入力 2 2 2 6 4" xfId="2533"/>
    <cellStyle name="入力 2 2 2 6 5" xfId="2933"/>
    <cellStyle name="入力 2 2 2 7" xfId="846"/>
    <cellStyle name="入力 2 2 2 7 2" xfId="1528"/>
    <cellStyle name="入力 2 2 2 7 3" xfId="2115"/>
    <cellStyle name="入力 2 2 2 7 4" xfId="2584"/>
    <cellStyle name="入力 2 2 2 7 5" xfId="2987"/>
    <cellStyle name="入力 2 2 2 8" xfId="549"/>
    <cellStyle name="入力 2 2 2 8 2" xfId="1239"/>
    <cellStyle name="入力 2 2 2 8 3" xfId="1837"/>
    <cellStyle name="入力 2 2 2 8 4" xfId="397"/>
    <cellStyle name="入力 2 2 2 8 5" xfId="2515"/>
    <cellStyle name="入力 2 2 2 9" xfId="566"/>
    <cellStyle name="入力 2 2 2 9 2" xfId="1255"/>
    <cellStyle name="入力 2 2 2 9 3" xfId="1853"/>
    <cellStyle name="入力 2 2 2 9 4" xfId="2359"/>
    <cellStyle name="入力 2 2 2 9 5" xfId="327"/>
    <cellStyle name="入力 2 2 3" xfId="300"/>
    <cellStyle name="入力 2 2 3 10" xfId="463"/>
    <cellStyle name="入力 2 2 3 11" xfId="1155"/>
    <cellStyle name="入力 2 2 3 12" xfId="2283"/>
    <cellStyle name="入力 2 2 3 2" xfId="660"/>
    <cellStyle name="入力 2 2 3 2 2" xfId="1342"/>
    <cellStyle name="入力 2 2 3 2 3" xfId="1929"/>
    <cellStyle name="入力 2 2 3 2 4" xfId="2405"/>
    <cellStyle name="入力 2 2 3 2 5" xfId="2802"/>
    <cellStyle name="入力 2 2 3 3" xfId="734"/>
    <cellStyle name="入力 2 2 3 3 2" xfId="1416"/>
    <cellStyle name="入力 2 2 3 3 3" xfId="2003"/>
    <cellStyle name="入力 2 2 3 3 4" xfId="2475"/>
    <cellStyle name="入力 2 2 3 3 5" xfId="2875"/>
    <cellStyle name="入力 2 2 3 4" xfId="789"/>
    <cellStyle name="入力 2 2 3 4 2" xfId="1471"/>
    <cellStyle name="入力 2 2 3 4 3" xfId="2058"/>
    <cellStyle name="入力 2 2 3 4 4" xfId="2530"/>
    <cellStyle name="入力 2 2 3 4 5" xfId="2930"/>
    <cellStyle name="入力 2 2 3 5" xfId="838"/>
    <cellStyle name="入力 2 2 3 5 2" xfId="1520"/>
    <cellStyle name="入力 2 2 3 5 3" xfId="2107"/>
    <cellStyle name="入力 2 2 3 5 4" xfId="2577"/>
    <cellStyle name="入力 2 2 3 5 5" xfId="2979"/>
    <cellStyle name="入力 2 2 3 6" xfId="888"/>
    <cellStyle name="入力 2 2 3 6 2" xfId="1570"/>
    <cellStyle name="入力 2 2 3 6 3" xfId="2157"/>
    <cellStyle name="入力 2 2 3 6 4" xfId="3029"/>
    <cellStyle name="入力 2 2 3 7" xfId="927"/>
    <cellStyle name="入力 2 2 3 7 2" xfId="1609"/>
    <cellStyle name="入力 2 2 3 7 3" xfId="2196"/>
    <cellStyle name="入力 2 2 3 7 4" xfId="2650"/>
    <cellStyle name="入力 2 2 3 7 5" xfId="3068"/>
    <cellStyle name="入力 2 2 3 8" xfId="964"/>
    <cellStyle name="入力 2 2 3 8 2" xfId="1646"/>
    <cellStyle name="入力 2 2 3 8 3" xfId="2233"/>
    <cellStyle name="入力 2 2 3 8 4" xfId="2686"/>
    <cellStyle name="入力 2 2 3 8 5" xfId="3105"/>
    <cellStyle name="入力 2 2 3 9" xfId="1003"/>
    <cellStyle name="入力 2 2 3 9 2" xfId="1685"/>
    <cellStyle name="入力 2 2 3 9 3" xfId="2724"/>
    <cellStyle name="入力 2 2 3 9 4" xfId="3144"/>
    <cellStyle name="入力 2 2 4" xfId="255"/>
    <cellStyle name="入力 2 2 4 10" xfId="1303"/>
    <cellStyle name="入力 2 2 4 11" xfId="1898"/>
    <cellStyle name="入力 2 2 4 12" xfId="2671"/>
    <cellStyle name="入力 2 2 4 2" xfId="696"/>
    <cellStyle name="入力 2 2 4 2 2" xfId="1378"/>
    <cellStyle name="入力 2 2 4 2 3" xfId="1965"/>
    <cellStyle name="入力 2 2 4 2 4" xfId="2438"/>
    <cellStyle name="入力 2 2 4 2 5" xfId="2837"/>
    <cellStyle name="入力 2 2 4 3" xfId="757"/>
    <cellStyle name="入力 2 2 4 3 2" xfId="1439"/>
    <cellStyle name="入力 2 2 4 3 3" xfId="2026"/>
    <cellStyle name="入力 2 2 4 3 4" xfId="2498"/>
    <cellStyle name="入力 2 2 4 3 5" xfId="2898"/>
    <cellStyle name="入力 2 2 4 4" xfId="804"/>
    <cellStyle name="入力 2 2 4 4 2" xfId="1486"/>
    <cellStyle name="入力 2 2 4 4 3" xfId="2073"/>
    <cellStyle name="入力 2 2 4 4 4" xfId="2545"/>
    <cellStyle name="入力 2 2 4 4 5" xfId="2945"/>
    <cellStyle name="入力 2 2 4 5" xfId="858"/>
    <cellStyle name="入力 2 2 4 5 2" xfId="1540"/>
    <cellStyle name="入力 2 2 4 5 3" xfId="2127"/>
    <cellStyle name="入力 2 2 4 5 4" xfId="2596"/>
    <cellStyle name="入力 2 2 4 5 5" xfId="2999"/>
    <cellStyle name="入力 2 2 4 6" xfId="897"/>
    <cellStyle name="入力 2 2 4 6 2" xfId="1579"/>
    <cellStyle name="入力 2 2 4 6 3" xfId="2166"/>
    <cellStyle name="入力 2 2 4 6 4" xfId="2621"/>
    <cellStyle name="入力 2 2 4 6 5" xfId="3038"/>
    <cellStyle name="入力 2 2 4 7" xfId="937"/>
    <cellStyle name="入力 2 2 4 7 2" xfId="1619"/>
    <cellStyle name="入力 2 2 4 7 3" xfId="2206"/>
    <cellStyle name="入力 2 2 4 7 4" xfId="2660"/>
    <cellStyle name="入力 2 2 4 7 5" xfId="3078"/>
    <cellStyle name="入力 2 2 4 8" xfId="977"/>
    <cellStyle name="入力 2 2 4 8 2" xfId="1659"/>
    <cellStyle name="入力 2 2 4 8 3" xfId="2246"/>
    <cellStyle name="入力 2 2 4 8 4" xfId="2699"/>
    <cellStyle name="入力 2 2 4 8 5" xfId="3118"/>
    <cellStyle name="入力 2 2 4 9" xfId="616"/>
    <cellStyle name="入力 2 2 5" xfId="219"/>
    <cellStyle name="入力 2 2 5 2" xfId="483"/>
    <cellStyle name="入力 2 2 5 3" xfId="1173"/>
    <cellStyle name="入力 2 2 5 4" xfId="383"/>
    <cellStyle name="入力 2 2 5 5" xfId="1324"/>
    <cellStyle name="入力 2 2 5 6" xfId="1900"/>
    <cellStyle name="入力 2 2 6" xfId="309"/>
    <cellStyle name="入力 2 2 6 2" xfId="620"/>
    <cellStyle name="入力 2 2 6 3" xfId="1306"/>
    <cellStyle name="入力 2 2 6 4" xfId="1901"/>
    <cellStyle name="入力 2 2 6 5" xfId="2391"/>
    <cellStyle name="入力 2 2 6 6" xfId="2514"/>
    <cellStyle name="入力 2 2 7" xfId="573"/>
    <cellStyle name="入力 2 2 7 2" xfId="1262"/>
    <cellStyle name="入力 2 2 7 3" xfId="1860"/>
    <cellStyle name="入力 2 2 7 4" xfId="2366"/>
    <cellStyle name="入力 2 2 7 5" xfId="2466"/>
    <cellStyle name="入力 2 2 8" xfId="543"/>
    <cellStyle name="入力 2 2 8 2" xfId="1233"/>
    <cellStyle name="入力 2 2 8 3" xfId="1831"/>
    <cellStyle name="入力 2 2 8 4" xfId="1120"/>
    <cellStyle name="入力 2 2 8 5" xfId="2418"/>
    <cellStyle name="入力 2 2 9" xfId="535"/>
    <cellStyle name="入力 2 2 9 2" xfId="1225"/>
    <cellStyle name="入力 2 2 9 3" xfId="1823"/>
    <cellStyle name="入力 2 2 9 4" xfId="419"/>
    <cellStyle name="入力 2 2 9 5" xfId="2503"/>
    <cellStyle name="入力 2 3" xfId="230"/>
    <cellStyle name="入力 2 3 10" xfId="810"/>
    <cellStyle name="入力 2 3 10 2" xfId="1492"/>
    <cellStyle name="入力 2 3 10 3" xfId="2079"/>
    <cellStyle name="入力 2 3 10 4" xfId="2550"/>
    <cellStyle name="入力 2 3 10 5" xfId="2951"/>
    <cellStyle name="入力 2 3 11" xfId="1046"/>
    <cellStyle name="入力 2 3 11 2" xfId="1722"/>
    <cellStyle name="入力 2 3 11 3" xfId="2758"/>
    <cellStyle name="入力 2 3 11 4" xfId="3178"/>
    <cellStyle name="入力 2 3 12" xfId="1082"/>
    <cellStyle name="入力 2 3 12 2" xfId="1752"/>
    <cellStyle name="入力 2 3 12 3" xfId="2321"/>
    <cellStyle name="入力 2 3 12 4" xfId="2786"/>
    <cellStyle name="入力 2 3 12 5" xfId="3206"/>
    <cellStyle name="入力 2 3 13" xfId="1092"/>
    <cellStyle name="入力 2 3 13 2" xfId="1762"/>
    <cellStyle name="入力 2 3 13 3" xfId="2331"/>
    <cellStyle name="入力 2 3 13 4" xfId="2796"/>
    <cellStyle name="入力 2 3 13 5" xfId="3216"/>
    <cellStyle name="入力 2 3 14" xfId="437"/>
    <cellStyle name="入力 2 3 15" xfId="407"/>
    <cellStyle name="入力 2 3 2" xfId="274"/>
    <cellStyle name="入力 2 3 2 10" xfId="1318"/>
    <cellStyle name="入力 2 3 2 11" xfId="1911"/>
    <cellStyle name="入力 2 3 2 12" xfId="316"/>
    <cellStyle name="入力 2 3 2 2" xfId="710"/>
    <cellStyle name="入力 2 3 2 2 2" xfId="1392"/>
    <cellStyle name="入力 2 3 2 2 3" xfId="1979"/>
    <cellStyle name="入力 2 3 2 2 4" xfId="2452"/>
    <cellStyle name="入力 2 3 2 2 5" xfId="2851"/>
    <cellStyle name="入力 2 3 2 3" xfId="766"/>
    <cellStyle name="入力 2 3 2 3 2" xfId="1448"/>
    <cellStyle name="入力 2 3 2 3 3" xfId="2035"/>
    <cellStyle name="入力 2 3 2 3 4" xfId="2507"/>
    <cellStyle name="入力 2 3 2 3 5" xfId="2907"/>
    <cellStyle name="入力 2 3 2 4" xfId="816"/>
    <cellStyle name="入力 2 3 2 4 2" xfId="1498"/>
    <cellStyle name="入力 2 3 2 4 3" xfId="2085"/>
    <cellStyle name="入力 2 3 2 4 4" xfId="2556"/>
    <cellStyle name="入力 2 3 2 4 5" xfId="2957"/>
    <cellStyle name="入力 2 3 2 5" xfId="867"/>
    <cellStyle name="入力 2 3 2 5 2" xfId="1549"/>
    <cellStyle name="入力 2 3 2 5 3" xfId="2136"/>
    <cellStyle name="入力 2 3 2 5 4" xfId="2604"/>
    <cellStyle name="入力 2 3 2 5 5" xfId="3008"/>
    <cellStyle name="入力 2 3 2 6" xfId="904"/>
    <cellStyle name="入力 2 3 2 6 2" xfId="1586"/>
    <cellStyle name="入力 2 3 2 6 3" xfId="2173"/>
    <cellStyle name="入力 2 3 2 6 4" xfId="2628"/>
    <cellStyle name="入力 2 3 2 6 5" xfId="3045"/>
    <cellStyle name="入力 2 3 2 7" xfId="943"/>
    <cellStyle name="入力 2 3 2 7 2" xfId="1625"/>
    <cellStyle name="入力 2 3 2 7 3" xfId="2212"/>
    <cellStyle name="入力 2 3 2 7 4" xfId="2665"/>
    <cellStyle name="入力 2 3 2 7 5" xfId="3084"/>
    <cellStyle name="入力 2 3 2 8" xfId="982"/>
    <cellStyle name="入力 2 3 2 8 2" xfId="1664"/>
    <cellStyle name="入力 2 3 2 8 3" xfId="2251"/>
    <cellStyle name="入力 2 3 2 8 4" xfId="2703"/>
    <cellStyle name="入力 2 3 2 8 5" xfId="3123"/>
    <cellStyle name="入力 2 3 2 9" xfId="634"/>
    <cellStyle name="入力 2 3 3" xfId="591"/>
    <cellStyle name="入力 2 3 3 2" xfId="1279"/>
    <cellStyle name="入力 2 3 3 3" xfId="1877"/>
    <cellStyle name="入力 2 3 3 4" xfId="2381"/>
    <cellStyle name="入力 2 3 3 5" xfId="1307"/>
    <cellStyle name="入力 2 3 4" xfId="673"/>
    <cellStyle name="入力 2 3 4 2" xfId="1355"/>
    <cellStyle name="入力 2 3 4 3" xfId="1942"/>
    <cellStyle name="入力 2 3 4 4" xfId="2415"/>
    <cellStyle name="入力 2 3 4 5" xfId="2814"/>
    <cellStyle name="入力 2 3 5" xfId="548"/>
    <cellStyle name="入力 2 3 5 2" xfId="1238"/>
    <cellStyle name="入力 2 3 5 3" xfId="1836"/>
    <cellStyle name="入力 2 3 5 4" xfId="1121"/>
    <cellStyle name="入力 2 3 5 5" xfId="2562"/>
    <cellStyle name="入力 2 3 6" xfId="478"/>
    <cellStyle name="入力 2 3 6 2" xfId="1168"/>
    <cellStyle name="入力 2 3 6 3" xfId="381"/>
    <cellStyle name="入力 2 3 6 4" xfId="1304"/>
    <cellStyle name="入力 2 3 6 5" xfId="341"/>
    <cellStyle name="入力 2 3 7" xfId="471"/>
    <cellStyle name="入力 2 3 7 2" xfId="1161"/>
    <cellStyle name="入力 2 3 7 3" xfId="378"/>
    <cellStyle name="入力 2 3 7 4" xfId="1146"/>
    <cellStyle name="入力 2 3 7 5" xfId="339"/>
    <cellStyle name="入力 2 3 8" xfId="674"/>
    <cellStyle name="入力 2 3 8 2" xfId="1356"/>
    <cellStyle name="入力 2 3 8 3" xfId="1943"/>
    <cellStyle name="入力 2 3 8 4" xfId="2416"/>
    <cellStyle name="入力 2 3 8 5" xfId="2815"/>
    <cellStyle name="入力 2 3 9" xfId="527"/>
    <cellStyle name="入力 2 3 9 2" xfId="1217"/>
    <cellStyle name="入力 2 3 9 3" xfId="1815"/>
    <cellStyle name="入力 2 3 9 4" xfId="329"/>
    <cellStyle name="入力 2 3 9 5" xfId="1130"/>
    <cellStyle name="入力 2 4" xfId="247"/>
    <cellStyle name="入力 2 4 10" xfId="1295"/>
    <cellStyle name="入力 2 4 11" xfId="1891"/>
    <cellStyle name="入力 2 4 12" xfId="2502"/>
    <cellStyle name="入力 2 4 2" xfId="689"/>
    <cellStyle name="入力 2 4 2 2" xfId="1371"/>
    <cellStyle name="入力 2 4 2 3" xfId="1958"/>
    <cellStyle name="入力 2 4 2 4" xfId="2431"/>
    <cellStyle name="入力 2 4 2 5" xfId="2830"/>
    <cellStyle name="入力 2 4 3" xfId="750"/>
    <cellStyle name="入力 2 4 3 2" xfId="1432"/>
    <cellStyle name="入力 2 4 3 3" xfId="2019"/>
    <cellStyle name="入力 2 4 3 4" xfId="2491"/>
    <cellStyle name="入力 2 4 3 5" xfId="2891"/>
    <cellStyle name="入力 2 4 4" xfId="798"/>
    <cellStyle name="入力 2 4 4 2" xfId="1480"/>
    <cellStyle name="入力 2 4 4 3" xfId="2067"/>
    <cellStyle name="入力 2 4 4 4" xfId="2539"/>
    <cellStyle name="入力 2 4 4 5" xfId="2939"/>
    <cellStyle name="入力 2 4 5" xfId="852"/>
    <cellStyle name="入力 2 4 5 2" xfId="1534"/>
    <cellStyle name="入力 2 4 5 3" xfId="2121"/>
    <cellStyle name="入力 2 4 5 4" xfId="2590"/>
    <cellStyle name="入力 2 4 5 5" xfId="2993"/>
    <cellStyle name="入力 2 4 6" xfId="891"/>
    <cellStyle name="入力 2 4 6 2" xfId="1573"/>
    <cellStyle name="入力 2 4 6 3" xfId="2160"/>
    <cellStyle name="入力 2 4 6 4" xfId="2615"/>
    <cellStyle name="入力 2 4 6 5" xfId="3032"/>
    <cellStyle name="入力 2 4 7" xfId="931"/>
    <cellStyle name="入力 2 4 7 2" xfId="1613"/>
    <cellStyle name="入力 2 4 7 3" xfId="2200"/>
    <cellStyle name="入力 2 4 7 4" xfId="2654"/>
    <cellStyle name="入力 2 4 7 5" xfId="3072"/>
    <cellStyle name="入力 2 4 8" xfId="971"/>
    <cellStyle name="入力 2 4 8 2" xfId="1653"/>
    <cellStyle name="入力 2 4 8 3" xfId="2240"/>
    <cellStyle name="入力 2 4 8 4" xfId="2693"/>
    <cellStyle name="入力 2 4 8 5" xfId="3112"/>
    <cellStyle name="入力 2 4 9" xfId="608"/>
    <cellStyle name="入力 2 5" xfId="515"/>
    <cellStyle name="入力 2 5 2" xfId="1205"/>
    <cellStyle name="入力 2 5 3" xfId="1803"/>
    <cellStyle name="入力 2 5 4" xfId="1126"/>
    <cellStyle name="入力 2 5 5" xfId="2664"/>
    <cellStyle name="入力 2 6" xfId="520"/>
    <cellStyle name="入力 2 6 2" xfId="1210"/>
    <cellStyle name="入力 2 6 3" xfId="1808"/>
    <cellStyle name="入力 2 6 4" xfId="2334"/>
    <cellStyle name="入力 2 6 5" xfId="2451"/>
    <cellStyle name="入力 2 7" xfId="805"/>
    <cellStyle name="入力 2 7 2" xfId="1487"/>
    <cellStyle name="入力 2 7 3" xfId="2074"/>
    <cellStyle name="入力 2 7 4" xfId="2546"/>
    <cellStyle name="入力 2 7 5" xfId="2946"/>
    <cellStyle name="入力 2 8" xfId="1058"/>
    <cellStyle name="入力 2 8 2" xfId="1728"/>
    <cellStyle name="入力 2 8 3" xfId="2300"/>
    <cellStyle name="入力 2 8 4" xfId="2762"/>
    <cellStyle name="入力 2 8 5" xfId="3182"/>
    <cellStyle name="入力 2 9" xfId="1030"/>
    <cellStyle name="入力 2 9 2" xfId="1710"/>
    <cellStyle name="入力 2 9 3" xfId="2285"/>
    <cellStyle name="入力 2 9 4" xfId="2747"/>
    <cellStyle name="入力 2 9 5" xfId="3168"/>
    <cellStyle name="標準 10" xfId="116"/>
    <cellStyle name="標準 10 2" xfId="269"/>
    <cellStyle name="標準 10 4 3 5" xfId="199"/>
    <cellStyle name="標準 11" xfId="117"/>
    <cellStyle name="標準 11 2" xfId="178"/>
    <cellStyle name="標準 12" xfId="146"/>
    <cellStyle name="標準 12 2" xfId="192"/>
    <cellStyle name="標準 12 3" xfId="1037"/>
    <cellStyle name="標準 13" xfId="147"/>
    <cellStyle name="標準 13 2" xfId="193"/>
    <cellStyle name="標準 14" xfId="148"/>
    <cellStyle name="標準 15" xfId="157"/>
    <cellStyle name="標準 15 10" xfId="392"/>
    <cellStyle name="標準 15 11" xfId="3258"/>
    <cellStyle name="標準 15 2" xfId="198"/>
    <cellStyle name="標準 15 2 2" xfId="258"/>
    <cellStyle name="標準 15 2 2 2" xfId="619"/>
    <cellStyle name="標準 15 2 3" xfId="222"/>
    <cellStyle name="標準 15 2 3 2" xfId="583"/>
    <cellStyle name="標準 15 2 4" xfId="1048"/>
    <cellStyle name="標準 15 2 5" xfId="422"/>
    <cellStyle name="標準 15 2 6" xfId="3277"/>
    <cellStyle name="標準 15 3" xfId="232"/>
    <cellStyle name="標準 15 3 2" xfId="281"/>
    <cellStyle name="標準 15 3 2 2" xfId="641"/>
    <cellStyle name="標準 15 3 3" xfId="593"/>
    <cellStyle name="標準 15 3 4" xfId="444"/>
    <cellStyle name="標準 15 4" xfId="294"/>
    <cellStyle name="標準 15 4 2" xfId="654"/>
    <cellStyle name="標準 15 4 3" xfId="457"/>
    <cellStyle name="標準 15 5" xfId="249"/>
    <cellStyle name="標準 15 5 2" xfId="610"/>
    <cellStyle name="標準 15 5 3" xfId="467"/>
    <cellStyle name="標準 15 6" xfId="211"/>
    <cellStyle name="標準 15 6 2" xfId="558"/>
    <cellStyle name="標準 15 7" xfId="1028"/>
    <cellStyle name="標準 15 8" xfId="1097"/>
    <cellStyle name="標準 15 9" xfId="1101"/>
    <cellStyle name="標準 16" xfId="1035"/>
    <cellStyle name="標準 16 2" xfId="1054"/>
    <cellStyle name="標準 16 3" xfId="3279"/>
    <cellStyle name="標準 17" xfId="1095"/>
    <cellStyle name="標準 18" xfId="1096"/>
    <cellStyle name="標準 19" xfId="197"/>
    <cellStyle name="標準 2" xfId="1"/>
    <cellStyle name="標準 2 2" xfId="118"/>
    <cellStyle name="標準 2 2 2" xfId="119"/>
    <cellStyle name="標準 2 2 2 2" xfId="180"/>
    <cellStyle name="標準 2 2 2 2 2" xfId="3298"/>
    <cellStyle name="標準 2 2 3" xfId="155"/>
    <cellStyle name="標準 2 2 4" xfId="179"/>
    <cellStyle name="標準 2 3" xfId="120"/>
    <cellStyle name="標準 2 3 2" xfId="121"/>
    <cellStyle name="標準 2 3 2 2" xfId="182"/>
    <cellStyle name="標準 2 3 3" xfId="181"/>
    <cellStyle name="標準 2 3 4" xfId="265"/>
    <cellStyle name="標準 2 4" xfId="122"/>
    <cellStyle name="標準 2 4 2" xfId="183"/>
    <cellStyle name="標準 2 4 7" xfId="156"/>
    <cellStyle name="標準 2 5" xfId="149"/>
    <cellStyle name="標準 2_20111220_要件定義工程_打合せ日程(参照)_20111220235930" xfId="259"/>
    <cellStyle name="標準 20" xfId="1098"/>
    <cellStyle name="標準 26" xfId="1056"/>
    <cellStyle name="標準 3" xfId="123"/>
    <cellStyle name="標準 3 2" xfId="124"/>
    <cellStyle name="標準 3 2 2 3" xfId="153"/>
    <cellStyle name="標準 3 3" xfId="125"/>
    <cellStyle name="標準 3 3 2" xfId="184"/>
    <cellStyle name="標準 3 4" xfId="151"/>
    <cellStyle name="標準 3 4 10" xfId="3257"/>
    <cellStyle name="標準 3 4 2" xfId="194"/>
    <cellStyle name="標準 3 4 2 2" xfId="241"/>
    <cellStyle name="標準 3 4 2 2 2" xfId="290"/>
    <cellStyle name="標準 3 4 2 2 2 2" xfId="650"/>
    <cellStyle name="標準 3 4 2 2 3" xfId="602"/>
    <cellStyle name="標準 3 4 2 2 4" xfId="1051"/>
    <cellStyle name="標準 3 4 2 2 5" xfId="453"/>
    <cellStyle name="標準 3 4 2 3" xfId="301"/>
    <cellStyle name="標準 3 4 2 3 2" xfId="661"/>
    <cellStyle name="標準 3 4 2 3 3" xfId="464"/>
    <cellStyle name="標準 3 4 2 4" xfId="256"/>
    <cellStyle name="標準 3 4 2 4 2" xfId="617"/>
    <cellStyle name="標準 3 4 2 4 3" xfId="470"/>
    <cellStyle name="標準 3 4 2 5" xfId="220"/>
    <cellStyle name="標準 3 4 2 5 2" xfId="579"/>
    <cellStyle name="標準 3 4 2 6" xfId="1033"/>
    <cellStyle name="標準 3 4 2 7" xfId="1108"/>
    <cellStyle name="標準 3 4 2 8" xfId="418"/>
    <cellStyle name="標準 3 4 2 9" xfId="3274"/>
    <cellStyle name="標準 3 4 3" xfId="231"/>
    <cellStyle name="標準 3 4 3 2" xfId="280"/>
    <cellStyle name="標準 3 4 3 2 2" xfId="640"/>
    <cellStyle name="標準 3 4 3 3" xfId="592"/>
    <cellStyle name="標準 3 4 3 4" xfId="1047"/>
    <cellStyle name="標準 3 4 3 5" xfId="443"/>
    <cellStyle name="標準 3 4 4" xfId="293"/>
    <cellStyle name="標準 3 4 4 2" xfId="653"/>
    <cellStyle name="標準 3 4 4 3" xfId="456"/>
    <cellStyle name="標準 3 4 5" xfId="248"/>
    <cellStyle name="標準 3 4 5 2" xfId="609"/>
    <cellStyle name="標準 3 4 5 3" xfId="466"/>
    <cellStyle name="標準 3 4 6" xfId="210"/>
    <cellStyle name="標準 3 4 6 2" xfId="554"/>
    <cellStyle name="標準 3 4 7" xfId="1027"/>
    <cellStyle name="標準 3 4 8" xfId="1100"/>
    <cellStyle name="標準 3 4 9" xfId="388"/>
    <cellStyle name="標準 3 5" xfId="260"/>
    <cellStyle name="標準 3 5 2" xfId="621"/>
    <cellStyle name="標準 3 5 3" xfId="423"/>
    <cellStyle name="標準 4" xfId="126"/>
    <cellStyle name="標準 4 2" xfId="127"/>
    <cellStyle name="標準 4 2 2" xfId="267"/>
    <cellStyle name="標準 4 2 2 2" xfId="627"/>
    <cellStyle name="標準 4 2 2 3" xfId="431"/>
    <cellStyle name="標準 4 3" xfId="128"/>
    <cellStyle name="標準 4 4" xfId="262"/>
    <cellStyle name="標準 4 4 2" xfId="622"/>
    <cellStyle name="標準 4 4 3" xfId="425"/>
    <cellStyle name="標準 4_マッピング定義共通" xfId="129"/>
    <cellStyle name="標準 5" xfId="130"/>
    <cellStyle name="標準 5 2" xfId="196"/>
    <cellStyle name="標準 5 2 2" xfId="263"/>
    <cellStyle name="標準 5 2 3" xfId="257"/>
    <cellStyle name="標準 5 2 3 2" xfId="618"/>
    <cellStyle name="標準 5 2 4" xfId="221"/>
    <cellStyle name="標準 5 2 4 2" xfId="581"/>
    <cellStyle name="標準 5 2 5" xfId="420"/>
    <cellStyle name="標準 5 2 6" xfId="3275"/>
    <cellStyle name="標準 5 3" xfId="200"/>
    <cellStyle name="標準 5 3 2" xfId="623"/>
    <cellStyle name="標準 5 3 3" xfId="426"/>
    <cellStyle name="標準 5 3 4" xfId="3280"/>
    <cellStyle name="標準 6" xfId="131"/>
    <cellStyle name="標準 6 2" xfId="132"/>
    <cellStyle name="標準 6 3" xfId="133"/>
    <cellStyle name="標準 6 4" xfId="268"/>
    <cellStyle name="標準 6 4 2" xfId="628"/>
    <cellStyle name="標準 6 4 3" xfId="1111"/>
    <cellStyle name="標準 6 4 4" xfId="432"/>
    <cellStyle name="標準 7" xfId="134"/>
    <cellStyle name="標準 7 2" xfId="135"/>
    <cellStyle name="標準 7 2 2" xfId="136"/>
    <cellStyle name="標準 7 2 2 2" xfId="187"/>
    <cellStyle name="標準 7 2 3" xfId="186"/>
    <cellStyle name="標準 7 3" xfId="137"/>
    <cellStyle name="標準 7 3 2" xfId="138"/>
    <cellStyle name="標準 7 3 2 2" xfId="189"/>
    <cellStyle name="標準 7 3 3" xfId="188"/>
    <cellStyle name="標準 7 4" xfId="139"/>
    <cellStyle name="標準 7 4 2" xfId="190"/>
    <cellStyle name="標準 7 5" xfId="185"/>
    <cellStyle name="標準 7 6" xfId="310"/>
    <cellStyle name="標準 7 6 2" xfId="1052"/>
    <cellStyle name="標準 7 6 3" xfId="1109"/>
    <cellStyle name="標準 7 6 4" xfId="1004"/>
    <cellStyle name="標準 7 7" xfId="311"/>
    <cellStyle name="標準 7 7 2" xfId="1053"/>
    <cellStyle name="標準 7 7 3" xfId="1110"/>
    <cellStyle name="標準 7 7 4" xfId="1034"/>
    <cellStyle name="標準 7_マッピング定義共通" xfId="140"/>
    <cellStyle name="標準 71" xfId="152"/>
    <cellStyle name="標準 8" xfId="141"/>
    <cellStyle name="標準 8 2" xfId="142"/>
    <cellStyle name="標準 8 3" xfId="150"/>
    <cellStyle name="標準 8 4" xfId="312"/>
    <cellStyle name="標準 8 4 2" xfId="1112"/>
    <cellStyle name="標準 9" xfId="143"/>
    <cellStyle name="標準 9 2" xfId="191"/>
    <cellStyle name="標準 9 3" xfId="313"/>
    <cellStyle name="標準 9 3 2" xfId="1055"/>
    <cellStyle name="標準 9 3 3" xfId="1113"/>
    <cellStyle name="標準 9 3 4" xfId="1036"/>
    <cellStyle name="標準 9 4" xfId="3226"/>
    <cellStyle name="標準_Sheet1" xfId="154"/>
    <cellStyle name="未定義" xfId="144"/>
    <cellStyle name="良い 2" xfId="145"/>
  </cellStyles>
  <dxfs count="96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95"/>
      <tableStyleElement type="headerRow" dxfId="9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565726</xdr:colOff>
      <xdr:row>1</xdr:row>
      <xdr:rowOff>0</xdr:rowOff>
    </xdr:from>
    <xdr:to>
      <xdr:col>11</xdr:col>
      <xdr:colOff>427182</xdr:colOff>
      <xdr:row>3</xdr:row>
      <xdr:rowOff>76325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DB4EDB0B-62E8-41BF-80B0-4CCD280B78D9}"/>
            </a:ext>
          </a:extLst>
        </xdr:cNvPr>
        <xdr:cNvSpPr/>
      </xdr:nvSpPr>
      <xdr:spPr>
        <a:xfrm>
          <a:off x="6976051" y="200025"/>
          <a:ext cx="2909456" cy="609725"/>
        </a:xfrm>
        <a:prstGeom prst="wedgeRectCallout">
          <a:avLst>
            <a:gd name="adj1" fmla="val 5782"/>
            <a:gd name="adj2" fmla="val 77576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BTP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⇔対抗先で桁数が変更になる項目は赤字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うち桁数が増える項目は黄色塗</a:t>
          </a:r>
        </a:p>
      </xdr:txBody>
    </xdr:sp>
    <xdr:clientData/>
  </xdr:twoCellAnchor>
  <xdr:twoCellAnchor>
    <xdr:from>
      <xdr:col>33</xdr:col>
      <xdr:colOff>2002675</xdr:colOff>
      <xdr:row>7</xdr:row>
      <xdr:rowOff>46645</xdr:rowOff>
    </xdr:from>
    <xdr:to>
      <xdr:col>36</xdr:col>
      <xdr:colOff>512619</xdr:colOff>
      <xdr:row>8</xdr:row>
      <xdr:rowOff>263237</xdr:rowOff>
    </xdr:to>
    <xdr:sp macro="" textlink="">
      <xdr:nvSpPr>
        <xdr:cNvPr id="3" name="吹き出し: 角を丸めた四角形 2">
          <a:extLst>
            <a:ext uri="{FF2B5EF4-FFF2-40B4-BE49-F238E27FC236}">
              <a16:creationId xmlns:a16="http://schemas.microsoft.com/office/drawing/2014/main" id="{58EC5DF4-8898-4C7D-AD46-067E8E181668}"/>
            </a:ext>
          </a:extLst>
        </xdr:cNvPr>
        <xdr:cNvSpPr/>
      </xdr:nvSpPr>
      <xdr:spPr>
        <a:xfrm>
          <a:off x="31749250" y="2056420"/>
          <a:ext cx="2539019" cy="1016692"/>
        </a:xfrm>
        <a:prstGeom prst="wedgeRoundRectCallout">
          <a:avLst>
            <a:gd name="adj1" fmla="val -66737"/>
            <a:gd name="adj2" fmla="val -20507"/>
            <a:gd name="adj3" fmla="val 16667"/>
          </a:avLst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IF</a:t>
          </a:r>
          <a:r>
            <a:rPr kumimoji="1" lang="ja-JP" altLang="en-US" sz="1100">
              <a:solidFill>
                <a:srgbClr val="FF0000"/>
              </a:solidFill>
            </a:rPr>
            <a:t>事務局：山根追記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コード変換表の対象物、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キー項目、項目名の記載なし</a:t>
          </a:r>
        </a:p>
      </xdr:txBody>
    </xdr:sp>
    <xdr:clientData/>
  </xdr:twoCellAnchor>
  <xdr:twoCellAnchor>
    <xdr:from>
      <xdr:col>33</xdr:col>
      <xdr:colOff>1828800</xdr:colOff>
      <xdr:row>14</xdr:row>
      <xdr:rowOff>555451</xdr:rowOff>
    </xdr:from>
    <xdr:to>
      <xdr:col>36</xdr:col>
      <xdr:colOff>337474</xdr:colOff>
      <xdr:row>16</xdr:row>
      <xdr:rowOff>395431</xdr:rowOff>
    </xdr:to>
    <xdr:sp macro="" textlink="">
      <xdr:nvSpPr>
        <xdr:cNvPr id="4" name="吹き出し: 角を丸めた四角形 8">
          <a:extLst>
            <a:ext uri="{FF2B5EF4-FFF2-40B4-BE49-F238E27FC236}">
              <a16:creationId xmlns:a16="http://schemas.microsoft.com/office/drawing/2014/main" id="{F74189E6-1098-4A0A-82B8-EE24F83DCC90}"/>
            </a:ext>
          </a:extLst>
        </xdr:cNvPr>
        <xdr:cNvSpPr/>
      </xdr:nvSpPr>
      <xdr:spPr>
        <a:xfrm>
          <a:off x="31575375" y="8766001"/>
          <a:ext cx="2537749" cy="1040130"/>
        </a:xfrm>
        <a:prstGeom prst="wedgeRoundRectCallout">
          <a:avLst>
            <a:gd name="adj1" fmla="val -61253"/>
            <a:gd name="adj2" fmla="val 49046"/>
            <a:gd name="adj3" fmla="val 16667"/>
          </a:avLst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IF</a:t>
          </a:r>
          <a:r>
            <a:rPr kumimoji="1" lang="ja-JP" altLang="en-US" sz="1100">
              <a:solidFill>
                <a:srgbClr val="FF0000"/>
              </a:solidFill>
            </a:rPr>
            <a:t>事務局：山根追記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コード変換表の対象物、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キー項目、項目名の記載なし</a:t>
          </a:r>
        </a:p>
      </xdr:txBody>
    </xdr:sp>
    <xdr:clientData/>
  </xdr:twoCellAnchor>
  <xdr:twoCellAnchor>
    <xdr:from>
      <xdr:col>33</xdr:col>
      <xdr:colOff>2050473</xdr:colOff>
      <xdr:row>20</xdr:row>
      <xdr:rowOff>609600</xdr:rowOff>
    </xdr:from>
    <xdr:to>
      <xdr:col>36</xdr:col>
      <xdr:colOff>562957</xdr:colOff>
      <xdr:row>20</xdr:row>
      <xdr:rowOff>1583112</xdr:rowOff>
    </xdr:to>
    <xdr:sp macro="" textlink="">
      <xdr:nvSpPr>
        <xdr:cNvPr id="5" name="吹き出し: 角を丸めた四角形 9">
          <a:extLst>
            <a:ext uri="{FF2B5EF4-FFF2-40B4-BE49-F238E27FC236}">
              <a16:creationId xmlns:a16="http://schemas.microsoft.com/office/drawing/2014/main" id="{C20ED680-BADB-43ED-B397-409448A0990D}"/>
            </a:ext>
          </a:extLst>
        </xdr:cNvPr>
        <xdr:cNvSpPr/>
      </xdr:nvSpPr>
      <xdr:spPr>
        <a:xfrm>
          <a:off x="31797048" y="14820900"/>
          <a:ext cx="2541559" cy="973512"/>
        </a:xfrm>
        <a:prstGeom prst="wedgeRoundRectCallout">
          <a:avLst>
            <a:gd name="adj1" fmla="val -66737"/>
            <a:gd name="adj2" fmla="val -20507"/>
            <a:gd name="adj3" fmla="val 16667"/>
          </a:avLst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IF</a:t>
          </a:r>
          <a:r>
            <a:rPr kumimoji="1" lang="ja-JP" altLang="en-US" sz="1100">
              <a:solidFill>
                <a:srgbClr val="FF0000"/>
              </a:solidFill>
            </a:rPr>
            <a:t>事務局：山根追記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コード変換表の対象物、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キー項目、項目名の記載なし</a:t>
          </a:r>
        </a:p>
      </xdr:txBody>
    </xdr:sp>
    <xdr:clientData/>
  </xdr:twoCellAnchor>
  <xdr:twoCellAnchor>
    <xdr:from>
      <xdr:col>33</xdr:col>
      <xdr:colOff>2160040</xdr:colOff>
      <xdr:row>21</xdr:row>
      <xdr:rowOff>264507</xdr:rowOff>
    </xdr:from>
    <xdr:to>
      <xdr:col>36</xdr:col>
      <xdr:colOff>672524</xdr:colOff>
      <xdr:row>21</xdr:row>
      <xdr:rowOff>1234209</xdr:rowOff>
    </xdr:to>
    <xdr:sp macro="" textlink="">
      <xdr:nvSpPr>
        <xdr:cNvPr id="6" name="吹き出し: 角を丸めた四角形 10">
          <a:extLst>
            <a:ext uri="{FF2B5EF4-FFF2-40B4-BE49-F238E27FC236}">
              <a16:creationId xmlns:a16="http://schemas.microsoft.com/office/drawing/2014/main" id="{010D15A5-FA60-4FCC-9F22-BD975AE1D8D5}"/>
            </a:ext>
          </a:extLst>
        </xdr:cNvPr>
        <xdr:cNvSpPr/>
      </xdr:nvSpPr>
      <xdr:spPr>
        <a:xfrm>
          <a:off x="31906615" y="16476057"/>
          <a:ext cx="2541559" cy="969702"/>
        </a:xfrm>
        <a:prstGeom prst="wedgeRoundRectCallout">
          <a:avLst>
            <a:gd name="adj1" fmla="val -66737"/>
            <a:gd name="adj2" fmla="val -20507"/>
            <a:gd name="adj3" fmla="val 16667"/>
          </a:avLst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IF</a:t>
          </a:r>
          <a:r>
            <a:rPr kumimoji="1" lang="ja-JP" altLang="en-US" sz="1100">
              <a:solidFill>
                <a:srgbClr val="FF0000"/>
              </a:solidFill>
            </a:rPr>
            <a:t>事務局：山根追記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コード変換表の対象物、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キー項目、項目名の記載なし</a:t>
          </a:r>
        </a:p>
      </xdr:txBody>
    </xdr:sp>
    <xdr:clientData/>
  </xdr:twoCellAnchor>
  <xdr:twoCellAnchor>
    <xdr:from>
      <xdr:col>33</xdr:col>
      <xdr:colOff>2160040</xdr:colOff>
      <xdr:row>21</xdr:row>
      <xdr:rowOff>264507</xdr:rowOff>
    </xdr:from>
    <xdr:to>
      <xdr:col>36</xdr:col>
      <xdr:colOff>669984</xdr:colOff>
      <xdr:row>21</xdr:row>
      <xdr:rowOff>1240559</xdr:rowOff>
    </xdr:to>
    <xdr:sp macro="" textlink="">
      <xdr:nvSpPr>
        <xdr:cNvPr id="7" name="吹き出し: 角を丸めた四角形 11">
          <a:extLst>
            <a:ext uri="{FF2B5EF4-FFF2-40B4-BE49-F238E27FC236}">
              <a16:creationId xmlns:a16="http://schemas.microsoft.com/office/drawing/2014/main" id="{DD632F63-CA98-4B68-AC74-221DA75D4995}"/>
            </a:ext>
          </a:extLst>
        </xdr:cNvPr>
        <xdr:cNvSpPr/>
      </xdr:nvSpPr>
      <xdr:spPr>
        <a:xfrm>
          <a:off x="31906615" y="16476057"/>
          <a:ext cx="2539019" cy="976052"/>
        </a:xfrm>
        <a:prstGeom prst="wedgeRoundRectCallout">
          <a:avLst>
            <a:gd name="adj1" fmla="val -66737"/>
            <a:gd name="adj2" fmla="val -20507"/>
            <a:gd name="adj3" fmla="val 16667"/>
          </a:avLst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IF</a:t>
          </a:r>
          <a:r>
            <a:rPr kumimoji="1" lang="ja-JP" altLang="en-US" sz="1100">
              <a:solidFill>
                <a:srgbClr val="FF0000"/>
              </a:solidFill>
            </a:rPr>
            <a:t>事務局：山根追記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コード変換表の対象物、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キー項目、項目名の記載なし</a:t>
          </a:r>
        </a:p>
      </xdr:txBody>
    </xdr:sp>
    <xdr:clientData/>
  </xdr:twoCellAnchor>
  <xdr:twoCellAnchor>
    <xdr:from>
      <xdr:col>33</xdr:col>
      <xdr:colOff>2160040</xdr:colOff>
      <xdr:row>21</xdr:row>
      <xdr:rowOff>264507</xdr:rowOff>
    </xdr:from>
    <xdr:to>
      <xdr:col>36</xdr:col>
      <xdr:colOff>669984</xdr:colOff>
      <xdr:row>21</xdr:row>
      <xdr:rowOff>1240559</xdr:rowOff>
    </xdr:to>
    <xdr:sp macro="" textlink="">
      <xdr:nvSpPr>
        <xdr:cNvPr id="8" name="吹き出し: 角を丸めた四角形 12">
          <a:extLst>
            <a:ext uri="{FF2B5EF4-FFF2-40B4-BE49-F238E27FC236}">
              <a16:creationId xmlns:a16="http://schemas.microsoft.com/office/drawing/2014/main" id="{FDA2A5D1-D5E2-4202-886F-D4C5A65B139F}"/>
            </a:ext>
          </a:extLst>
        </xdr:cNvPr>
        <xdr:cNvSpPr/>
      </xdr:nvSpPr>
      <xdr:spPr>
        <a:xfrm>
          <a:off x="31906615" y="16476057"/>
          <a:ext cx="2539019" cy="976052"/>
        </a:xfrm>
        <a:prstGeom prst="wedgeRoundRectCallout">
          <a:avLst>
            <a:gd name="adj1" fmla="val -66737"/>
            <a:gd name="adj2" fmla="val -20507"/>
            <a:gd name="adj3" fmla="val 16667"/>
          </a:avLst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IF</a:t>
          </a:r>
          <a:r>
            <a:rPr kumimoji="1" lang="ja-JP" altLang="en-US" sz="1100">
              <a:solidFill>
                <a:srgbClr val="FF0000"/>
              </a:solidFill>
            </a:rPr>
            <a:t>事務局：山根追記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コード変換表の対象物、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キー項目、項目名の記載なし</a:t>
          </a:r>
        </a:p>
      </xdr:txBody>
    </xdr:sp>
    <xdr:clientData/>
  </xdr:twoCellAnchor>
  <xdr:twoCellAnchor>
    <xdr:from>
      <xdr:col>34</xdr:col>
      <xdr:colOff>164985</xdr:colOff>
      <xdr:row>22</xdr:row>
      <xdr:rowOff>102062</xdr:rowOff>
    </xdr:from>
    <xdr:to>
      <xdr:col>37</xdr:col>
      <xdr:colOff>832428</xdr:colOff>
      <xdr:row>23</xdr:row>
      <xdr:rowOff>83127</xdr:rowOff>
    </xdr:to>
    <xdr:sp macro="" textlink="">
      <xdr:nvSpPr>
        <xdr:cNvPr id="9" name="吹き出し: 角を丸めた四角形 13">
          <a:extLst>
            <a:ext uri="{FF2B5EF4-FFF2-40B4-BE49-F238E27FC236}">
              <a16:creationId xmlns:a16="http://schemas.microsoft.com/office/drawing/2014/main" id="{C9CF77B6-673E-4AA7-9B3D-CC3AE511E77A}"/>
            </a:ext>
          </a:extLst>
        </xdr:cNvPr>
        <xdr:cNvSpPr/>
      </xdr:nvSpPr>
      <xdr:spPr>
        <a:xfrm>
          <a:off x="32854785" y="17713787"/>
          <a:ext cx="2524818" cy="781165"/>
        </a:xfrm>
        <a:prstGeom prst="wedgeRoundRectCallout">
          <a:avLst>
            <a:gd name="adj1" fmla="val -66737"/>
            <a:gd name="adj2" fmla="val -20507"/>
            <a:gd name="adj3" fmla="val 16667"/>
          </a:avLst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IF</a:t>
          </a:r>
          <a:r>
            <a:rPr kumimoji="1" lang="ja-JP" altLang="en-US" sz="1100">
              <a:solidFill>
                <a:srgbClr val="FF0000"/>
              </a:solidFill>
            </a:rPr>
            <a:t>事務局：山根追記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コード変換表の対象物の記載なし</a:t>
          </a:r>
        </a:p>
      </xdr:txBody>
    </xdr:sp>
    <xdr:clientData/>
  </xdr:twoCellAnchor>
  <xdr:twoCellAnchor>
    <xdr:from>
      <xdr:col>34</xdr:col>
      <xdr:colOff>98252</xdr:colOff>
      <xdr:row>27</xdr:row>
      <xdr:rowOff>71813</xdr:rowOff>
    </xdr:from>
    <xdr:to>
      <xdr:col>37</xdr:col>
      <xdr:colOff>756805</xdr:colOff>
      <xdr:row>28</xdr:row>
      <xdr:rowOff>61768</xdr:rowOff>
    </xdr:to>
    <xdr:sp macro="" textlink="">
      <xdr:nvSpPr>
        <xdr:cNvPr id="10" name="吹き出し: 角を丸めた四角形 14">
          <a:extLst>
            <a:ext uri="{FF2B5EF4-FFF2-40B4-BE49-F238E27FC236}">
              <a16:creationId xmlns:a16="http://schemas.microsoft.com/office/drawing/2014/main" id="{3E667D24-56A4-4EC1-AF8B-AEA6304EAB51}"/>
            </a:ext>
          </a:extLst>
        </xdr:cNvPr>
        <xdr:cNvSpPr/>
      </xdr:nvSpPr>
      <xdr:spPr>
        <a:xfrm>
          <a:off x="32788052" y="21684038"/>
          <a:ext cx="2515928" cy="790055"/>
        </a:xfrm>
        <a:prstGeom prst="wedgeRoundRectCallout">
          <a:avLst>
            <a:gd name="adj1" fmla="val -66737"/>
            <a:gd name="adj2" fmla="val -20507"/>
            <a:gd name="adj3" fmla="val 16667"/>
          </a:avLst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IF</a:t>
          </a:r>
          <a:r>
            <a:rPr kumimoji="1" lang="ja-JP" altLang="en-US" sz="1100">
              <a:solidFill>
                <a:srgbClr val="FF0000"/>
              </a:solidFill>
            </a:rPr>
            <a:t>事務局：山根追記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コード変換表の対象物の記載なし</a:t>
          </a:r>
        </a:p>
      </xdr:txBody>
    </xdr:sp>
    <xdr:clientData/>
  </xdr:twoCellAnchor>
  <xdr:twoCellAnchor>
    <xdr:from>
      <xdr:col>34</xdr:col>
      <xdr:colOff>83127</xdr:colOff>
      <xdr:row>31</xdr:row>
      <xdr:rowOff>41564</xdr:rowOff>
    </xdr:from>
    <xdr:to>
      <xdr:col>37</xdr:col>
      <xdr:colOff>744220</xdr:colOff>
      <xdr:row>32</xdr:row>
      <xdr:rowOff>23899</xdr:rowOff>
    </xdr:to>
    <xdr:sp macro="" textlink="">
      <xdr:nvSpPr>
        <xdr:cNvPr id="11" name="吹き出し: 角を丸めた四角形 15">
          <a:extLst>
            <a:ext uri="{FF2B5EF4-FFF2-40B4-BE49-F238E27FC236}">
              <a16:creationId xmlns:a16="http://schemas.microsoft.com/office/drawing/2014/main" id="{95AB6F5B-1340-40BF-9E9A-B8E9D62A53C7}"/>
            </a:ext>
          </a:extLst>
        </xdr:cNvPr>
        <xdr:cNvSpPr/>
      </xdr:nvSpPr>
      <xdr:spPr>
        <a:xfrm>
          <a:off x="32772927" y="24854189"/>
          <a:ext cx="2518468" cy="782435"/>
        </a:xfrm>
        <a:prstGeom prst="wedgeRoundRectCallout">
          <a:avLst>
            <a:gd name="adj1" fmla="val -66737"/>
            <a:gd name="adj2" fmla="val -20507"/>
            <a:gd name="adj3" fmla="val 16667"/>
          </a:avLst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IF</a:t>
          </a:r>
          <a:r>
            <a:rPr kumimoji="1" lang="ja-JP" altLang="en-US" sz="1100">
              <a:solidFill>
                <a:srgbClr val="FF0000"/>
              </a:solidFill>
            </a:rPr>
            <a:t>事務局：山根追記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コード変換表の対象物の記載なし</a:t>
          </a:r>
        </a:p>
      </xdr:txBody>
    </xdr:sp>
    <xdr:clientData/>
  </xdr:twoCellAnchor>
  <xdr:twoCellAnchor>
    <xdr:from>
      <xdr:col>34</xdr:col>
      <xdr:colOff>0</xdr:colOff>
      <xdr:row>34</xdr:row>
      <xdr:rowOff>27709</xdr:rowOff>
    </xdr:from>
    <xdr:to>
      <xdr:col>37</xdr:col>
      <xdr:colOff>673793</xdr:colOff>
      <xdr:row>35</xdr:row>
      <xdr:rowOff>243031</xdr:rowOff>
    </xdr:to>
    <xdr:sp macro="" textlink="">
      <xdr:nvSpPr>
        <xdr:cNvPr id="12" name="吹き出し: 角を丸めた四角形 16">
          <a:extLst>
            <a:ext uri="{FF2B5EF4-FFF2-40B4-BE49-F238E27FC236}">
              <a16:creationId xmlns:a16="http://schemas.microsoft.com/office/drawing/2014/main" id="{A329CC65-D7A1-4A2E-9809-EA1517899D2A}"/>
            </a:ext>
          </a:extLst>
        </xdr:cNvPr>
        <xdr:cNvSpPr/>
      </xdr:nvSpPr>
      <xdr:spPr>
        <a:xfrm>
          <a:off x="32689800" y="28840834"/>
          <a:ext cx="2531168" cy="1015422"/>
        </a:xfrm>
        <a:prstGeom prst="wedgeRoundRectCallout">
          <a:avLst>
            <a:gd name="adj1" fmla="val -66737"/>
            <a:gd name="adj2" fmla="val -20507"/>
            <a:gd name="adj3" fmla="val 16667"/>
          </a:avLst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IF</a:t>
          </a:r>
          <a:r>
            <a:rPr kumimoji="1" lang="ja-JP" altLang="en-US" sz="1100">
              <a:solidFill>
                <a:srgbClr val="FF0000"/>
              </a:solidFill>
            </a:rPr>
            <a:t>事務局：山根追記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コード変換表の対象物、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キー項目、項目名の記載なし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\151_ISA_AsteriaWrap\trunk\99_FromJP\10_&#12503;&#12525;&#12472;&#12455;&#12463;&#12488;&#36039;&#26448;\02.IFAgreement\03.&#30906;&#23450;\AP481_IF_Agreement_Outbound_E309_&#21463;&#27880;&#22238;&#31572;(EOS&#30330;&#27880;)_MM8070_v1.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"/>
      <sheetName val="更新履歴 "/>
      <sheetName val="機能概要"/>
      <sheetName val="マッピング定義"/>
      <sheetName val="データ連携仕様"/>
      <sheetName val="(参考)AsIsﾚｲｱｳﾄ"/>
      <sheetName val="Guideline"/>
      <sheetName val="List"/>
      <sheetName val="チェックリスト"/>
      <sheetName val="(例)データ連携仕様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>
        <row r="3">
          <cell r="B3" t="str">
            <v>X</v>
          </cell>
          <cell r="D3" t="str">
            <v>F：固定値</v>
          </cell>
          <cell r="H3" t="str">
            <v>文字型/Text</v>
          </cell>
          <cell r="L3" t="str">
            <v>10.起票</v>
          </cell>
        </row>
        <row r="4">
          <cell r="B4" t="str">
            <v>-</v>
          </cell>
          <cell r="D4" t="str">
            <v>T：テキスト操作</v>
          </cell>
          <cell r="H4" t="str">
            <v>数値型/Number</v>
          </cell>
          <cell r="L4" t="str">
            <v>20.対応中</v>
          </cell>
        </row>
        <row r="5">
          <cell r="D5" t="str">
            <v>C：コード・区分変換</v>
          </cell>
          <cell r="L5" t="str">
            <v>30.完了</v>
          </cell>
        </row>
        <row r="6">
          <cell r="D6" t="str">
            <v>O：その他</v>
          </cell>
          <cell r="L6" t="str">
            <v>40.保留</v>
          </cell>
        </row>
        <row r="7">
          <cell r="L7" t="str">
            <v>50.取り下げ</v>
          </cell>
        </row>
      </sheetData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F32"/>
  <sheetViews>
    <sheetView tabSelected="1" zoomScaleNormal="100" workbookViewId="0"/>
  </sheetViews>
  <sheetFormatPr defaultColWidth="3.5" defaultRowHeight="14.45" customHeight="1"/>
  <cols>
    <col min="1" max="16384" width="3.5" style="183"/>
  </cols>
  <sheetData>
    <row r="1" spans="1:58" ht="14.45" customHeight="1" thickTop="1">
      <c r="A1" s="180"/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2"/>
    </row>
    <row r="2" spans="1:58" ht="14.45" customHeight="1">
      <c r="A2" s="184"/>
      <c r="AY2" s="185"/>
    </row>
    <row r="3" spans="1:58" ht="14.45" customHeight="1">
      <c r="A3" s="184"/>
      <c r="C3" s="488" t="s">
        <v>14</v>
      </c>
      <c r="D3" s="488"/>
      <c r="E3" s="488"/>
      <c r="F3" s="488"/>
      <c r="G3" s="488"/>
      <c r="H3" s="488"/>
      <c r="I3" s="488"/>
      <c r="J3" s="488"/>
      <c r="K3" s="488"/>
      <c r="L3" s="488"/>
      <c r="M3" s="488"/>
      <c r="N3" s="488"/>
      <c r="O3" s="488"/>
      <c r="P3" s="488"/>
      <c r="Q3" s="488"/>
      <c r="R3" s="488"/>
      <c r="S3" s="488"/>
      <c r="T3" s="488"/>
      <c r="U3" s="488"/>
      <c r="V3" s="488"/>
      <c r="W3" s="488"/>
      <c r="X3" s="488"/>
      <c r="Y3" s="488"/>
      <c r="Z3" s="488"/>
      <c r="AA3" s="488"/>
      <c r="AB3" s="488"/>
      <c r="AC3" s="488"/>
      <c r="AD3" s="488"/>
      <c r="AE3" s="488"/>
      <c r="AF3" s="488"/>
      <c r="AG3" s="488"/>
      <c r="AH3" s="488"/>
      <c r="AI3" s="488"/>
      <c r="AJ3" s="488"/>
      <c r="AK3" s="488"/>
      <c r="AL3" s="488"/>
      <c r="AM3" s="488"/>
      <c r="AN3" s="488"/>
      <c r="AO3" s="488"/>
      <c r="AP3" s="488"/>
      <c r="AQ3" s="488"/>
      <c r="AR3" s="488"/>
      <c r="AS3" s="488"/>
      <c r="AT3" s="488"/>
      <c r="AU3" s="488"/>
      <c r="AV3" s="488"/>
      <c r="AW3" s="488"/>
      <c r="AX3" s="488"/>
      <c r="AY3" s="489"/>
    </row>
    <row r="4" spans="1:58" ht="14.45" customHeight="1">
      <c r="A4" s="184"/>
      <c r="C4" s="488"/>
      <c r="D4" s="488"/>
      <c r="E4" s="488"/>
      <c r="F4" s="488"/>
      <c r="G4" s="488"/>
      <c r="H4" s="488"/>
      <c r="I4" s="488"/>
      <c r="J4" s="488"/>
      <c r="K4" s="488"/>
      <c r="L4" s="488"/>
      <c r="M4" s="488"/>
      <c r="N4" s="488"/>
      <c r="O4" s="488"/>
      <c r="P4" s="488"/>
      <c r="Q4" s="488"/>
      <c r="R4" s="488"/>
      <c r="S4" s="488"/>
      <c r="T4" s="488"/>
      <c r="U4" s="488"/>
      <c r="V4" s="488"/>
      <c r="W4" s="488"/>
      <c r="X4" s="488"/>
      <c r="Y4" s="488"/>
      <c r="Z4" s="488"/>
      <c r="AA4" s="488"/>
      <c r="AB4" s="488"/>
      <c r="AC4" s="488"/>
      <c r="AD4" s="488"/>
      <c r="AE4" s="488"/>
      <c r="AF4" s="488"/>
      <c r="AG4" s="488"/>
      <c r="AH4" s="488"/>
      <c r="AI4" s="488"/>
      <c r="AJ4" s="488"/>
      <c r="AK4" s="488"/>
      <c r="AL4" s="488"/>
      <c r="AM4" s="488"/>
      <c r="AN4" s="488"/>
      <c r="AO4" s="488"/>
      <c r="AP4" s="488"/>
      <c r="AQ4" s="488"/>
      <c r="AR4" s="488"/>
      <c r="AS4" s="488"/>
      <c r="AT4" s="488"/>
      <c r="AU4" s="488"/>
      <c r="AV4" s="488"/>
      <c r="AW4" s="488"/>
      <c r="AX4" s="488"/>
      <c r="AY4" s="489"/>
    </row>
    <row r="5" spans="1:58" ht="14.45" customHeight="1">
      <c r="A5" s="184"/>
      <c r="AY5" s="185"/>
    </row>
    <row r="6" spans="1:58" ht="14.45" customHeight="1">
      <c r="A6" s="490" t="s">
        <v>15</v>
      </c>
      <c r="B6" s="491"/>
      <c r="C6" s="491"/>
      <c r="D6" s="491"/>
      <c r="E6" s="491"/>
      <c r="F6" s="491"/>
      <c r="G6" s="491"/>
      <c r="H6" s="491"/>
      <c r="I6" s="491"/>
      <c r="J6" s="491"/>
      <c r="K6" s="491"/>
      <c r="L6" s="491"/>
      <c r="M6" s="491"/>
      <c r="N6" s="491"/>
      <c r="O6" s="491"/>
      <c r="P6" s="491"/>
      <c r="Q6" s="491"/>
      <c r="R6" s="491"/>
      <c r="S6" s="491"/>
      <c r="T6" s="491"/>
      <c r="U6" s="491"/>
      <c r="V6" s="491"/>
      <c r="W6" s="491"/>
      <c r="X6" s="491"/>
      <c r="Y6" s="491"/>
      <c r="Z6" s="491"/>
      <c r="AA6" s="491"/>
      <c r="AB6" s="491"/>
      <c r="AC6" s="491"/>
      <c r="AD6" s="491"/>
      <c r="AE6" s="491"/>
      <c r="AF6" s="491"/>
      <c r="AG6" s="491"/>
      <c r="AH6" s="491"/>
      <c r="AI6" s="491"/>
      <c r="AJ6" s="491"/>
      <c r="AK6" s="491"/>
      <c r="AL6" s="491"/>
      <c r="AM6" s="491"/>
      <c r="AN6" s="491"/>
      <c r="AO6" s="491"/>
      <c r="AP6" s="491"/>
      <c r="AQ6" s="491"/>
      <c r="AR6" s="491"/>
      <c r="AS6" s="491"/>
      <c r="AT6" s="491"/>
      <c r="AU6" s="491"/>
      <c r="AV6" s="491"/>
      <c r="AW6" s="491"/>
      <c r="AX6" s="491"/>
      <c r="AY6" s="492"/>
    </row>
    <row r="7" spans="1:58" ht="14.45" customHeight="1">
      <c r="A7" s="490"/>
      <c r="B7" s="491"/>
      <c r="C7" s="491"/>
      <c r="D7" s="491"/>
      <c r="E7" s="491"/>
      <c r="F7" s="491"/>
      <c r="G7" s="491"/>
      <c r="H7" s="491"/>
      <c r="I7" s="491"/>
      <c r="J7" s="491"/>
      <c r="K7" s="491"/>
      <c r="L7" s="491"/>
      <c r="M7" s="491"/>
      <c r="N7" s="491"/>
      <c r="O7" s="491"/>
      <c r="P7" s="491"/>
      <c r="Q7" s="491"/>
      <c r="R7" s="491"/>
      <c r="S7" s="491"/>
      <c r="T7" s="491"/>
      <c r="U7" s="491"/>
      <c r="V7" s="491"/>
      <c r="W7" s="491"/>
      <c r="X7" s="491"/>
      <c r="Y7" s="491"/>
      <c r="Z7" s="491"/>
      <c r="AA7" s="491"/>
      <c r="AB7" s="491"/>
      <c r="AC7" s="491"/>
      <c r="AD7" s="491"/>
      <c r="AE7" s="491"/>
      <c r="AF7" s="491"/>
      <c r="AG7" s="491"/>
      <c r="AH7" s="491"/>
      <c r="AI7" s="491"/>
      <c r="AJ7" s="491"/>
      <c r="AK7" s="491"/>
      <c r="AL7" s="491"/>
      <c r="AM7" s="491"/>
      <c r="AN7" s="491"/>
      <c r="AO7" s="491"/>
      <c r="AP7" s="491"/>
      <c r="AQ7" s="491"/>
      <c r="AR7" s="491"/>
      <c r="AS7" s="491"/>
      <c r="AT7" s="491"/>
      <c r="AU7" s="491"/>
      <c r="AV7" s="491"/>
      <c r="AW7" s="491"/>
      <c r="AX7" s="491"/>
      <c r="AY7" s="492"/>
    </row>
    <row r="8" spans="1:58" ht="14.45" customHeight="1">
      <c r="A8" s="490"/>
      <c r="B8" s="491"/>
      <c r="C8" s="491"/>
      <c r="D8" s="491"/>
      <c r="E8" s="491"/>
      <c r="F8" s="491"/>
      <c r="G8" s="491"/>
      <c r="H8" s="491"/>
      <c r="I8" s="491"/>
      <c r="J8" s="491"/>
      <c r="K8" s="491"/>
      <c r="L8" s="491"/>
      <c r="M8" s="491"/>
      <c r="N8" s="491"/>
      <c r="O8" s="491"/>
      <c r="P8" s="491"/>
      <c r="Q8" s="491"/>
      <c r="R8" s="491"/>
      <c r="S8" s="491"/>
      <c r="T8" s="491"/>
      <c r="U8" s="491"/>
      <c r="V8" s="491"/>
      <c r="W8" s="491"/>
      <c r="X8" s="491"/>
      <c r="Y8" s="491"/>
      <c r="Z8" s="491"/>
      <c r="AA8" s="491"/>
      <c r="AB8" s="491"/>
      <c r="AC8" s="491"/>
      <c r="AD8" s="491"/>
      <c r="AE8" s="491"/>
      <c r="AF8" s="491"/>
      <c r="AG8" s="491"/>
      <c r="AH8" s="491"/>
      <c r="AI8" s="491"/>
      <c r="AJ8" s="491"/>
      <c r="AK8" s="491"/>
      <c r="AL8" s="491"/>
      <c r="AM8" s="491"/>
      <c r="AN8" s="491"/>
      <c r="AO8" s="491"/>
      <c r="AP8" s="491"/>
      <c r="AQ8" s="491"/>
      <c r="AR8" s="491"/>
      <c r="AS8" s="491"/>
      <c r="AT8" s="491"/>
      <c r="AU8" s="491"/>
      <c r="AV8" s="491"/>
      <c r="AW8" s="491"/>
      <c r="AX8" s="491"/>
      <c r="AY8" s="492"/>
      <c r="BF8" s="186"/>
    </row>
    <row r="9" spans="1:58" ht="14.45" customHeight="1">
      <c r="A9" s="490"/>
      <c r="B9" s="491"/>
      <c r="C9" s="491"/>
      <c r="D9" s="491"/>
      <c r="E9" s="491"/>
      <c r="F9" s="491"/>
      <c r="G9" s="491"/>
      <c r="H9" s="491"/>
      <c r="I9" s="491"/>
      <c r="J9" s="491"/>
      <c r="K9" s="491"/>
      <c r="L9" s="491"/>
      <c r="M9" s="491"/>
      <c r="N9" s="491"/>
      <c r="O9" s="491"/>
      <c r="P9" s="491"/>
      <c r="Q9" s="491"/>
      <c r="R9" s="491"/>
      <c r="S9" s="491"/>
      <c r="T9" s="491"/>
      <c r="U9" s="491"/>
      <c r="V9" s="491"/>
      <c r="W9" s="491"/>
      <c r="X9" s="491"/>
      <c r="Y9" s="491"/>
      <c r="Z9" s="491"/>
      <c r="AA9" s="491"/>
      <c r="AB9" s="491"/>
      <c r="AC9" s="491"/>
      <c r="AD9" s="491"/>
      <c r="AE9" s="491"/>
      <c r="AF9" s="491"/>
      <c r="AG9" s="491"/>
      <c r="AH9" s="491"/>
      <c r="AI9" s="491"/>
      <c r="AJ9" s="491"/>
      <c r="AK9" s="491"/>
      <c r="AL9" s="491"/>
      <c r="AM9" s="491"/>
      <c r="AN9" s="491"/>
      <c r="AO9" s="491"/>
      <c r="AP9" s="491"/>
      <c r="AQ9" s="491"/>
      <c r="AR9" s="491"/>
      <c r="AS9" s="491"/>
      <c r="AT9" s="491"/>
      <c r="AU9" s="491"/>
      <c r="AV9" s="491"/>
      <c r="AW9" s="491"/>
      <c r="AX9" s="491"/>
      <c r="AY9" s="492"/>
    </row>
    <row r="10" spans="1:58" ht="14.45" customHeight="1">
      <c r="A10" s="490"/>
      <c r="B10" s="491"/>
      <c r="C10" s="491"/>
      <c r="D10" s="491"/>
      <c r="E10" s="491"/>
      <c r="F10" s="491"/>
      <c r="G10" s="491"/>
      <c r="H10" s="491"/>
      <c r="I10" s="491"/>
      <c r="J10" s="491"/>
      <c r="K10" s="491"/>
      <c r="L10" s="491"/>
      <c r="M10" s="491"/>
      <c r="N10" s="491"/>
      <c r="O10" s="491"/>
      <c r="P10" s="491"/>
      <c r="Q10" s="491"/>
      <c r="R10" s="491"/>
      <c r="S10" s="491"/>
      <c r="T10" s="491"/>
      <c r="U10" s="491"/>
      <c r="V10" s="491"/>
      <c r="W10" s="491"/>
      <c r="X10" s="491"/>
      <c r="Y10" s="491"/>
      <c r="Z10" s="491"/>
      <c r="AA10" s="491"/>
      <c r="AB10" s="491"/>
      <c r="AC10" s="491"/>
      <c r="AD10" s="491"/>
      <c r="AE10" s="491"/>
      <c r="AF10" s="491"/>
      <c r="AG10" s="491"/>
      <c r="AH10" s="491"/>
      <c r="AI10" s="491"/>
      <c r="AJ10" s="491"/>
      <c r="AK10" s="491"/>
      <c r="AL10" s="491"/>
      <c r="AM10" s="491"/>
      <c r="AN10" s="491"/>
      <c r="AO10" s="491"/>
      <c r="AP10" s="491"/>
      <c r="AQ10" s="491"/>
      <c r="AR10" s="491"/>
      <c r="AS10" s="491"/>
      <c r="AT10" s="491"/>
      <c r="AU10" s="491"/>
      <c r="AV10" s="491"/>
      <c r="AW10" s="491"/>
      <c r="AX10" s="491"/>
      <c r="AY10" s="492"/>
    </row>
    <row r="11" spans="1:58" ht="14.45" customHeight="1">
      <c r="A11" s="493" t="s">
        <v>17</v>
      </c>
      <c r="B11" s="494"/>
      <c r="C11" s="494"/>
      <c r="D11" s="494"/>
      <c r="E11" s="494"/>
      <c r="F11" s="494"/>
      <c r="G11" s="494"/>
      <c r="H11" s="494"/>
      <c r="I11" s="494"/>
      <c r="J11" s="494"/>
      <c r="K11" s="494"/>
      <c r="L11" s="494"/>
      <c r="M11" s="494"/>
      <c r="N11" s="494"/>
      <c r="O11" s="494"/>
      <c r="P11" s="494"/>
      <c r="Q11" s="494"/>
      <c r="R11" s="494"/>
      <c r="S11" s="494"/>
      <c r="T11" s="494"/>
      <c r="U11" s="494"/>
      <c r="V11" s="494"/>
      <c r="W11" s="494"/>
      <c r="X11" s="494"/>
      <c r="Y11" s="494"/>
      <c r="Z11" s="494"/>
      <c r="AA11" s="494"/>
      <c r="AB11" s="494"/>
      <c r="AC11" s="494"/>
      <c r="AD11" s="494"/>
      <c r="AE11" s="494"/>
      <c r="AF11" s="494"/>
      <c r="AG11" s="494"/>
      <c r="AH11" s="494"/>
      <c r="AI11" s="494"/>
      <c r="AJ11" s="494"/>
      <c r="AK11" s="494"/>
      <c r="AL11" s="494"/>
      <c r="AM11" s="494"/>
      <c r="AN11" s="494"/>
      <c r="AO11" s="494"/>
      <c r="AP11" s="494"/>
      <c r="AQ11" s="494"/>
      <c r="AR11" s="494"/>
      <c r="AS11" s="494"/>
      <c r="AT11" s="494"/>
      <c r="AU11" s="494"/>
      <c r="AV11" s="494"/>
      <c r="AW11" s="494"/>
      <c r="AX11" s="494"/>
      <c r="AY11" s="495"/>
    </row>
    <row r="12" spans="1:58" ht="14.45" customHeight="1">
      <c r="A12" s="493"/>
      <c r="B12" s="494"/>
      <c r="C12" s="494"/>
      <c r="D12" s="494"/>
      <c r="E12" s="494"/>
      <c r="F12" s="494"/>
      <c r="G12" s="494"/>
      <c r="H12" s="494"/>
      <c r="I12" s="494"/>
      <c r="J12" s="494"/>
      <c r="K12" s="494"/>
      <c r="L12" s="494"/>
      <c r="M12" s="494"/>
      <c r="N12" s="494"/>
      <c r="O12" s="494"/>
      <c r="P12" s="494"/>
      <c r="Q12" s="494"/>
      <c r="R12" s="494"/>
      <c r="S12" s="494"/>
      <c r="T12" s="494"/>
      <c r="U12" s="494"/>
      <c r="V12" s="494"/>
      <c r="W12" s="494"/>
      <c r="X12" s="494"/>
      <c r="Y12" s="494"/>
      <c r="Z12" s="494"/>
      <c r="AA12" s="494"/>
      <c r="AB12" s="494"/>
      <c r="AC12" s="494"/>
      <c r="AD12" s="494"/>
      <c r="AE12" s="494"/>
      <c r="AF12" s="494"/>
      <c r="AG12" s="494"/>
      <c r="AH12" s="494"/>
      <c r="AI12" s="494"/>
      <c r="AJ12" s="494"/>
      <c r="AK12" s="494"/>
      <c r="AL12" s="494"/>
      <c r="AM12" s="494"/>
      <c r="AN12" s="494"/>
      <c r="AO12" s="494"/>
      <c r="AP12" s="494"/>
      <c r="AQ12" s="494"/>
      <c r="AR12" s="494"/>
      <c r="AS12" s="494"/>
      <c r="AT12" s="494"/>
      <c r="AU12" s="494"/>
      <c r="AV12" s="494"/>
      <c r="AW12" s="494"/>
      <c r="AX12" s="494"/>
      <c r="AY12" s="495"/>
    </row>
    <row r="13" spans="1:58" ht="14.45" customHeight="1">
      <c r="A13" s="493"/>
      <c r="B13" s="494"/>
      <c r="C13" s="494"/>
      <c r="D13" s="494"/>
      <c r="E13" s="494"/>
      <c r="F13" s="494"/>
      <c r="G13" s="494"/>
      <c r="H13" s="494"/>
      <c r="I13" s="494"/>
      <c r="J13" s="494"/>
      <c r="K13" s="494"/>
      <c r="L13" s="494"/>
      <c r="M13" s="494"/>
      <c r="N13" s="494"/>
      <c r="O13" s="494"/>
      <c r="P13" s="494"/>
      <c r="Q13" s="494"/>
      <c r="R13" s="494"/>
      <c r="S13" s="494"/>
      <c r="T13" s="494"/>
      <c r="U13" s="494"/>
      <c r="V13" s="494"/>
      <c r="W13" s="494"/>
      <c r="X13" s="494"/>
      <c r="Y13" s="494"/>
      <c r="Z13" s="494"/>
      <c r="AA13" s="494"/>
      <c r="AB13" s="494"/>
      <c r="AC13" s="494"/>
      <c r="AD13" s="494"/>
      <c r="AE13" s="494"/>
      <c r="AF13" s="494"/>
      <c r="AG13" s="494"/>
      <c r="AH13" s="494"/>
      <c r="AI13" s="494"/>
      <c r="AJ13" s="494"/>
      <c r="AK13" s="494"/>
      <c r="AL13" s="494"/>
      <c r="AM13" s="494"/>
      <c r="AN13" s="494"/>
      <c r="AO13" s="494"/>
      <c r="AP13" s="494"/>
      <c r="AQ13" s="494"/>
      <c r="AR13" s="494"/>
      <c r="AS13" s="494"/>
      <c r="AT13" s="494"/>
      <c r="AU13" s="494"/>
      <c r="AV13" s="494"/>
      <c r="AW13" s="494"/>
      <c r="AX13" s="494"/>
      <c r="AY13" s="495"/>
    </row>
    <row r="14" spans="1:58" ht="14.45" customHeight="1">
      <c r="A14" s="490" t="s">
        <v>189</v>
      </c>
      <c r="B14" s="494"/>
      <c r="C14" s="494"/>
      <c r="D14" s="494"/>
      <c r="E14" s="494"/>
      <c r="F14" s="494"/>
      <c r="G14" s="494"/>
      <c r="H14" s="494"/>
      <c r="I14" s="494"/>
      <c r="J14" s="494"/>
      <c r="K14" s="494"/>
      <c r="L14" s="494"/>
      <c r="M14" s="494"/>
      <c r="N14" s="494"/>
      <c r="O14" s="494"/>
      <c r="P14" s="494"/>
      <c r="Q14" s="494"/>
      <c r="R14" s="494"/>
      <c r="S14" s="494"/>
      <c r="T14" s="494"/>
      <c r="U14" s="494"/>
      <c r="V14" s="494"/>
      <c r="W14" s="494"/>
      <c r="X14" s="494"/>
      <c r="Y14" s="494"/>
      <c r="Z14" s="494"/>
      <c r="AA14" s="494"/>
      <c r="AB14" s="494"/>
      <c r="AC14" s="494"/>
      <c r="AD14" s="494"/>
      <c r="AE14" s="494"/>
      <c r="AF14" s="494"/>
      <c r="AG14" s="494"/>
      <c r="AH14" s="494"/>
      <c r="AI14" s="494"/>
      <c r="AJ14" s="494"/>
      <c r="AK14" s="494"/>
      <c r="AL14" s="494"/>
      <c r="AM14" s="494"/>
      <c r="AN14" s="494"/>
      <c r="AO14" s="494"/>
      <c r="AP14" s="494"/>
      <c r="AQ14" s="494"/>
      <c r="AR14" s="494"/>
      <c r="AS14" s="494"/>
      <c r="AT14" s="494"/>
      <c r="AU14" s="494"/>
      <c r="AV14" s="494"/>
      <c r="AW14" s="494"/>
      <c r="AX14" s="494"/>
      <c r="AY14" s="495"/>
    </row>
    <row r="15" spans="1:58" ht="14.45" customHeight="1">
      <c r="A15" s="493"/>
      <c r="B15" s="494"/>
      <c r="C15" s="494"/>
      <c r="D15" s="494"/>
      <c r="E15" s="494"/>
      <c r="F15" s="494"/>
      <c r="G15" s="494"/>
      <c r="H15" s="494"/>
      <c r="I15" s="494"/>
      <c r="J15" s="494"/>
      <c r="K15" s="494"/>
      <c r="L15" s="494"/>
      <c r="M15" s="494"/>
      <c r="N15" s="494"/>
      <c r="O15" s="494"/>
      <c r="P15" s="494"/>
      <c r="Q15" s="494"/>
      <c r="R15" s="494"/>
      <c r="S15" s="494"/>
      <c r="T15" s="494"/>
      <c r="U15" s="494"/>
      <c r="V15" s="494"/>
      <c r="W15" s="494"/>
      <c r="X15" s="494"/>
      <c r="Y15" s="494"/>
      <c r="Z15" s="494"/>
      <c r="AA15" s="494"/>
      <c r="AB15" s="494"/>
      <c r="AC15" s="494"/>
      <c r="AD15" s="494"/>
      <c r="AE15" s="494"/>
      <c r="AF15" s="494"/>
      <c r="AG15" s="494"/>
      <c r="AH15" s="494"/>
      <c r="AI15" s="494"/>
      <c r="AJ15" s="494"/>
      <c r="AK15" s="494"/>
      <c r="AL15" s="494"/>
      <c r="AM15" s="494"/>
      <c r="AN15" s="494"/>
      <c r="AO15" s="494"/>
      <c r="AP15" s="494"/>
      <c r="AQ15" s="494"/>
      <c r="AR15" s="494"/>
      <c r="AS15" s="494"/>
      <c r="AT15" s="494"/>
      <c r="AU15" s="494"/>
      <c r="AV15" s="494"/>
      <c r="AW15" s="494"/>
      <c r="AX15" s="494"/>
      <c r="AY15" s="495"/>
    </row>
    <row r="16" spans="1:58" ht="14.45" customHeight="1">
      <c r="A16" s="493"/>
      <c r="B16" s="494"/>
      <c r="C16" s="494"/>
      <c r="D16" s="494"/>
      <c r="E16" s="494"/>
      <c r="F16" s="494"/>
      <c r="G16" s="494"/>
      <c r="H16" s="494"/>
      <c r="I16" s="494"/>
      <c r="J16" s="494"/>
      <c r="K16" s="494"/>
      <c r="L16" s="494"/>
      <c r="M16" s="494"/>
      <c r="N16" s="494"/>
      <c r="O16" s="494"/>
      <c r="P16" s="494"/>
      <c r="Q16" s="494"/>
      <c r="R16" s="494"/>
      <c r="S16" s="494"/>
      <c r="T16" s="494"/>
      <c r="U16" s="494"/>
      <c r="V16" s="494"/>
      <c r="W16" s="494"/>
      <c r="X16" s="494"/>
      <c r="Y16" s="494"/>
      <c r="Z16" s="494"/>
      <c r="AA16" s="494"/>
      <c r="AB16" s="494"/>
      <c r="AC16" s="494"/>
      <c r="AD16" s="494"/>
      <c r="AE16" s="494"/>
      <c r="AF16" s="494"/>
      <c r="AG16" s="494"/>
      <c r="AH16" s="494"/>
      <c r="AI16" s="494"/>
      <c r="AJ16" s="494"/>
      <c r="AK16" s="494"/>
      <c r="AL16" s="494"/>
      <c r="AM16" s="494"/>
      <c r="AN16" s="494"/>
      <c r="AO16" s="494"/>
      <c r="AP16" s="494"/>
      <c r="AQ16" s="494"/>
      <c r="AR16" s="494"/>
      <c r="AS16" s="494"/>
      <c r="AT16" s="494"/>
      <c r="AU16" s="494"/>
      <c r="AV16" s="494"/>
      <c r="AW16" s="494"/>
      <c r="AX16" s="494"/>
      <c r="AY16" s="495"/>
    </row>
    <row r="17" spans="1:51" ht="14.45" customHeight="1">
      <c r="A17" s="184"/>
      <c r="AY17" s="185"/>
    </row>
    <row r="18" spans="1:51" ht="14.45" customHeight="1">
      <c r="A18" s="184"/>
      <c r="Q18" s="496"/>
      <c r="R18" s="496"/>
      <c r="S18" s="496"/>
      <c r="T18" s="496"/>
      <c r="U18" s="496"/>
      <c r="V18" s="496"/>
      <c r="W18" s="496"/>
      <c r="X18" s="496"/>
      <c r="Y18" s="496"/>
      <c r="Z18" s="496"/>
      <c r="AA18" s="496"/>
      <c r="AB18" s="496"/>
      <c r="AC18" s="496"/>
      <c r="AD18" s="496"/>
      <c r="AE18" s="496"/>
      <c r="AF18" s="496"/>
      <c r="AG18" s="496"/>
      <c r="AH18" s="496"/>
      <c r="AI18" s="496"/>
      <c r="AJ18" s="496"/>
      <c r="AY18" s="185"/>
    </row>
    <row r="19" spans="1:51" ht="14.45" customHeight="1">
      <c r="A19" s="184"/>
      <c r="Q19" s="483"/>
      <c r="R19" s="483"/>
      <c r="S19" s="483"/>
      <c r="T19" s="483"/>
      <c r="U19" s="483"/>
      <c r="V19" s="483"/>
      <c r="W19" s="483"/>
      <c r="X19" s="483"/>
      <c r="Y19" s="483"/>
      <c r="Z19" s="483"/>
      <c r="AA19" s="483"/>
      <c r="AB19" s="483"/>
      <c r="AC19" s="483"/>
      <c r="AD19" s="483"/>
      <c r="AE19" s="483"/>
      <c r="AF19" s="483"/>
      <c r="AG19" s="483"/>
      <c r="AH19" s="483"/>
      <c r="AI19" s="483"/>
      <c r="AJ19" s="483"/>
      <c r="AY19" s="185"/>
    </row>
    <row r="20" spans="1:51" ht="14.45" customHeight="1">
      <c r="A20" s="184"/>
      <c r="Q20" s="483"/>
      <c r="R20" s="483"/>
      <c r="S20" s="483"/>
      <c r="T20" s="483"/>
      <c r="U20" s="483"/>
      <c r="V20" s="483"/>
      <c r="W20" s="483"/>
      <c r="X20" s="483"/>
      <c r="Y20" s="483"/>
      <c r="Z20" s="483"/>
      <c r="AA20" s="483"/>
      <c r="AB20" s="483"/>
      <c r="AC20" s="483"/>
      <c r="AD20" s="483"/>
      <c r="AE20" s="483"/>
      <c r="AF20" s="483"/>
      <c r="AG20" s="483"/>
      <c r="AH20" s="483"/>
      <c r="AI20" s="483"/>
      <c r="AJ20" s="483"/>
      <c r="AY20" s="185"/>
    </row>
    <row r="21" spans="1:51" ht="14.45" customHeight="1">
      <c r="A21" s="184"/>
      <c r="Q21" s="483"/>
      <c r="R21" s="483"/>
      <c r="S21" s="483"/>
      <c r="T21" s="483"/>
      <c r="U21" s="483"/>
      <c r="V21" s="483"/>
      <c r="W21" s="483"/>
      <c r="X21" s="483"/>
      <c r="Y21" s="483"/>
      <c r="Z21" s="483"/>
      <c r="AA21" s="483"/>
      <c r="AB21" s="483"/>
      <c r="AC21" s="483"/>
      <c r="AD21" s="483"/>
      <c r="AE21" s="483"/>
      <c r="AF21" s="483"/>
      <c r="AG21" s="483"/>
      <c r="AH21" s="483"/>
      <c r="AI21" s="483"/>
      <c r="AJ21" s="483"/>
      <c r="AY21" s="185"/>
    </row>
    <row r="22" spans="1:51" ht="14.45" customHeight="1">
      <c r="A22" s="184"/>
      <c r="Q22" s="483"/>
      <c r="R22" s="483"/>
      <c r="S22" s="483"/>
      <c r="T22" s="483"/>
      <c r="U22" s="483"/>
      <c r="V22" s="483"/>
      <c r="W22" s="483"/>
      <c r="X22" s="483"/>
      <c r="Y22" s="483"/>
      <c r="Z22" s="483"/>
      <c r="AA22" s="483"/>
      <c r="AB22" s="483"/>
      <c r="AC22" s="483"/>
      <c r="AD22" s="483"/>
      <c r="AE22" s="483"/>
      <c r="AF22" s="483"/>
      <c r="AG22" s="483"/>
      <c r="AH22" s="483"/>
      <c r="AI22" s="483"/>
      <c r="AJ22" s="483"/>
      <c r="AY22" s="185"/>
    </row>
    <row r="23" spans="1:51" ht="14.45" customHeight="1">
      <c r="A23" s="184"/>
      <c r="AY23" s="185"/>
    </row>
    <row r="24" spans="1:51" ht="14.45" customHeight="1">
      <c r="A24" s="184"/>
      <c r="AY24" s="185"/>
    </row>
    <row r="25" spans="1:51" ht="14.45" customHeight="1">
      <c r="A25" s="484">
        <v>46118</v>
      </c>
      <c r="B25" s="485"/>
      <c r="C25" s="485"/>
      <c r="D25" s="485"/>
      <c r="E25" s="485"/>
      <c r="F25" s="485"/>
      <c r="G25" s="485"/>
      <c r="H25" s="485"/>
      <c r="I25" s="485"/>
      <c r="J25" s="485"/>
      <c r="K25" s="485"/>
      <c r="L25" s="485"/>
      <c r="M25" s="485"/>
      <c r="N25" s="485"/>
      <c r="O25" s="485"/>
      <c r="P25" s="485"/>
      <c r="Q25" s="485"/>
      <c r="R25" s="485"/>
      <c r="S25" s="485"/>
      <c r="T25" s="485"/>
      <c r="U25" s="485"/>
      <c r="V25" s="485"/>
      <c r="W25" s="485"/>
      <c r="X25" s="485"/>
      <c r="Y25" s="485"/>
      <c r="Z25" s="485"/>
      <c r="AA25" s="485"/>
      <c r="AB25" s="485"/>
      <c r="AC25" s="187"/>
      <c r="AD25" s="486">
        <v>1</v>
      </c>
      <c r="AE25" s="486"/>
      <c r="AF25" s="486"/>
      <c r="AG25" s="486"/>
      <c r="AH25" s="486"/>
      <c r="AI25" s="486"/>
      <c r="AJ25" s="486"/>
      <c r="AK25" s="486"/>
      <c r="AL25" s="486"/>
      <c r="AM25" s="486"/>
      <c r="AN25" s="486"/>
      <c r="AO25" s="486"/>
      <c r="AP25" s="486"/>
      <c r="AQ25" s="486"/>
      <c r="AR25" s="486"/>
      <c r="AS25" s="486"/>
      <c r="AT25" s="486"/>
      <c r="AU25" s="486"/>
      <c r="AV25" s="486"/>
      <c r="AW25" s="486"/>
      <c r="AX25" s="486"/>
      <c r="AY25" s="487"/>
    </row>
    <row r="26" spans="1:51" ht="14.45" customHeight="1">
      <c r="A26" s="484"/>
      <c r="B26" s="485"/>
      <c r="C26" s="485"/>
      <c r="D26" s="485"/>
      <c r="E26" s="485"/>
      <c r="F26" s="485"/>
      <c r="G26" s="485"/>
      <c r="H26" s="485"/>
      <c r="I26" s="485"/>
      <c r="J26" s="485"/>
      <c r="K26" s="485"/>
      <c r="L26" s="485"/>
      <c r="M26" s="485"/>
      <c r="N26" s="485"/>
      <c r="O26" s="485"/>
      <c r="P26" s="485"/>
      <c r="Q26" s="485"/>
      <c r="R26" s="485"/>
      <c r="S26" s="485"/>
      <c r="T26" s="485"/>
      <c r="U26" s="485"/>
      <c r="V26" s="485"/>
      <c r="W26" s="485"/>
      <c r="X26" s="485"/>
      <c r="Y26" s="485"/>
      <c r="Z26" s="485"/>
      <c r="AA26" s="485"/>
      <c r="AB26" s="485"/>
      <c r="AC26" s="187"/>
      <c r="AD26" s="486"/>
      <c r="AE26" s="486"/>
      <c r="AF26" s="486"/>
      <c r="AG26" s="486"/>
      <c r="AH26" s="486"/>
      <c r="AI26" s="486"/>
      <c r="AJ26" s="486"/>
      <c r="AK26" s="486"/>
      <c r="AL26" s="486"/>
      <c r="AM26" s="486"/>
      <c r="AN26" s="486"/>
      <c r="AO26" s="486"/>
      <c r="AP26" s="486"/>
      <c r="AQ26" s="486"/>
      <c r="AR26" s="486"/>
      <c r="AS26" s="486"/>
      <c r="AT26" s="486"/>
      <c r="AU26" s="486"/>
      <c r="AV26" s="486"/>
      <c r="AW26" s="486"/>
      <c r="AX26" s="486"/>
      <c r="AY26" s="487"/>
    </row>
    <row r="27" spans="1:51" ht="14.45" customHeight="1">
      <c r="A27" s="184"/>
      <c r="AY27" s="185"/>
    </row>
    <row r="28" spans="1:51" ht="14.45" customHeight="1">
      <c r="A28" s="480" t="s">
        <v>16</v>
      </c>
      <c r="B28" s="481"/>
      <c r="C28" s="481"/>
      <c r="D28" s="481"/>
      <c r="E28" s="481"/>
      <c r="F28" s="481"/>
      <c r="G28" s="481"/>
      <c r="H28" s="481"/>
      <c r="I28" s="481"/>
      <c r="J28" s="481"/>
      <c r="K28" s="481"/>
      <c r="L28" s="481"/>
      <c r="M28" s="481"/>
      <c r="N28" s="481"/>
      <c r="O28" s="481"/>
      <c r="P28" s="481"/>
      <c r="Q28" s="481"/>
      <c r="R28" s="481"/>
      <c r="S28" s="481"/>
      <c r="T28" s="481"/>
      <c r="U28" s="481"/>
      <c r="V28" s="481"/>
      <c r="W28" s="481"/>
      <c r="X28" s="481"/>
      <c r="Y28" s="481"/>
      <c r="Z28" s="481"/>
      <c r="AA28" s="481"/>
      <c r="AB28" s="481"/>
      <c r="AC28" s="481"/>
      <c r="AD28" s="481"/>
      <c r="AE28" s="481"/>
      <c r="AF28" s="481"/>
      <c r="AG28" s="481"/>
      <c r="AH28" s="481"/>
      <c r="AI28" s="481"/>
      <c r="AJ28" s="481"/>
      <c r="AK28" s="481"/>
      <c r="AL28" s="481"/>
      <c r="AM28" s="481"/>
      <c r="AN28" s="481"/>
      <c r="AO28" s="481"/>
      <c r="AP28" s="481"/>
      <c r="AQ28" s="481"/>
      <c r="AR28" s="481"/>
      <c r="AS28" s="481"/>
      <c r="AT28" s="481"/>
      <c r="AU28" s="481"/>
      <c r="AV28" s="481"/>
      <c r="AW28" s="481"/>
      <c r="AX28" s="481"/>
      <c r="AY28" s="482"/>
    </row>
    <row r="29" spans="1:51" ht="14.45" customHeight="1">
      <c r="A29" s="480"/>
      <c r="B29" s="481"/>
      <c r="C29" s="481"/>
      <c r="D29" s="481"/>
      <c r="E29" s="481"/>
      <c r="F29" s="481"/>
      <c r="G29" s="481"/>
      <c r="H29" s="481"/>
      <c r="I29" s="481"/>
      <c r="J29" s="481"/>
      <c r="K29" s="481"/>
      <c r="L29" s="481"/>
      <c r="M29" s="481"/>
      <c r="N29" s="481"/>
      <c r="O29" s="481"/>
      <c r="P29" s="481"/>
      <c r="Q29" s="481"/>
      <c r="R29" s="481"/>
      <c r="S29" s="481"/>
      <c r="T29" s="481"/>
      <c r="U29" s="481"/>
      <c r="V29" s="481"/>
      <c r="W29" s="481"/>
      <c r="X29" s="481"/>
      <c r="Y29" s="481"/>
      <c r="Z29" s="481"/>
      <c r="AA29" s="481"/>
      <c r="AB29" s="481"/>
      <c r="AC29" s="481"/>
      <c r="AD29" s="481"/>
      <c r="AE29" s="481"/>
      <c r="AF29" s="481"/>
      <c r="AG29" s="481"/>
      <c r="AH29" s="481"/>
      <c r="AI29" s="481"/>
      <c r="AJ29" s="481"/>
      <c r="AK29" s="481"/>
      <c r="AL29" s="481"/>
      <c r="AM29" s="481"/>
      <c r="AN29" s="481"/>
      <c r="AO29" s="481"/>
      <c r="AP29" s="481"/>
      <c r="AQ29" s="481"/>
      <c r="AR29" s="481"/>
      <c r="AS29" s="481"/>
      <c r="AT29" s="481"/>
      <c r="AU29" s="481"/>
      <c r="AV29" s="481"/>
      <c r="AW29" s="481"/>
      <c r="AX29" s="481"/>
      <c r="AY29" s="482"/>
    </row>
    <row r="30" spans="1:51" ht="14.45" customHeight="1">
      <c r="A30" s="184"/>
      <c r="AY30" s="185"/>
    </row>
    <row r="31" spans="1:51" ht="14.45" customHeight="1" thickBot="1">
      <c r="A31" s="188"/>
      <c r="B31" s="189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89"/>
      <c r="O31" s="189"/>
      <c r="P31" s="189"/>
      <c r="Q31" s="189"/>
      <c r="R31" s="189"/>
      <c r="S31" s="189"/>
      <c r="T31" s="189"/>
      <c r="U31" s="189"/>
      <c r="V31" s="189"/>
      <c r="W31" s="189"/>
      <c r="X31" s="189"/>
      <c r="Y31" s="189"/>
      <c r="Z31" s="189"/>
      <c r="AA31" s="189"/>
      <c r="AB31" s="189"/>
      <c r="AC31" s="189"/>
      <c r="AD31" s="189"/>
      <c r="AE31" s="189"/>
      <c r="AF31" s="189"/>
      <c r="AG31" s="189"/>
      <c r="AH31" s="189"/>
      <c r="AI31" s="189"/>
      <c r="AJ31" s="189"/>
      <c r="AK31" s="189"/>
      <c r="AL31" s="189"/>
      <c r="AM31" s="189"/>
      <c r="AN31" s="189"/>
      <c r="AO31" s="189"/>
      <c r="AP31" s="189"/>
      <c r="AQ31" s="189"/>
      <c r="AR31" s="189"/>
      <c r="AS31" s="189"/>
      <c r="AT31" s="189"/>
      <c r="AU31" s="189"/>
      <c r="AV31" s="189"/>
      <c r="AW31" s="189"/>
      <c r="AX31" s="189"/>
      <c r="AY31" s="190"/>
    </row>
    <row r="32" spans="1:51" ht="14.45" customHeight="1" thickTop="1"/>
  </sheetData>
  <sheetProtection formatCells="0" insertRows="0" insertHyperlinks="0" deleteRows="0" sort="0" autoFilter="0" pivotTables="0"/>
  <protectedRanges>
    <protectedRange sqref="A25" name="提出日"/>
    <protectedRange sqref="AD25" name="版数"/>
    <protectedRange sqref="A32:AY1048576" name="メモ欄2"/>
    <protectedRange sqref="A14" name="成果物タイトル"/>
    <protectedRange sqref="A11" name="期間名"/>
    <protectedRange sqref="A6" name="プロジェクト名"/>
    <protectedRange sqref="C3:AY4" name="顧客名"/>
    <protectedRange sqref="A28" name="弊社名"/>
    <protectedRange sqref="AZ1:XFD1048576" name="メモ欄1"/>
  </protectedRanges>
  <mergeCells count="15">
    <mergeCell ref="C3:AY4"/>
    <mergeCell ref="A6:AY10"/>
    <mergeCell ref="A11:AY13"/>
    <mergeCell ref="A14:AY16"/>
    <mergeCell ref="Q18:U18"/>
    <mergeCell ref="V18:Z18"/>
    <mergeCell ref="AA18:AE18"/>
    <mergeCell ref="AF18:AJ18"/>
    <mergeCell ref="A28:AY29"/>
    <mergeCell ref="Q19:U22"/>
    <mergeCell ref="V19:Z22"/>
    <mergeCell ref="AA19:AE22"/>
    <mergeCell ref="AF19:AJ22"/>
    <mergeCell ref="A25:AB26"/>
    <mergeCell ref="AD25:AY26"/>
  </mergeCells>
  <phoneticPr fontId="16"/>
  <pageMargins left="0.70866141732283472" right="0.70866141732283472" top="0.74803149606299213" bottom="0.74803149606299213" header="0.31496062992125984" footer="0.31496062992125984"/>
  <pageSetup paperSize="9" scale="8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B1:E39"/>
  <sheetViews>
    <sheetView zoomScaleNormal="100" workbookViewId="0"/>
  </sheetViews>
  <sheetFormatPr defaultColWidth="2.83203125" defaultRowHeight="11.25"/>
  <cols>
    <col min="1" max="1" width="2.83203125" style="10"/>
    <col min="2" max="2" width="12.83203125" style="15" customWidth="1"/>
    <col min="3" max="3" width="80.83203125" style="10" customWidth="1"/>
    <col min="4" max="5" width="12.83203125" style="10" customWidth="1"/>
    <col min="6" max="16384" width="2.83203125" style="10"/>
  </cols>
  <sheetData>
    <row r="1" spans="2:5">
      <c r="B1" s="9"/>
    </row>
    <row r="2" spans="2:5" ht="11.25" customHeight="1">
      <c r="B2" s="11" t="s">
        <v>11</v>
      </c>
      <c r="C2" s="12" t="s">
        <v>9</v>
      </c>
      <c r="D2" s="12" t="s">
        <v>10</v>
      </c>
      <c r="E2" s="12" t="s">
        <v>12</v>
      </c>
    </row>
    <row r="3" spans="2:5" ht="56.25" customHeight="1">
      <c r="B3" s="13">
        <v>46118</v>
      </c>
      <c r="C3" s="14" t="s">
        <v>13</v>
      </c>
      <c r="D3" s="14"/>
      <c r="E3" s="274" t="s">
        <v>172</v>
      </c>
    </row>
    <row r="4" spans="2:5" ht="56.25" customHeight="1">
      <c r="B4" s="13"/>
      <c r="C4" s="14"/>
      <c r="D4" s="14"/>
      <c r="E4" s="14"/>
    </row>
    <row r="5" spans="2:5" ht="56.25" customHeight="1">
      <c r="B5" s="13"/>
      <c r="C5" s="14"/>
      <c r="D5" s="14"/>
      <c r="E5" s="14"/>
    </row>
    <row r="6" spans="2:5" ht="56.25" customHeight="1">
      <c r="B6" s="13"/>
      <c r="C6" s="14"/>
      <c r="D6" s="14"/>
      <c r="E6" s="14"/>
    </row>
    <row r="7" spans="2:5" ht="56.25" customHeight="1">
      <c r="B7" s="13"/>
      <c r="C7" s="14"/>
      <c r="D7" s="14"/>
      <c r="E7" s="14"/>
    </row>
    <row r="8" spans="2:5" ht="56.25" customHeight="1">
      <c r="B8" s="13"/>
      <c r="C8" s="14"/>
      <c r="D8" s="14"/>
      <c r="E8" s="14"/>
    </row>
    <row r="9" spans="2:5" ht="56.25" customHeight="1">
      <c r="B9" s="13"/>
      <c r="C9" s="14"/>
      <c r="D9" s="14"/>
      <c r="E9" s="14"/>
    </row>
    <row r="10" spans="2:5" ht="56.25" customHeight="1">
      <c r="B10" s="13"/>
      <c r="C10" s="14"/>
      <c r="D10" s="14"/>
      <c r="E10" s="14"/>
    </row>
    <row r="11" spans="2:5" ht="56.25" customHeight="1">
      <c r="B11" s="13"/>
      <c r="C11" s="14"/>
      <c r="D11" s="14"/>
      <c r="E11" s="14"/>
    </row>
    <row r="12" spans="2:5" ht="56.25" customHeight="1">
      <c r="B12" s="13"/>
      <c r="C12" s="14"/>
      <c r="D12" s="14"/>
      <c r="E12" s="14"/>
    </row>
    <row r="13" spans="2:5" ht="56.25" customHeight="1">
      <c r="B13" s="13"/>
      <c r="C13" s="14"/>
      <c r="D13" s="14"/>
      <c r="E13" s="14"/>
    </row>
    <row r="14" spans="2:5" ht="56.25" customHeight="1">
      <c r="B14" s="13"/>
      <c r="C14" s="14"/>
      <c r="D14" s="14"/>
      <c r="E14" s="14"/>
    </row>
    <row r="15" spans="2:5" ht="56.25" customHeight="1">
      <c r="B15" s="13"/>
      <c r="C15" s="14"/>
      <c r="D15" s="14"/>
      <c r="E15" s="14"/>
    </row>
    <row r="16" spans="2:5" ht="56.25" customHeight="1">
      <c r="B16" s="13"/>
      <c r="C16" s="14"/>
      <c r="D16" s="14"/>
      <c r="E16" s="14"/>
    </row>
    <row r="17" spans="2:5" ht="56.25" customHeight="1">
      <c r="B17" s="13"/>
      <c r="C17" s="14"/>
      <c r="D17" s="14"/>
      <c r="E17" s="14"/>
    </row>
    <row r="39" ht="11.25" customHeight="1"/>
  </sheetData>
  <phoneticPr fontId="16"/>
  <pageMargins left="0.70866141732283472" right="0.70866141732283472" top="0.74803149606299213" bottom="0.7480314960629921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M46"/>
  <sheetViews>
    <sheetView zoomScaleNormal="100" workbookViewId="0">
      <selection sqref="A1:C2"/>
    </sheetView>
  </sheetViews>
  <sheetFormatPr defaultColWidth="9.33203125" defaultRowHeight="13.5"/>
  <cols>
    <col min="1" max="2" width="4.33203125" style="71" customWidth="1"/>
    <col min="3" max="3" width="4.33203125" style="164" customWidth="1"/>
    <col min="4" max="4" width="35.83203125" style="165" customWidth="1"/>
    <col min="5" max="6" width="60.83203125" style="71" customWidth="1"/>
    <col min="7" max="7" width="12.83203125" style="71" customWidth="1"/>
    <col min="8" max="8" width="12.83203125" style="166" customWidth="1"/>
    <col min="9" max="10" width="12.83203125" style="71" customWidth="1"/>
    <col min="11" max="11" width="10.83203125" style="71" customWidth="1"/>
    <col min="12" max="12" width="10.83203125" style="166" customWidth="1"/>
    <col min="13" max="13" width="60.83203125" style="71" customWidth="1"/>
    <col min="14" max="16384" width="9.33203125" style="71"/>
  </cols>
  <sheetData>
    <row r="1" spans="1:13" s="55" customFormat="1" ht="15">
      <c r="A1" s="497" t="s">
        <v>8</v>
      </c>
      <c r="B1" s="497"/>
      <c r="C1" s="497"/>
      <c r="D1" s="498" t="s">
        <v>18</v>
      </c>
      <c r="E1" s="499"/>
      <c r="F1" s="499"/>
      <c r="G1" s="51" t="s">
        <v>4</v>
      </c>
      <c r="H1" s="52" t="s">
        <v>5</v>
      </c>
      <c r="I1" s="51" t="s">
        <v>6</v>
      </c>
      <c r="J1" s="52" t="s">
        <v>7</v>
      </c>
      <c r="K1" s="53"/>
      <c r="L1" s="54"/>
    </row>
    <row r="2" spans="1:13" s="55" customFormat="1" ht="15">
      <c r="A2" s="497"/>
      <c r="B2" s="497"/>
      <c r="C2" s="497"/>
      <c r="D2" s="499"/>
      <c r="E2" s="499"/>
      <c r="F2" s="499"/>
      <c r="G2" s="56">
        <f>COUNTA(C4:C1048576)</f>
        <v>22</v>
      </c>
      <c r="H2" s="56">
        <f>COUNTIF(H4:H1048576,"○")</f>
        <v>0</v>
      </c>
      <c r="I2" s="56">
        <f>COUNTIF(J4:J1048576,"○")</f>
        <v>0</v>
      </c>
      <c r="J2" s="57">
        <f>IFERROR((H2+I2)/G2,0)</f>
        <v>0</v>
      </c>
      <c r="K2" s="53"/>
      <c r="L2" s="54"/>
    </row>
    <row r="3" spans="1:13" s="55" customFormat="1" ht="15">
      <c r="A3" s="500" t="s">
        <v>28</v>
      </c>
      <c r="B3" s="500"/>
      <c r="C3" s="500"/>
      <c r="D3" s="58" t="s">
        <v>44</v>
      </c>
      <c r="E3" s="58" t="s">
        <v>33</v>
      </c>
      <c r="F3" s="59" t="s">
        <v>34</v>
      </c>
      <c r="G3" s="60" t="s">
        <v>0</v>
      </c>
      <c r="H3" s="60" t="s">
        <v>1</v>
      </c>
      <c r="I3" s="60" t="s">
        <v>2</v>
      </c>
      <c r="J3" s="58" t="s">
        <v>1</v>
      </c>
      <c r="K3" s="59" t="s">
        <v>42</v>
      </c>
      <c r="L3" s="335" t="s">
        <v>43</v>
      </c>
      <c r="M3" s="58" t="s">
        <v>3</v>
      </c>
    </row>
    <row r="4" spans="1:13" ht="15">
      <c r="A4" s="61">
        <v>1</v>
      </c>
      <c r="B4" s="62"/>
      <c r="C4" s="63"/>
      <c r="D4" s="64" t="s">
        <v>120</v>
      </c>
      <c r="E4" s="65"/>
      <c r="F4" s="65"/>
      <c r="G4" s="66"/>
      <c r="H4" s="67"/>
      <c r="I4" s="66"/>
      <c r="J4" s="68"/>
      <c r="K4" s="69"/>
      <c r="L4" s="336"/>
      <c r="M4" s="70"/>
    </row>
    <row r="5" spans="1:13" ht="15">
      <c r="A5" s="72"/>
      <c r="B5" s="73">
        <v>1</v>
      </c>
      <c r="C5" s="74"/>
      <c r="D5" s="75" t="s">
        <v>38</v>
      </c>
      <c r="E5" s="76"/>
      <c r="F5" s="76"/>
      <c r="G5" s="77"/>
      <c r="H5" s="78"/>
      <c r="I5" s="79"/>
      <c r="J5" s="80"/>
      <c r="K5" s="81"/>
      <c r="L5" s="337"/>
      <c r="M5" s="82"/>
    </row>
    <row r="6" spans="1:13" ht="15">
      <c r="A6" s="72"/>
      <c r="B6" s="83"/>
      <c r="C6" s="84">
        <v>1</v>
      </c>
      <c r="D6" s="289" t="s">
        <v>60</v>
      </c>
      <c r="E6" s="289" t="s">
        <v>45</v>
      </c>
      <c r="F6" s="289" t="s">
        <v>183</v>
      </c>
      <c r="G6" s="86"/>
      <c r="H6" s="87"/>
      <c r="I6" s="88"/>
      <c r="J6" s="89"/>
      <c r="K6" s="90"/>
      <c r="L6" s="338" t="s">
        <v>187</v>
      </c>
      <c r="M6" s="91"/>
    </row>
    <row r="7" spans="1:13" ht="15">
      <c r="A7" s="72"/>
      <c r="B7" s="73">
        <v>2</v>
      </c>
      <c r="C7" s="74"/>
      <c r="D7" s="75" t="s">
        <v>32</v>
      </c>
      <c r="E7" s="76"/>
      <c r="F7" s="76"/>
      <c r="G7" s="92"/>
      <c r="H7" s="93"/>
      <c r="I7" s="94"/>
      <c r="J7" s="76"/>
      <c r="K7" s="81"/>
      <c r="L7" s="339"/>
      <c r="M7" s="95"/>
    </row>
    <row r="8" spans="1:13" ht="15">
      <c r="A8" s="72"/>
      <c r="B8" s="83"/>
      <c r="C8" s="84">
        <v>1</v>
      </c>
      <c r="D8" s="85" t="s">
        <v>61</v>
      </c>
      <c r="E8" s="96" t="s">
        <v>40</v>
      </c>
      <c r="F8" s="85" t="s">
        <v>46</v>
      </c>
      <c r="G8" s="97"/>
      <c r="H8" s="98"/>
      <c r="I8" s="99"/>
      <c r="J8" s="96"/>
      <c r="K8" s="89"/>
      <c r="L8" s="338" t="s">
        <v>187</v>
      </c>
      <c r="M8" s="100"/>
    </row>
    <row r="9" spans="1:13" ht="15">
      <c r="A9" s="72"/>
      <c r="B9" s="83"/>
      <c r="C9" s="101">
        <v>2</v>
      </c>
      <c r="D9" s="102"/>
      <c r="E9" s="103" t="s">
        <v>39</v>
      </c>
      <c r="F9" s="102" t="s">
        <v>47</v>
      </c>
      <c r="G9" s="104"/>
      <c r="H9" s="105"/>
      <c r="I9" s="106"/>
      <c r="J9" s="103"/>
      <c r="K9" s="107"/>
      <c r="L9" s="272" t="s">
        <v>188</v>
      </c>
      <c r="M9" s="108"/>
    </row>
    <row r="10" spans="1:13" ht="15">
      <c r="A10" s="61">
        <v>2</v>
      </c>
      <c r="B10" s="62"/>
      <c r="C10" s="63"/>
      <c r="D10" s="64" t="s">
        <v>121</v>
      </c>
      <c r="E10" s="65"/>
      <c r="F10" s="65"/>
      <c r="G10" s="109"/>
      <c r="H10" s="67"/>
      <c r="I10" s="66"/>
      <c r="J10" s="68"/>
      <c r="K10" s="69"/>
      <c r="L10" s="340"/>
      <c r="M10" s="70"/>
    </row>
    <row r="11" spans="1:13" ht="15">
      <c r="A11" s="72"/>
      <c r="B11" s="73">
        <v>1</v>
      </c>
      <c r="C11" s="74"/>
      <c r="D11" s="75" t="s">
        <v>122</v>
      </c>
      <c r="E11" s="76"/>
      <c r="F11" s="76"/>
      <c r="G11" s="77"/>
      <c r="H11" s="78"/>
      <c r="I11" s="79"/>
      <c r="J11" s="80"/>
      <c r="K11" s="81"/>
      <c r="L11" s="339"/>
      <c r="M11" s="111"/>
    </row>
    <row r="12" spans="1:13" ht="15">
      <c r="A12" s="72"/>
      <c r="B12" s="83"/>
      <c r="C12" s="112">
        <v>1</v>
      </c>
      <c r="D12" s="113" t="s">
        <v>123</v>
      </c>
      <c r="E12" s="114"/>
      <c r="F12" s="114" t="s">
        <v>124</v>
      </c>
      <c r="G12" s="86"/>
      <c r="H12" s="87"/>
      <c r="I12" s="115"/>
      <c r="J12" s="116"/>
      <c r="K12" s="116"/>
      <c r="L12" s="341" t="s">
        <v>187</v>
      </c>
      <c r="M12" s="117"/>
    </row>
    <row r="13" spans="1:13" ht="15">
      <c r="A13" s="72"/>
      <c r="B13" s="73">
        <v>2</v>
      </c>
      <c r="C13" s="74"/>
      <c r="D13" s="75" t="s">
        <v>35</v>
      </c>
      <c r="E13" s="76"/>
      <c r="F13" s="76"/>
      <c r="G13" s="77"/>
      <c r="H13" s="78"/>
      <c r="I13" s="79"/>
      <c r="J13" s="80"/>
      <c r="K13" s="81"/>
      <c r="L13" s="339"/>
      <c r="M13" s="111"/>
    </row>
    <row r="14" spans="1:13" ht="30">
      <c r="A14" s="72"/>
      <c r="B14" s="83"/>
      <c r="C14" s="84">
        <v>1</v>
      </c>
      <c r="D14" s="85" t="s">
        <v>125</v>
      </c>
      <c r="E14" s="96" t="s">
        <v>70</v>
      </c>
      <c r="F14" s="85" t="s">
        <v>62</v>
      </c>
      <c r="G14" s="97"/>
      <c r="H14" s="98"/>
      <c r="I14" s="88"/>
      <c r="J14" s="89"/>
      <c r="K14" s="89"/>
      <c r="L14" s="338" t="s">
        <v>187</v>
      </c>
      <c r="M14" s="91"/>
    </row>
    <row r="15" spans="1:13" ht="15">
      <c r="A15" s="72"/>
      <c r="B15" s="83"/>
      <c r="C15" s="101">
        <v>2</v>
      </c>
      <c r="D15" s="102"/>
      <c r="E15" s="103" t="s">
        <v>71</v>
      </c>
      <c r="F15" s="103" t="s">
        <v>79</v>
      </c>
      <c r="G15" s="104"/>
      <c r="H15" s="105"/>
      <c r="I15" s="118"/>
      <c r="J15" s="107"/>
      <c r="K15" s="107"/>
      <c r="L15" s="272" t="s">
        <v>188</v>
      </c>
      <c r="M15" s="119"/>
    </row>
    <row r="16" spans="1:13" ht="15">
      <c r="A16" s="61">
        <v>3</v>
      </c>
      <c r="B16" s="62"/>
      <c r="C16" s="63"/>
      <c r="D16" s="64" t="s">
        <v>121</v>
      </c>
      <c r="E16" s="65"/>
      <c r="F16" s="65"/>
      <c r="G16" s="109"/>
      <c r="H16" s="67"/>
      <c r="I16" s="66"/>
      <c r="J16" s="68"/>
      <c r="K16" s="69"/>
      <c r="L16" s="340"/>
      <c r="M16" s="70"/>
    </row>
    <row r="17" spans="1:13" ht="15">
      <c r="A17" s="120"/>
      <c r="B17" s="73">
        <v>1</v>
      </c>
      <c r="C17" s="74"/>
      <c r="D17" s="75" t="s">
        <v>121</v>
      </c>
      <c r="E17" s="76"/>
      <c r="F17" s="76"/>
      <c r="G17" s="77"/>
      <c r="H17" s="78"/>
      <c r="I17" s="79"/>
      <c r="J17" s="80"/>
      <c r="K17" s="81"/>
      <c r="L17" s="339"/>
      <c r="M17" s="111"/>
    </row>
    <row r="18" spans="1:13" ht="15">
      <c r="A18" s="120"/>
      <c r="B18" s="83"/>
      <c r="C18" s="112">
        <v>1</v>
      </c>
      <c r="D18" s="113" t="s">
        <v>126</v>
      </c>
      <c r="E18" s="114"/>
      <c r="F18" s="114" t="s">
        <v>127</v>
      </c>
      <c r="G18" s="86"/>
      <c r="H18" s="87"/>
      <c r="I18" s="115"/>
      <c r="J18" s="116"/>
      <c r="K18" s="116"/>
      <c r="L18" s="341" t="s">
        <v>187</v>
      </c>
      <c r="M18" s="117"/>
    </row>
    <row r="19" spans="1:13" ht="15">
      <c r="A19" s="72"/>
      <c r="B19" s="73">
        <v>2</v>
      </c>
      <c r="C19" s="74"/>
      <c r="D19" s="76" t="s">
        <v>128</v>
      </c>
      <c r="E19" s="81"/>
      <c r="F19" s="76"/>
      <c r="G19" s="92"/>
      <c r="H19" s="93"/>
      <c r="I19" s="94"/>
      <c r="J19" s="76"/>
      <c r="K19" s="81"/>
      <c r="L19" s="339"/>
      <c r="M19" s="95"/>
    </row>
    <row r="20" spans="1:13" ht="105">
      <c r="A20" s="72"/>
      <c r="B20" s="83"/>
      <c r="C20" s="84">
        <v>1</v>
      </c>
      <c r="D20" s="85"/>
      <c r="E20" s="96" t="s">
        <v>143</v>
      </c>
      <c r="F20" s="85" t="s">
        <v>50</v>
      </c>
      <c r="G20" s="97"/>
      <c r="H20" s="98"/>
      <c r="I20" s="99"/>
      <c r="J20" s="96"/>
      <c r="K20" s="89"/>
      <c r="L20" s="338" t="s">
        <v>187</v>
      </c>
      <c r="M20" s="268" t="s">
        <v>169</v>
      </c>
    </row>
    <row r="21" spans="1:13" ht="106.5" customHeight="1">
      <c r="A21" s="72"/>
      <c r="B21" s="83"/>
      <c r="C21" s="121">
        <v>2</v>
      </c>
      <c r="D21" s="122"/>
      <c r="E21" s="122" t="s">
        <v>144</v>
      </c>
      <c r="F21" s="123" t="s">
        <v>49</v>
      </c>
      <c r="G21" s="176"/>
      <c r="H21" s="177"/>
      <c r="I21" s="124"/>
      <c r="J21" s="125"/>
      <c r="K21" s="126"/>
      <c r="L21" s="342" t="s">
        <v>187</v>
      </c>
      <c r="M21" s="268" t="s">
        <v>170</v>
      </c>
    </row>
    <row r="22" spans="1:13" ht="45">
      <c r="A22" s="171"/>
      <c r="B22" s="175"/>
      <c r="C22" s="101">
        <v>3</v>
      </c>
      <c r="D22" s="172"/>
      <c r="E22" s="172" t="s">
        <v>142</v>
      </c>
      <c r="F22" s="172" t="s">
        <v>79</v>
      </c>
      <c r="G22" s="104"/>
      <c r="H22" s="178"/>
      <c r="I22" s="173"/>
      <c r="J22" s="174"/>
      <c r="K22" s="146"/>
      <c r="L22" s="343" t="s">
        <v>188</v>
      </c>
      <c r="M22" s="269" t="s">
        <v>168</v>
      </c>
    </row>
    <row r="23" spans="1:13" ht="15">
      <c r="A23" s="61">
        <v>4</v>
      </c>
      <c r="B23" s="62"/>
      <c r="C23" s="63"/>
      <c r="D23" s="64" t="s">
        <v>129</v>
      </c>
      <c r="E23" s="65"/>
      <c r="F23" s="65"/>
      <c r="G23" s="128"/>
      <c r="H23" s="110"/>
      <c r="I23" s="129"/>
      <c r="J23" s="65"/>
      <c r="K23" s="69"/>
      <c r="L23" s="340"/>
      <c r="M23" s="130"/>
    </row>
    <row r="24" spans="1:13" s="2" customFormat="1" ht="15">
      <c r="A24" s="16"/>
      <c r="B24" s="43">
        <v>1</v>
      </c>
      <c r="C24" s="131"/>
      <c r="D24" s="132" t="s">
        <v>53</v>
      </c>
      <c r="E24" s="44"/>
      <c r="F24" s="133"/>
      <c r="G24" s="134"/>
      <c r="H24" s="135"/>
      <c r="I24" s="136"/>
      <c r="J24" s="133"/>
      <c r="K24" s="137"/>
      <c r="L24" s="344"/>
      <c r="M24" s="139"/>
    </row>
    <row r="25" spans="1:13" s="2" customFormat="1" ht="15">
      <c r="A25" s="16"/>
      <c r="B25" s="17"/>
      <c r="C25" s="140">
        <v>1</v>
      </c>
      <c r="D25" s="45" t="s">
        <v>72</v>
      </c>
      <c r="E25" s="45" t="s">
        <v>22</v>
      </c>
      <c r="F25" s="141" t="s">
        <v>48</v>
      </c>
      <c r="G25" s="97"/>
      <c r="H25" s="98"/>
      <c r="I25" s="142"/>
      <c r="J25" s="46"/>
      <c r="K25" s="143"/>
      <c r="L25" s="338" t="s">
        <v>187</v>
      </c>
      <c r="M25" s="100"/>
    </row>
    <row r="26" spans="1:13" s="2" customFormat="1" ht="15">
      <c r="A26" s="16"/>
      <c r="B26" s="24"/>
      <c r="C26" s="38">
        <v>2</v>
      </c>
      <c r="D26" s="31"/>
      <c r="E26" s="31" t="s">
        <v>26</v>
      </c>
      <c r="F26" s="32" t="s">
        <v>54</v>
      </c>
      <c r="G26" s="144"/>
      <c r="H26" s="105"/>
      <c r="I26" s="145"/>
      <c r="J26" s="33"/>
      <c r="K26" s="146"/>
      <c r="L26" s="345" t="s">
        <v>187</v>
      </c>
      <c r="M26" s="108"/>
    </row>
    <row r="27" spans="1:13" s="2" customFormat="1" ht="15">
      <c r="A27" s="16"/>
      <c r="B27" s="43">
        <v>2</v>
      </c>
      <c r="C27" s="131"/>
      <c r="D27" s="132" t="s">
        <v>51</v>
      </c>
      <c r="E27" s="44"/>
      <c r="F27" s="133"/>
      <c r="G27" s="134"/>
      <c r="H27" s="135"/>
      <c r="I27" s="136"/>
      <c r="J27" s="133"/>
      <c r="K27" s="137"/>
      <c r="L27" s="344"/>
      <c r="M27" s="139"/>
    </row>
    <row r="28" spans="1:13" s="2" customFormat="1" ht="75">
      <c r="A28" s="16"/>
      <c r="B28" s="17"/>
      <c r="C28" s="140">
        <v>1</v>
      </c>
      <c r="D28" s="46" t="s">
        <v>73</v>
      </c>
      <c r="E28" s="45" t="s">
        <v>23</v>
      </c>
      <c r="F28" s="141" t="s">
        <v>48</v>
      </c>
      <c r="G28" s="97"/>
      <c r="H28" s="98"/>
      <c r="I28" s="142"/>
      <c r="J28" s="46"/>
      <c r="K28" s="143"/>
      <c r="L28" s="338" t="s">
        <v>187</v>
      </c>
      <c r="M28" s="100"/>
    </row>
    <row r="29" spans="1:13" s="2" customFormat="1" ht="15">
      <c r="A29" s="16"/>
      <c r="B29" s="17"/>
      <c r="C29" s="39">
        <v>2</v>
      </c>
      <c r="D29" s="34"/>
      <c r="E29" s="34" t="s">
        <v>25</v>
      </c>
      <c r="F29" s="35" t="s">
        <v>48</v>
      </c>
      <c r="G29" s="147"/>
      <c r="H29" s="36"/>
      <c r="I29" s="148"/>
      <c r="J29" s="37"/>
      <c r="K29" s="149"/>
      <c r="L29" s="342" t="s">
        <v>187</v>
      </c>
      <c r="M29" s="127"/>
    </row>
    <row r="30" spans="1:13" s="2" customFormat="1" ht="15">
      <c r="A30" s="16"/>
      <c r="B30" s="17"/>
      <c r="C30" s="38">
        <v>3</v>
      </c>
      <c r="D30" s="31"/>
      <c r="E30" s="31" t="s">
        <v>24</v>
      </c>
      <c r="F30" s="32" t="s">
        <v>48</v>
      </c>
      <c r="G30" s="144"/>
      <c r="H30" s="105"/>
      <c r="I30" s="145"/>
      <c r="J30" s="33"/>
      <c r="K30" s="146"/>
      <c r="L30" s="345" t="s">
        <v>187</v>
      </c>
      <c r="M30" s="108"/>
    </row>
    <row r="31" spans="1:13" ht="15">
      <c r="A31" s="61">
        <v>5</v>
      </c>
      <c r="B31" s="62"/>
      <c r="C31" s="63"/>
      <c r="D31" s="64" t="s">
        <v>36</v>
      </c>
      <c r="E31" s="65"/>
      <c r="F31" s="65"/>
      <c r="G31" s="128"/>
      <c r="H31" s="110"/>
      <c r="I31" s="129"/>
      <c r="J31" s="65"/>
      <c r="K31" s="69"/>
      <c r="L31" s="340"/>
      <c r="M31" s="130"/>
    </row>
    <row r="32" spans="1:13" s="2" customFormat="1" ht="15">
      <c r="A32" s="16"/>
      <c r="B32" s="43">
        <v>1</v>
      </c>
      <c r="C32" s="131"/>
      <c r="D32" s="75" t="s">
        <v>121</v>
      </c>
      <c r="E32" s="44"/>
      <c r="F32" s="133"/>
      <c r="G32" s="134"/>
      <c r="H32" s="135"/>
      <c r="I32" s="136"/>
      <c r="J32" s="133"/>
      <c r="K32" s="137"/>
      <c r="L32" s="344"/>
      <c r="M32" s="139"/>
    </row>
    <row r="33" spans="1:13" s="2" customFormat="1" ht="30">
      <c r="A33" s="16"/>
      <c r="B33" s="17"/>
      <c r="C33" s="140">
        <v>1</v>
      </c>
      <c r="D33" s="113" t="s">
        <v>146</v>
      </c>
      <c r="E33" s="45"/>
      <c r="F33" s="141" t="s">
        <v>130</v>
      </c>
      <c r="G33" s="86"/>
      <c r="H33" s="87"/>
      <c r="I33" s="142"/>
      <c r="J33" s="46"/>
      <c r="K33" s="143"/>
      <c r="L33" s="338" t="s">
        <v>187</v>
      </c>
      <c r="M33" s="100"/>
    </row>
    <row r="34" spans="1:13" s="2" customFormat="1" ht="15">
      <c r="A34" s="16"/>
      <c r="B34" s="43">
        <v>2</v>
      </c>
      <c r="C34" s="150"/>
      <c r="D34" s="48" t="s">
        <v>118</v>
      </c>
      <c r="E34" s="49"/>
      <c r="F34" s="50"/>
      <c r="G34" s="151"/>
      <c r="H34" s="152"/>
      <c r="I34" s="151"/>
      <c r="J34" s="153"/>
      <c r="K34" s="154"/>
      <c r="L34" s="346"/>
      <c r="M34" s="155"/>
    </row>
    <row r="35" spans="1:13" s="2" customFormat="1" ht="120">
      <c r="A35" s="16"/>
      <c r="B35" s="47"/>
      <c r="C35" s="325">
        <v>1</v>
      </c>
      <c r="D35" s="326" t="s">
        <v>119</v>
      </c>
      <c r="E35" s="327" t="s">
        <v>150</v>
      </c>
      <c r="F35" s="327" t="s">
        <v>82</v>
      </c>
      <c r="G35" s="328"/>
      <c r="H35" s="329"/>
      <c r="I35" s="328"/>
      <c r="J35" s="330"/>
      <c r="K35" s="331"/>
      <c r="L35" s="347" t="s">
        <v>187</v>
      </c>
      <c r="M35" s="332"/>
    </row>
    <row r="36" spans="1:13" s="2" customFormat="1" ht="15">
      <c r="A36" s="16"/>
      <c r="B36" s="43">
        <v>3</v>
      </c>
      <c r="C36" s="131"/>
      <c r="D36" s="75" t="s">
        <v>131</v>
      </c>
      <c r="E36" s="76"/>
      <c r="F36" s="76"/>
      <c r="G36" s="134"/>
      <c r="H36" s="135"/>
      <c r="I36" s="136"/>
      <c r="J36" s="133"/>
      <c r="K36" s="137"/>
      <c r="L36" s="344"/>
      <c r="M36" s="139"/>
    </row>
    <row r="37" spans="1:13" s="2" customFormat="1" ht="75">
      <c r="A37" s="16"/>
      <c r="B37" s="17"/>
      <c r="C37" s="140">
        <v>1</v>
      </c>
      <c r="D37" s="113" t="s">
        <v>132</v>
      </c>
      <c r="E37" s="114"/>
      <c r="F37" s="113" t="s">
        <v>133</v>
      </c>
      <c r="G37" s="86"/>
      <c r="H37" s="87"/>
      <c r="I37" s="142"/>
      <c r="J37" s="46"/>
      <c r="K37" s="143"/>
      <c r="L37" s="338" t="s">
        <v>187</v>
      </c>
      <c r="M37" s="100"/>
    </row>
    <row r="38" spans="1:13" ht="15">
      <c r="A38" s="72"/>
      <c r="B38" s="73">
        <v>4</v>
      </c>
      <c r="C38" s="74"/>
      <c r="D38" s="76" t="s">
        <v>37</v>
      </c>
      <c r="E38" s="76"/>
      <c r="F38" s="76"/>
      <c r="G38" s="92"/>
      <c r="H38" s="93"/>
      <c r="I38" s="94"/>
      <c r="J38" s="76"/>
      <c r="K38" s="81"/>
      <c r="L38" s="339"/>
      <c r="M38" s="95"/>
    </row>
    <row r="39" spans="1:13" ht="45">
      <c r="A39" s="157"/>
      <c r="B39" s="158"/>
      <c r="C39" s="112">
        <v>1</v>
      </c>
      <c r="D39" s="113" t="s">
        <v>134</v>
      </c>
      <c r="E39" s="114"/>
      <c r="F39" s="113" t="s">
        <v>52</v>
      </c>
      <c r="G39" s="159"/>
      <c r="H39" s="160"/>
      <c r="I39" s="161"/>
      <c r="J39" s="114"/>
      <c r="K39" s="162"/>
      <c r="L39" s="341" t="s">
        <v>187</v>
      </c>
      <c r="M39" s="163"/>
    </row>
    <row r="40" spans="1:13" ht="15">
      <c r="A40" s="61">
        <v>6</v>
      </c>
      <c r="B40" s="62"/>
      <c r="C40" s="63"/>
      <c r="D40" s="64" t="s">
        <v>121</v>
      </c>
      <c r="E40" s="65"/>
      <c r="F40" s="65"/>
      <c r="G40" s="128"/>
      <c r="H40" s="110"/>
      <c r="I40" s="129"/>
      <c r="J40" s="65"/>
      <c r="K40" s="69"/>
      <c r="L40" s="340"/>
      <c r="M40" s="130"/>
    </row>
    <row r="41" spans="1:13" s="2" customFormat="1" ht="15">
      <c r="A41" s="16"/>
      <c r="B41" s="43">
        <v>1</v>
      </c>
      <c r="C41" s="131"/>
      <c r="D41" s="75" t="s">
        <v>135</v>
      </c>
      <c r="E41" s="76"/>
      <c r="F41" s="76"/>
      <c r="G41" s="134"/>
      <c r="H41" s="135"/>
      <c r="I41" s="136"/>
      <c r="J41" s="133"/>
      <c r="K41" s="137"/>
      <c r="L41" s="344"/>
      <c r="M41" s="139"/>
    </row>
    <row r="42" spans="1:13" s="2" customFormat="1" ht="15">
      <c r="A42" s="16"/>
      <c r="B42" s="17"/>
      <c r="C42" s="140">
        <v>1</v>
      </c>
      <c r="D42" s="113" t="s">
        <v>136</v>
      </c>
      <c r="E42" s="114"/>
      <c r="F42" s="114" t="s">
        <v>137</v>
      </c>
      <c r="G42" s="86"/>
      <c r="H42" s="87"/>
      <c r="I42" s="142"/>
      <c r="J42" s="46"/>
      <c r="K42" s="143"/>
      <c r="L42" s="338" t="s">
        <v>187</v>
      </c>
      <c r="M42" s="100"/>
    </row>
    <row r="43" spans="1:13" ht="15">
      <c r="A43" s="61">
        <v>7</v>
      </c>
      <c r="B43" s="62"/>
      <c r="C43" s="63"/>
      <c r="D43" s="64" t="s">
        <v>67</v>
      </c>
      <c r="E43" s="65"/>
      <c r="F43" s="65"/>
      <c r="G43" s="128"/>
      <c r="H43" s="110"/>
      <c r="I43" s="129"/>
      <c r="J43" s="65"/>
      <c r="K43" s="69"/>
      <c r="L43" s="340"/>
      <c r="M43" s="130"/>
    </row>
    <row r="44" spans="1:13" ht="15">
      <c r="A44" s="72"/>
      <c r="B44" s="73">
        <v>1</v>
      </c>
      <c r="C44" s="74"/>
      <c r="D44" s="76" t="s">
        <v>68</v>
      </c>
      <c r="E44" s="76"/>
      <c r="F44" s="76"/>
      <c r="G44" s="92"/>
      <c r="H44" s="93"/>
      <c r="I44" s="94"/>
      <c r="J44" s="76"/>
      <c r="K44" s="81"/>
      <c r="L44" s="339"/>
      <c r="M44" s="95"/>
    </row>
    <row r="45" spans="1:13" ht="30">
      <c r="A45" s="72"/>
      <c r="B45" s="83"/>
      <c r="C45" s="84">
        <v>1</v>
      </c>
      <c r="D45" s="85" t="s">
        <v>64</v>
      </c>
      <c r="E45" s="96" t="s">
        <v>65</v>
      </c>
      <c r="F45" s="85" t="s">
        <v>148</v>
      </c>
      <c r="G45" s="97"/>
      <c r="H45" s="98"/>
      <c r="I45" s="99"/>
      <c r="J45" s="96"/>
      <c r="K45" s="90"/>
      <c r="L45" s="338" t="s">
        <v>187</v>
      </c>
      <c r="M45" s="100"/>
    </row>
    <row r="46" spans="1:13" ht="30">
      <c r="A46" s="157"/>
      <c r="B46" s="158"/>
      <c r="C46" s="101">
        <v>2</v>
      </c>
      <c r="D46" s="102"/>
      <c r="E46" s="103" t="s">
        <v>66</v>
      </c>
      <c r="F46" s="102" t="s">
        <v>149</v>
      </c>
      <c r="G46" s="104"/>
      <c r="H46" s="105"/>
      <c r="I46" s="106"/>
      <c r="J46" s="103"/>
      <c r="K46" s="146"/>
      <c r="L46" s="345" t="s">
        <v>187</v>
      </c>
      <c r="M46" s="108"/>
    </row>
  </sheetData>
  <mergeCells count="3">
    <mergeCell ref="A1:C2"/>
    <mergeCell ref="D1:F2"/>
    <mergeCell ref="A3:C3"/>
  </mergeCells>
  <phoneticPr fontId="16"/>
  <pageMargins left="0.70866141732283472" right="0.70866141732283472" top="0.74803149606299213" bottom="0.74803149606299213" header="0.31496062992125984" footer="0.31496062992125984"/>
  <pageSetup paperSize="9" scale="5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M21"/>
  <sheetViews>
    <sheetView zoomScaleNormal="100" workbookViewId="0">
      <selection sqref="A1:C2"/>
    </sheetView>
  </sheetViews>
  <sheetFormatPr defaultColWidth="9.33203125" defaultRowHeight="15"/>
  <cols>
    <col min="1" max="3" width="4.33203125" style="2" customWidth="1"/>
    <col min="4" max="4" width="35.83203125" style="2" customWidth="1"/>
    <col min="5" max="5" width="60.83203125" style="1" customWidth="1"/>
    <col min="6" max="6" width="73" style="1" customWidth="1"/>
    <col min="7" max="7" width="12.83203125" style="7" customWidth="1"/>
    <col min="8" max="8" width="12.83203125" style="8" customWidth="1"/>
    <col min="9" max="9" width="12.83203125" style="7" customWidth="1"/>
    <col min="10" max="10" width="12.83203125" style="8" customWidth="1"/>
    <col min="11" max="11" width="10.83203125" style="1" customWidth="1"/>
    <col min="12" max="12" width="10.83203125" style="28" customWidth="1"/>
    <col min="13" max="13" width="55" style="2" customWidth="1"/>
    <col min="14" max="16384" width="9.33203125" style="2"/>
  </cols>
  <sheetData>
    <row r="1" spans="1:13">
      <c r="A1" s="501" t="s">
        <v>8</v>
      </c>
      <c r="B1" s="501"/>
      <c r="C1" s="501"/>
      <c r="D1" s="503" t="s">
        <v>69</v>
      </c>
      <c r="E1" s="503"/>
      <c r="F1" s="503"/>
      <c r="G1" s="3" t="s">
        <v>4</v>
      </c>
      <c r="H1" s="4" t="s">
        <v>5</v>
      </c>
      <c r="I1" s="3" t="s">
        <v>6</v>
      </c>
      <c r="J1" s="4" t="s">
        <v>7</v>
      </c>
      <c r="K1" s="23"/>
      <c r="L1" s="25"/>
    </row>
    <row r="2" spans="1:13">
      <c r="A2" s="501"/>
      <c r="B2" s="501"/>
      <c r="C2" s="501"/>
      <c r="D2" s="504"/>
      <c r="E2" s="504"/>
      <c r="F2" s="504"/>
      <c r="G2" s="5">
        <f>COUNTA(C4:C1048576)</f>
        <v>12</v>
      </c>
      <c r="H2" s="5">
        <f>COUNTIF(H4:H1048576,"○")</f>
        <v>0</v>
      </c>
      <c r="I2" s="5">
        <f>COUNTIF(J4:J1048576,"○")</f>
        <v>0</v>
      </c>
      <c r="J2" s="6">
        <f>IFERROR((H2+I2)/G2,0)</f>
        <v>0</v>
      </c>
      <c r="K2" s="23"/>
      <c r="L2" s="25"/>
    </row>
    <row r="3" spans="1:13">
      <c r="A3" s="502" t="s">
        <v>27</v>
      </c>
      <c r="B3" s="502"/>
      <c r="C3" s="502"/>
      <c r="D3" s="18" t="s">
        <v>44</v>
      </c>
      <c r="E3" s="19" t="s">
        <v>33</v>
      </c>
      <c r="F3" s="19" t="s">
        <v>34</v>
      </c>
      <c r="G3" s="20" t="s">
        <v>0</v>
      </c>
      <c r="H3" s="20" t="s">
        <v>1</v>
      </c>
      <c r="I3" s="20" t="s">
        <v>2</v>
      </c>
      <c r="J3" s="167" t="s">
        <v>138</v>
      </c>
      <c r="K3" s="21" t="s">
        <v>42</v>
      </c>
      <c r="L3" s="22" t="s">
        <v>43</v>
      </c>
      <c r="M3" s="20" t="s">
        <v>3</v>
      </c>
    </row>
    <row r="4" spans="1:13">
      <c r="A4" s="290">
        <v>1</v>
      </c>
      <c r="B4" s="291"/>
      <c r="C4" s="292"/>
      <c r="D4" s="293" t="s">
        <v>21</v>
      </c>
      <c r="E4" s="294"/>
      <c r="F4" s="294"/>
      <c r="G4" s="295"/>
      <c r="H4" s="296"/>
      <c r="I4" s="295"/>
      <c r="J4" s="297"/>
      <c r="K4" s="294"/>
      <c r="L4" s="294"/>
      <c r="M4" s="26"/>
    </row>
    <row r="5" spans="1:13">
      <c r="A5" s="16"/>
      <c r="B5" s="298">
        <v>1</v>
      </c>
      <c r="C5" s="270"/>
      <c r="D5" s="44" t="s">
        <v>30</v>
      </c>
      <c r="E5" s="133"/>
      <c r="F5" s="299"/>
      <c r="G5" s="138"/>
      <c r="H5" s="300"/>
      <c r="I5" s="135"/>
      <c r="J5" s="301"/>
      <c r="K5" s="299"/>
      <c r="L5" s="333"/>
      <c r="M5" s="27"/>
    </row>
    <row r="6" spans="1:13" ht="45">
      <c r="A6" s="16"/>
      <c r="B6" s="17"/>
      <c r="C6" s="45">
        <v>1</v>
      </c>
      <c r="D6" s="46" t="s">
        <v>41</v>
      </c>
      <c r="E6" s="45" t="s">
        <v>80</v>
      </c>
      <c r="F6" s="46" t="s">
        <v>184</v>
      </c>
      <c r="G6" s="302"/>
      <c r="H6" s="303"/>
      <c r="I6" s="142"/>
      <c r="J6" s="304"/>
      <c r="K6" s="305"/>
      <c r="L6" s="334" t="s">
        <v>187</v>
      </c>
      <c r="M6" s="40"/>
    </row>
    <row r="7" spans="1:13">
      <c r="A7" s="16"/>
      <c r="B7" s="298">
        <v>2</v>
      </c>
      <c r="C7" s="270"/>
      <c r="D7" s="44" t="s">
        <v>81</v>
      </c>
      <c r="E7" s="306"/>
      <c r="F7" s="307"/>
      <c r="G7" s="308"/>
      <c r="H7" s="309"/>
      <c r="I7" s="308"/>
      <c r="J7" s="309"/>
      <c r="K7" s="310"/>
      <c r="L7" s="309"/>
      <c r="M7" s="27"/>
    </row>
    <row r="8" spans="1:13">
      <c r="A8" s="16"/>
      <c r="B8" s="17"/>
      <c r="C8" s="45">
        <v>1</v>
      </c>
      <c r="D8" s="46" t="s">
        <v>63</v>
      </c>
      <c r="E8" s="46" t="s">
        <v>185</v>
      </c>
      <c r="F8" s="46" t="s">
        <v>145</v>
      </c>
      <c r="G8" s="302"/>
      <c r="H8" s="303"/>
      <c r="I8" s="142"/>
      <c r="J8" s="304"/>
      <c r="K8" s="305"/>
      <c r="L8" s="334" t="s">
        <v>187</v>
      </c>
      <c r="M8" s="179"/>
    </row>
    <row r="9" spans="1:13">
      <c r="A9" s="290">
        <v>2</v>
      </c>
      <c r="B9" s="291"/>
      <c r="C9" s="292"/>
      <c r="D9" s="293" t="s">
        <v>74</v>
      </c>
      <c r="E9" s="311"/>
      <c r="F9" s="312"/>
      <c r="G9" s="313"/>
      <c r="H9" s="314"/>
      <c r="I9" s="313"/>
      <c r="J9" s="314"/>
      <c r="K9" s="315"/>
      <c r="L9" s="314"/>
      <c r="M9" s="26"/>
    </row>
    <row r="10" spans="1:13">
      <c r="A10" s="16"/>
      <c r="B10" s="298">
        <v>1</v>
      </c>
      <c r="C10" s="270"/>
      <c r="D10" s="44" t="s">
        <v>75</v>
      </c>
      <c r="E10" s="306"/>
      <c r="F10" s="307"/>
      <c r="G10" s="308"/>
      <c r="H10" s="309"/>
      <c r="I10" s="308"/>
      <c r="J10" s="309"/>
      <c r="K10" s="310"/>
      <c r="L10" s="309"/>
      <c r="M10" s="27"/>
    </row>
    <row r="11" spans="1:13" ht="30">
      <c r="A11" s="16"/>
      <c r="B11" s="17"/>
      <c r="C11" s="45">
        <v>1</v>
      </c>
      <c r="D11" s="46" t="s">
        <v>78</v>
      </c>
      <c r="E11" s="46" t="s">
        <v>31</v>
      </c>
      <c r="F11" s="46" t="s">
        <v>190</v>
      </c>
      <c r="G11" s="267"/>
      <c r="H11" s="266"/>
      <c r="I11" s="142"/>
      <c r="J11" s="304"/>
      <c r="K11" s="305"/>
      <c r="L11" s="334" t="s">
        <v>187</v>
      </c>
      <c r="M11" s="40"/>
    </row>
    <row r="12" spans="1:13">
      <c r="A12" s="16"/>
      <c r="B12" s="17"/>
      <c r="C12" s="34">
        <v>2</v>
      </c>
      <c r="D12" s="34"/>
      <c r="E12" s="34" t="s">
        <v>19</v>
      </c>
      <c r="F12" s="37" t="s">
        <v>191</v>
      </c>
      <c r="G12" s="267"/>
      <c r="H12" s="266"/>
      <c r="I12" s="148"/>
      <c r="J12" s="316"/>
      <c r="K12" s="156"/>
      <c r="L12" s="168" t="s">
        <v>187</v>
      </c>
      <c r="M12" s="42"/>
    </row>
    <row r="13" spans="1:13">
      <c r="A13" s="16"/>
      <c r="B13" s="17"/>
      <c r="C13" s="34">
        <v>3</v>
      </c>
      <c r="D13" s="34"/>
      <c r="E13" s="34" t="s">
        <v>20</v>
      </c>
      <c r="F13" s="37" t="s">
        <v>186</v>
      </c>
      <c r="G13" s="267"/>
      <c r="H13" s="266"/>
      <c r="I13" s="148"/>
      <c r="J13" s="316"/>
      <c r="K13" s="156"/>
      <c r="L13" s="168" t="s">
        <v>187</v>
      </c>
      <c r="M13" s="42"/>
    </row>
    <row r="14" spans="1:13">
      <c r="A14" s="16"/>
      <c r="B14" s="17"/>
      <c r="C14" s="34">
        <v>4</v>
      </c>
      <c r="D14" s="34"/>
      <c r="E14" s="34" t="s">
        <v>151</v>
      </c>
      <c r="F14" s="37" t="s">
        <v>192</v>
      </c>
      <c r="G14" s="267"/>
      <c r="H14" s="266"/>
      <c r="I14" s="148"/>
      <c r="J14" s="316"/>
      <c r="K14" s="156"/>
      <c r="L14" s="168" t="s">
        <v>187</v>
      </c>
      <c r="M14" s="42"/>
    </row>
    <row r="15" spans="1:13">
      <c r="A15" s="16"/>
      <c r="B15" s="17"/>
      <c r="C15" s="31">
        <v>5</v>
      </c>
      <c r="D15" s="31"/>
      <c r="E15" s="31" t="s">
        <v>152</v>
      </c>
      <c r="F15" s="33" t="s">
        <v>193</v>
      </c>
      <c r="G15" s="145"/>
      <c r="H15" s="271"/>
      <c r="I15" s="145"/>
      <c r="J15" s="317"/>
      <c r="K15" s="170"/>
      <c r="L15" s="169" t="s">
        <v>187</v>
      </c>
      <c r="M15" s="41"/>
    </row>
    <row r="16" spans="1:13">
      <c r="A16" s="16"/>
      <c r="B16" s="298">
        <v>2</v>
      </c>
      <c r="C16" s="270"/>
      <c r="D16" s="44" t="s">
        <v>77</v>
      </c>
      <c r="E16" s="133"/>
      <c r="F16" s="318"/>
      <c r="G16" s="319"/>
      <c r="H16" s="320"/>
      <c r="I16" s="319"/>
      <c r="J16" s="321"/>
      <c r="K16" s="322"/>
      <c r="L16" s="320"/>
      <c r="M16" s="27"/>
    </row>
    <row r="17" spans="1:13" ht="30">
      <c r="A17" s="16"/>
      <c r="B17" s="17"/>
      <c r="C17" s="45">
        <v>1</v>
      </c>
      <c r="D17" s="46" t="s">
        <v>76</v>
      </c>
      <c r="E17" s="46" t="s">
        <v>31</v>
      </c>
      <c r="F17" s="46" t="s">
        <v>190</v>
      </c>
      <c r="G17" s="267"/>
      <c r="H17" s="266"/>
      <c r="I17" s="142"/>
      <c r="J17" s="323"/>
      <c r="K17" s="305"/>
      <c r="L17" s="334" t="s">
        <v>187</v>
      </c>
      <c r="M17" s="40"/>
    </row>
    <row r="18" spans="1:13">
      <c r="A18" s="16"/>
      <c r="B18" s="17"/>
      <c r="C18" s="34">
        <v>2</v>
      </c>
      <c r="D18" s="34"/>
      <c r="E18" s="34" t="s">
        <v>19</v>
      </c>
      <c r="F18" s="37" t="s">
        <v>194</v>
      </c>
      <c r="G18" s="267"/>
      <c r="H18" s="266"/>
      <c r="I18" s="148"/>
      <c r="J18" s="324"/>
      <c r="K18" s="156"/>
      <c r="L18" s="168" t="s">
        <v>187</v>
      </c>
      <c r="M18" s="42"/>
    </row>
    <row r="19" spans="1:13">
      <c r="A19" s="16"/>
      <c r="B19" s="17"/>
      <c r="C19" s="34">
        <v>3</v>
      </c>
      <c r="D19" s="34"/>
      <c r="E19" s="34" t="s">
        <v>20</v>
      </c>
      <c r="F19" s="37" t="s">
        <v>195</v>
      </c>
      <c r="G19" s="267"/>
      <c r="H19" s="266"/>
      <c r="I19" s="148"/>
      <c r="J19" s="316"/>
      <c r="K19" s="156"/>
      <c r="L19" s="168" t="s">
        <v>187</v>
      </c>
      <c r="M19" s="42"/>
    </row>
    <row r="20" spans="1:13">
      <c r="A20" s="16"/>
      <c r="B20" s="17"/>
      <c r="C20" s="34">
        <v>4</v>
      </c>
      <c r="D20" s="34"/>
      <c r="E20" s="34" t="s">
        <v>151</v>
      </c>
      <c r="F20" s="37" t="s">
        <v>192</v>
      </c>
      <c r="G20" s="267"/>
      <c r="H20" s="266"/>
      <c r="I20" s="148"/>
      <c r="J20" s="316"/>
      <c r="K20" s="156"/>
      <c r="L20" s="168" t="s">
        <v>187</v>
      </c>
      <c r="M20" s="42"/>
    </row>
    <row r="21" spans="1:13">
      <c r="A21" s="30"/>
      <c r="B21" s="29"/>
      <c r="C21" s="31">
        <v>5</v>
      </c>
      <c r="D21" s="31"/>
      <c r="E21" s="31" t="s">
        <v>152</v>
      </c>
      <c r="F21" s="33" t="s">
        <v>193</v>
      </c>
      <c r="G21" s="145"/>
      <c r="H21" s="271"/>
      <c r="I21" s="145"/>
      <c r="J21" s="272"/>
      <c r="K21" s="170"/>
      <c r="L21" s="169" t="s">
        <v>187</v>
      </c>
      <c r="M21" s="41"/>
    </row>
  </sheetData>
  <mergeCells count="3">
    <mergeCell ref="A1:C2"/>
    <mergeCell ref="A3:C3"/>
    <mergeCell ref="D1:F2"/>
  </mergeCells>
  <phoneticPr fontId="16"/>
  <pageMargins left="0.70866141732283472" right="0.70866141732283472" top="0.74803149606299213" bottom="0.74803149606299213" header="0.31496062992125984" footer="0.31496062992125984"/>
  <pageSetup paperSize="9" scale="4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GR270"/>
  <sheetViews>
    <sheetView zoomScaleNormal="100" workbookViewId="0">
      <pane xSplit="6" topLeftCell="G1" activePane="topRight" state="frozen"/>
      <selection pane="topRight" activeCell="G1" sqref="G1"/>
    </sheetView>
  </sheetViews>
  <sheetFormatPr defaultColWidth="13.5" defaultRowHeight="15"/>
  <cols>
    <col min="1" max="1" width="4.33203125" style="213" customWidth="1"/>
    <col min="2" max="3" width="5.6640625" style="213" customWidth="1"/>
    <col min="4" max="4" width="5.6640625" style="214" customWidth="1"/>
    <col min="5" max="5" width="43.1640625" style="213" customWidth="1"/>
    <col min="6" max="6" width="75.33203125" style="213" customWidth="1"/>
    <col min="7" max="7" width="72.6640625" style="213" customWidth="1"/>
    <col min="8" max="85" width="16.1640625" style="213" customWidth="1"/>
    <col min="86" max="86" width="99.83203125" style="213" customWidth="1"/>
    <col min="87" max="88" width="13.5" style="213" customWidth="1"/>
    <col min="89" max="90" width="18.33203125" style="214" customWidth="1"/>
    <col min="91" max="92" width="18.33203125" style="213" customWidth="1"/>
    <col min="93" max="16384" width="13.5" style="213"/>
  </cols>
  <sheetData>
    <row r="1" spans="1:92" ht="15.75" thickBot="1">
      <c r="CH1"/>
    </row>
    <row r="2" spans="1:92">
      <c r="B2" s="505" t="s">
        <v>83</v>
      </c>
      <c r="C2" s="506"/>
      <c r="D2" s="506"/>
      <c r="E2" s="506"/>
      <c r="F2" s="507"/>
      <c r="G2" s="262" t="s">
        <v>84</v>
      </c>
      <c r="H2" s="209">
        <v>1</v>
      </c>
      <c r="I2" s="209">
        <v>2</v>
      </c>
      <c r="J2" s="209">
        <v>3</v>
      </c>
      <c r="K2" s="209">
        <v>4</v>
      </c>
      <c r="L2" s="209">
        <v>5</v>
      </c>
      <c r="M2" s="209">
        <v>6</v>
      </c>
      <c r="N2" s="209">
        <v>7</v>
      </c>
      <c r="O2" s="209">
        <v>8</v>
      </c>
      <c r="P2" s="209">
        <v>9</v>
      </c>
      <c r="Q2" s="209">
        <v>10</v>
      </c>
      <c r="R2" s="209">
        <v>11</v>
      </c>
      <c r="S2" s="209">
        <v>12</v>
      </c>
      <c r="T2" s="209">
        <v>13</v>
      </c>
      <c r="U2" s="209">
        <v>14</v>
      </c>
      <c r="V2" s="209">
        <v>15</v>
      </c>
      <c r="W2" s="209">
        <v>16</v>
      </c>
      <c r="X2" s="209">
        <v>17</v>
      </c>
      <c r="Y2" s="209">
        <v>18</v>
      </c>
      <c r="Z2" s="209">
        <v>19</v>
      </c>
      <c r="AA2" s="209">
        <v>20</v>
      </c>
      <c r="AB2" s="209">
        <v>21</v>
      </c>
      <c r="AC2" s="209">
        <v>22</v>
      </c>
      <c r="AD2" s="209">
        <v>23</v>
      </c>
      <c r="AE2" s="209">
        <v>24</v>
      </c>
      <c r="AF2" s="209">
        <v>25</v>
      </c>
      <c r="AG2" s="209">
        <v>26</v>
      </c>
      <c r="AH2" s="209">
        <v>27</v>
      </c>
      <c r="AI2" s="209">
        <v>28</v>
      </c>
      <c r="AJ2" s="209">
        <v>29</v>
      </c>
      <c r="AK2" s="209">
        <v>30</v>
      </c>
      <c r="AL2" s="209">
        <v>31</v>
      </c>
      <c r="AM2" s="209">
        <v>32</v>
      </c>
      <c r="AN2" s="209">
        <v>33</v>
      </c>
      <c r="AO2" s="209">
        <v>34</v>
      </c>
      <c r="AP2" s="209">
        <v>35</v>
      </c>
      <c r="AQ2" s="209">
        <v>36</v>
      </c>
      <c r="AR2" s="209">
        <v>37</v>
      </c>
      <c r="AS2" s="209">
        <v>38</v>
      </c>
      <c r="AT2" s="209">
        <v>39</v>
      </c>
      <c r="AU2" s="209">
        <v>40</v>
      </c>
      <c r="AV2" s="209">
        <v>41</v>
      </c>
      <c r="AW2" s="209">
        <v>42</v>
      </c>
      <c r="AX2" s="209">
        <v>43</v>
      </c>
      <c r="AY2" s="209">
        <v>44</v>
      </c>
      <c r="AZ2" s="209">
        <v>45</v>
      </c>
      <c r="BA2" s="209">
        <v>46</v>
      </c>
      <c r="BB2" s="209">
        <v>47</v>
      </c>
      <c r="BC2" s="209">
        <v>48</v>
      </c>
      <c r="BD2" s="209">
        <v>49</v>
      </c>
      <c r="BE2" s="209">
        <v>50</v>
      </c>
      <c r="BF2" s="209">
        <v>51</v>
      </c>
      <c r="BG2" s="209" t="s">
        <v>564</v>
      </c>
      <c r="BH2" s="209" t="s">
        <v>564</v>
      </c>
      <c r="BI2" s="209" t="s">
        <v>564</v>
      </c>
      <c r="BJ2" s="209" t="s">
        <v>564</v>
      </c>
      <c r="BK2" s="209" t="s">
        <v>564</v>
      </c>
      <c r="BL2" s="209" t="s">
        <v>564</v>
      </c>
      <c r="BM2" s="209" t="s">
        <v>564</v>
      </c>
      <c r="BN2" s="209" t="s">
        <v>564</v>
      </c>
      <c r="BO2" s="209" t="s">
        <v>564</v>
      </c>
      <c r="BP2" s="209" t="s">
        <v>564</v>
      </c>
      <c r="BQ2" s="209" t="s">
        <v>564</v>
      </c>
      <c r="BR2" s="209" t="s">
        <v>564</v>
      </c>
      <c r="BS2" s="209" t="s">
        <v>564</v>
      </c>
      <c r="BT2" s="209" t="s">
        <v>564</v>
      </c>
      <c r="BU2" s="209" t="s">
        <v>564</v>
      </c>
      <c r="BV2" s="209" t="s">
        <v>564</v>
      </c>
      <c r="BW2" s="209" t="s">
        <v>564</v>
      </c>
      <c r="BX2" s="209" t="s">
        <v>564</v>
      </c>
      <c r="BY2" s="209" t="s">
        <v>564</v>
      </c>
      <c r="BZ2" s="209" t="s">
        <v>564</v>
      </c>
      <c r="CA2" s="209" t="s">
        <v>564</v>
      </c>
      <c r="CB2" s="209" t="s">
        <v>564</v>
      </c>
      <c r="CC2" s="209" t="s">
        <v>564</v>
      </c>
      <c r="CD2" s="209" t="s">
        <v>564</v>
      </c>
      <c r="CE2" s="209" t="s">
        <v>564</v>
      </c>
      <c r="CF2" s="209" t="s">
        <v>564</v>
      </c>
      <c r="CG2" s="209" t="s">
        <v>564</v>
      </c>
      <c r="CH2"/>
    </row>
    <row r="3" spans="1:92" ht="16.5">
      <c r="A3"/>
      <c r="B3" s="508"/>
      <c r="C3" s="509"/>
      <c r="D3" s="509"/>
      <c r="E3" s="509"/>
      <c r="F3" s="510"/>
      <c r="G3" s="261" t="s">
        <v>95</v>
      </c>
      <c r="H3" s="260" t="s">
        <v>198</v>
      </c>
      <c r="I3" s="260" t="s">
        <v>345</v>
      </c>
      <c r="J3" s="260" t="s">
        <v>350</v>
      </c>
      <c r="K3" s="260" t="s">
        <v>355</v>
      </c>
      <c r="L3" s="260" t="s">
        <v>211</v>
      </c>
      <c r="M3" s="260" t="s">
        <v>365</v>
      </c>
      <c r="N3" s="260" t="s">
        <v>216</v>
      </c>
      <c r="O3" s="260" t="s">
        <v>377</v>
      </c>
      <c r="P3" s="260" t="s">
        <v>382</v>
      </c>
      <c r="Q3" s="260" t="s">
        <v>220</v>
      </c>
      <c r="R3" s="260" t="s">
        <v>389</v>
      </c>
      <c r="S3" s="260" t="s">
        <v>394</v>
      </c>
      <c r="T3" s="260" t="s">
        <v>399</v>
      </c>
      <c r="U3" s="260" t="s">
        <v>404</v>
      </c>
      <c r="V3" s="260" t="s">
        <v>407</v>
      </c>
      <c r="W3" s="260" t="s">
        <v>411</v>
      </c>
      <c r="X3" s="260" t="s">
        <v>416</v>
      </c>
      <c r="Y3" s="260" t="s">
        <v>411</v>
      </c>
      <c r="Z3" s="260" t="s">
        <v>234</v>
      </c>
      <c r="AA3" s="260" t="s">
        <v>427</v>
      </c>
      <c r="AB3" s="260" t="s">
        <v>433</v>
      </c>
      <c r="AC3" s="260" t="s">
        <v>438</v>
      </c>
      <c r="AD3" s="260" t="s">
        <v>443</v>
      </c>
      <c r="AE3" s="260" t="s">
        <v>449</v>
      </c>
      <c r="AF3" s="260" t="s">
        <v>454</v>
      </c>
      <c r="AG3" s="260" t="s">
        <v>458</v>
      </c>
      <c r="AH3" s="260" t="s">
        <v>462</v>
      </c>
      <c r="AI3" s="260" t="s">
        <v>248</v>
      </c>
      <c r="AJ3" s="260" t="s">
        <v>470</v>
      </c>
      <c r="AK3" s="260" t="s">
        <v>250</v>
      </c>
      <c r="AL3" s="260" t="s">
        <v>251</v>
      </c>
      <c r="AM3" s="260" t="s">
        <v>483</v>
      </c>
      <c r="AN3" s="260" t="s">
        <v>488</v>
      </c>
      <c r="AO3" s="260" t="s">
        <v>493</v>
      </c>
      <c r="AP3" s="260" t="s">
        <v>498</v>
      </c>
      <c r="AQ3" s="260" t="s">
        <v>255</v>
      </c>
      <c r="AR3" s="260" t="s">
        <v>257</v>
      </c>
      <c r="AS3" s="260" t="s">
        <v>258</v>
      </c>
      <c r="AT3" s="260" t="s">
        <v>512</v>
      </c>
      <c r="AU3" s="260" t="s">
        <v>262</v>
      </c>
      <c r="AV3" s="260" t="s">
        <v>264</v>
      </c>
      <c r="AW3" s="260" t="s">
        <v>267</v>
      </c>
      <c r="AX3" s="260" t="s">
        <v>268</v>
      </c>
      <c r="AY3" s="260" t="s">
        <v>528</v>
      </c>
      <c r="AZ3" s="260" t="s">
        <v>532</v>
      </c>
      <c r="BA3" s="260" t="s">
        <v>537</v>
      </c>
      <c r="BB3" s="260" t="s">
        <v>271</v>
      </c>
      <c r="BC3" s="260" t="s">
        <v>544</v>
      </c>
      <c r="BD3" s="260" t="s">
        <v>549</v>
      </c>
      <c r="BE3" s="260" t="s">
        <v>554</v>
      </c>
      <c r="BF3" s="260" t="s">
        <v>558</v>
      </c>
      <c r="BG3" s="260"/>
      <c r="BH3" s="260"/>
      <c r="BI3" s="260"/>
      <c r="BJ3" s="260"/>
      <c r="BK3" s="260"/>
      <c r="BL3" s="260"/>
      <c r="BM3" s="260"/>
      <c r="BN3" s="260"/>
      <c r="BO3" s="260"/>
      <c r="BP3" s="260"/>
      <c r="BQ3" s="260"/>
      <c r="BR3" s="260"/>
      <c r="BS3" s="260"/>
      <c r="BT3" s="260"/>
      <c r="BU3" s="260"/>
      <c r="BV3" s="260"/>
      <c r="BW3" s="260"/>
      <c r="BX3" s="260"/>
      <c r="BY3" s="260"/>
      <c r="BZ3" s="260"/>
      <c r="CA3" s="260"/>
      <c r="CB3" s="260"/>
      <c r="CC3" s="260"/>
      <c r="CD3" s="260"/>
      <c r="CE3" s="260"/>
      <c r="CF3" s="260"/>
      <c r="CG3" s="260"/>
      <c r="CH3"/>
    </row>
    <row r="4" spans="1:92" s="217" customFormat="1" ht="16.5">
      <c r="A4"/>
      <c r="B4" s="508"/>
      <c r="C4" s="509"/>
      <c r="D4" s="509"/>
      <c r="E4" s="509"/>
      <c r="F4" s="510"/>
      <c r="G4" s="259" t="s">
        <v>167</v>
      </c>
      <c r="H4" s="258">
        <v>2</v>
      </c>
      <c r="I4" s="258">
        <v>3</v>
      </c>
      <c r="J4" s="258">
        <v>4</v>
      </c>
      <c r="K4" s="258">
        <v>5</v>
      </c>
      <c r="L4" s="258">
        <v>9</v>
      </c>
      <c r="M4" s="258">
        <v>10</v>
      </c>
      <c r="N4" s="258">
        <v>18</v>
      </c>
      <c r="O4" s="258">
        <v>19</v>
      </c>
      <c r="P4" s="258">
        <v>20</v>
      </c>
      <c r="Q4" s="258">
        <v>21</v>
      </c>
      <c r="R4" s="258">
        <v>22</v>
      </c>
      <c r="S4" s="258">
        <v>23</v>
      </c>
      <c r="T4" s="258">
        <v>26</v>
      </c>
      <c r="U4" s="258">
        <v>27</v>
      </c>
      <c r="V4" s="258">
        <v>28</v>
      </c>
      <c r="W4" s="258">
        <v>29</v>
      </c>
      <c r="X4" s="258">
        <v>30</v>
      </c>
      <c r="Y4" s="258">
        <v>31</v>
      </c>
      <c r="Z4" s="258">
        <v>32</v>
      </c>
      <c r="AA4" s="258">
        <v>33</v>
      </c>
      <c r="AB4" s="258">
        <v>34</v>
      </c>
      <c r="AC4" s="258">
        <v>35</v>
      </c>
      <c r="AD4" s="258">
        <v>36</v>
      </c>
      <c r="AE4" s="258">
        <v>37</v>
      </c>
      <c r="AF4" s="258">
        <v>40</v>
      </c>
      <c r="AG4" s="258">
        <v>41</v>
      </c>
      <c r="AH4" s="258">
        <v>42</v>
      </c>
      <c r="AI4" s="258">
        <v>44</v>
      </c>
      <c r="AJ4" s="258">
        <v>45</v>
      </c>
      <c r="AK4" s="258">
        <v>46</v>
      </c>
      <c r="AL4" s="258">
        <v>47</v>
      </c>
      <c r="AM4" s="258">
        <v>50</v>
      </c>
      <c r="AN4" s="258">
        <v>52</v>
      </c>
      <c r="AO4" s="258">
        <v>53</v>
      </c>
      <c r="AP4" s="258">
        <v>55</v>
      </c>
      <c r="AQ4" s="258">
        <v>56</v>
      </c>
      <c r="AR4" s="258">
        <v>57</v>
      </c>
      <c r="AS4" s="258">
        <v>58</v>
      </c>
      <c r="AT4" s="258">
        <v>59</v>
      </c>
      <c r="AU4" s="258">
        <v>62</v>
      </c>
      <c r="AV4" s="258">
        <v>63</v>
      </c>
      <c r="AW4" s="258">
        <v>64</v>
      </c>
      <c r="AX4" s="258">
        <v>66</v>
      </c>
      <c r="AY4" s="258">
        <v>67</v>
      </c>
      <c r="AZ4" s="258">
        <v>68</v>
      </c>
      <c r="BA4" s="258">
        <v>69</v>
      </c>
      <c r="BB4" s="258">
        <v>70</v>
      </c>
      <c r="BC4" s="258">
        <v>71</v>
      </c>
      <c r="BD4" s="258">
        <v>72</v>
      </c>
      <c r="BE4" s="258">
        <v>76</v>
      </c>
      <c r="BF4" s="258">
        <v>77</v>
      </c>
      <c r="BG4" s="258">
        <v>1</v>
      </c>
      <c r="BH4" s="258">
        <v>6</v>
      </c>
      <c r="BI4" s="258">
        <v>7</v>
      </c>
      <c r="BJ4" s="258">
        <v>8</v>
      </c>
      <c r="BK4" s="258">
        <v>11</v>
      </c>
      <c r="BL4" s="258">
        <v>12</v>
      </c>
      <c r="BM4" s="258">
        <v>13</v>
      </c>
      <c r="BN4" s="258">
        <v>14</v>
      </c>
      <c r="BO4" s="258">
        <v>15</v>
      </c>
      <c r="BP4" s="258">
        <v>16</v>
      </c>
      <c r="BQ4" s="258">
        <v>17</v>
      </c>
      <c r="BR4" s="258">
        <v>24</v>
      </c>
      <c r="BS4" s="258">
        <v>25</v>
      </c>
      <c r="BT4" s="258">
        <v>38</v>
      </c>
      <c r="BU4" s="258">
        <v>39</v>
      </c>
      <c r="BV4" s="258">
        <v>43</v>
      </c>
      <c r="BW4" s="258">
        <v>48</v>
      </c>
      <c r="BX4" s="258">
        <v>49</v>
      </c>
      <c r="BY4" s="258">
        <v>51</v>
      </c>
      <c r="BZ4" s="258">
        <v>54</v>
      </c>
      <c r="CA4" s="258">
        <v>60</v>
      </c>
      <c r="CB4" s="258">
        <v>61</v>
      </c>
      <c r="CC4" s="258">
        <v>65</v>
      </c>
      <c r="CD4" s="258">
        <v>73</v>
      </c>
      <c r="CE4" s="258">
        <v>74</v>
      </c>
      <c r="CF4" s="258">
        <v>75</v>
      </c>
      <c r="CG4" s="258">
        <v>78</v>
      </c>
      <c r="CH4"/>
      <c r="CK4" s="214"/>
      <c r="CL4" s="214"/>
    </row>
    <row r="5" spans="1:92" ht="15.75" thickBot="1">
      <c r="B5" s="511"/>
      <c r="C5" s="512"/>
      <c r="D5" s="512"/>
      <c r="E5" s="512"/>
      <c r="F5" s="513"/>
      <c r="G5" s="257" t="s">
        <v>166</v>
      </c>
      <c r="H5" s="256" t="s">
        <v>198</v>
      </c>
      <c r="I5" s="256" t="s">
        <v>345</v>
      </c>
      <c r="J5" s="256" t="s">
        <v>350</v>
      </c>
      <c r="K5" s="256" t="s">
        <v>355</v>
      </c>
      <c r="L5" s="256" t="s">
        <v>211</v>
      </c>
      <c r="M5" s="256" t="s">
        <v>365</v>
      </c>
      <c r="N5" s="256" t="s">
        <v>216</v>
      </c>
      <c r="O5" s="256" t="s">
        <v>377</v>
      </c>
      <c r="P5" s="256" t="s">
        <v>382</v>
      </c>
      <c r="Q5" s="256" t="s">
        <v>220</v>
      </c>
      <c r="R5" s="256" t="s">
        <v>389</v>
      </c>
      <c r="S5" s="256" t="s">
        <v>394</v>
      </c>
      <c r="T5" s="256" t="s">
        <v>399</v>
      </c>
      <c r="U5" s="256" t="s">
        <v>404</v>
      </c>
      <c r="V5" s="256" t="s">
        <v>407</v>
      </c>
      <c r="W5" s="256" t="s">
        <v>411</v>
      </c>
      <c r="X5" s="256" t="s">
        <v>416</v>
      </c>
      <c r="Y5" s="256" t="s">
        <v>420</v>
      </c>
      <c r="Z5" s="256" t="s">
        <v>234</v>
      </c>
      <c r="AA5" s="256" t="s">
        <v>427</v>
      </c>
      <c r="AB5" s="256" t="s">
        <v>433</v>
      </c>
      <c r="AC5" s="256" t="s">
        <v>438</v>
      </c>
      <c r="AD5" s="256" t="s">
        <v>443</v>
      </c>
      <c r="AE5" s="256" t="s">
        <v>449</v>
      </c>
      <c r="AF5" s="256" t="s">
        <v>454</v>
      </c>
      <c r="AG5" s="256" t="s">
        <v>458</v>
      </c>
      <c r="AH5" s="256" t="s">
        <v>462</v>
      </c>
      <c r="AI5" s="256" t="s">
        <v>248</v>
      </c>
      <c r="AJ5" s="256" t="s">
        <v>470</v>
      </c>
      <c r="AK5" s="256" t="s">
        <v>250</v>
      </c>
      <c r="AL5" s="256" t="s">
        <v>251</v>
      </c>
      <c r="AM5" s="256" t="s">
        <v>483</v>
      </c>
      <c r="AN5" s="256" t="s">
        <v>488</v>
      </c>
      <c r="AO5" s="256" t="s">
        <v>493</v>
      </c>
      <c r="AP5" s="256" t="s">
        <v>498</v>
      </c>
      <c r="AQ5" s="256" t="s">
        <v>255</v>
      </c>
      <c r="AR5" s="256" t="s">
        <v>257</v>
      </c>
      <c r="AS5" s="256" t="s">
        <v>258</v>
      </c>
      <c r="AT5" s="256" t="s">
        <v>512</v>
      </c>
      <c r="AU5" s="256" t="s">
        <v>262</v>
      </c>
      <c r="AV5" s="256" t="s">
        <v>264</v>
      </c>
      <c r="AW5" s="256" t="s">
        <v>267</v>
      </c>
      <c r="AX5" s="256" t="s">
        <v>268</v>
      </c>
      <c r="AY5" s="256" t="s">
        <v>528</v>
      </c>
      <c r="AZ5" s="256" t="s">
        <v>532</v>
      </c>
      <c r="BA5" s="256" t="s">
        <v>537</v>
      </c>
      <c r="BB5" s="256" t="s">
        <v>271</v>
      </c>
      <c r="BC5" s="256" t="s">
        <v>544</v>
      </c>
      <c r="BD5" s="256" t="s">
        <v>549</v>
      </c>
      <c r="BE5" s="256" t="s">
        <v>554</v>
      </c>
      <c r="BF5" s="256" t="s">
        <v>558</v>
      </c>
      <c r="BG5" s="256" t="s">
        <v>565</v>
      </c>
      <c r="BH5" s="256" t="s">
        <v>570</v>
      </c>
      <c r="BI5" s="256" t="s">
        <v>574</v>
      </c>
      <c r="BJ5" s="256" t="s">
        <v>578</v>
      </c>
      <c r="BK5" s="256" t="s">
        <v>582</v>
      </c>
      <c r="BL5" s="256" t="s">
        <v>584</v>
      </c>
      <c r="BM5" s="256" t="s">
        <v>586</v>
      </c>
      <c r="BN5" s="256" t="s">
        <v>588</v>
      </c>
      <c r="BO5" s="256" t="s">
        <v>282</v>
      </c>
      <c r="BP5" s="256" t="s">
        <v>284</v>
      </c>
      <c r="BQ5" s="256" t="s">
        <v>286</v>
      </c>
      <c r="BR5" s="256" t="s">
        <v>593</v>
      </c>
      <c r="BS5" s="256" t="s">
        <v>596</v>
      </c>
      <c r="BT5" s="256" t="s">
        <v>598</v>
      </c>
      <c r="BU5" s="256" t="s">
        <v>601</v>
      </c>
      <c r="BV5" s="256" t="s">
        <v>604</v>
      </c>
      <c r="BW5" s="256" t="s">
        <v>288</v>
      </c>
      <c r="BX5" s="256" t="s">
        <v>289</v>
      </c>
      <c r="BY5" s="256" t="s">
        <v>609</v>
      </c>
      <c r="BZ5" s="256" t="s">
        <v>612</v>
      </c>
      <c r="CA5" s="256" t="s">
        <v>615</v>
      </c>
      <c r="CB5" s="256" t="s">
        <v>618</v>
      </c>
      <c r="CC5" s="256" t="s">
        <v>621</v>
      </c>
      <c r="CD5" s="256" t="s">
        <v>623</v>
      </c>
      <c r="CE5" s="256" t="s">
        <v>625</v>
      </c>
      <c r="CF5" s="256" t="s">
        <v>627</v>
      </c>
      <c r="CG5" s="256" t="s">
        <v>629</v>
      </c>
      <c r="CH5"/>
    </row>
    <row r="6" spans="1:92" ht="15.75" thickBot="1">
      <c r="B6" s="214"/>
      <c r="C6" s="214"/>
      <c r="H6" s="255"/>
      <c r="I6" s="255"/>
      <c r="J6" s="255"/>
      <c r="K6" s="255"/>
      <c r="L6" s="255"/>
      <c r="M6" s="255"/>
      <c r="N6" s="255"/>
      <c r="O6" s="255"/>
      <c r="P6" s="255"/>
      <c r="Q6" s="255"/>
      <c r="R6" s="255"/>
      <c r="S6" s="255"/>
      <c r="T6" s="255"/>
      <c r="U6" s="255"/>
      <c r="V6" s="255"/>
      <c r="W6" s="255"/>
      <c r="X6" s="255"/>
      <c r="Y6" s="255"/>
      <c r="Z6" s="255"/>
      <c r="AA6" s="255"/>
      <c r="AB6" s="255"/>
      <c r="AC6" s="255"/>
      <c r="AD6" s="255"/>
      <c r="AE6" s="255"/>
      <c r="AF6" s="255"/>
      <c r="AG6" s="255"/>
      <c r="AH6" s="255"/>
      <c r="AI6" s="255"/>
      <c r="AJ6" s="255"/>
      <c r="AK6" s="255"/>
      <c r="AL6" s="255"/>
      <c r="AM6" s="255"/>
      <c r="AN6" s="255"/>
      <c r="AO6" s="255"/>
      <c r="AP6" s="255"/>
      <c r="AQ6" s="255"/>
      <c r="AR6" s="255"/>
      <c r="AS6" s="255"/>
      <c r="AT6" s="255"/>
      <c r="AU6" s="255"/>
      <c r="AV6" s="255"/>
      <c r="AW6" s="255"/>
      <c r="AX6" s="255"/>
      <c r="AY6" s="255"/>
      <c r="AZ6" s="255"/>
      <c r="BA6" s="255"/>
      <c r="BB6" s="255"/>
      <c r="BC6" s="255"/>
      <c r="BD6" s="255"/>
      <c r="BE6" s="255"/>
      <c r="BF6" s="255"/>
      <c r="BG6" s="255"/>
      <c r="BH6" s="255"/>
      <c r="BI6" s="255"/>
      <c r="BJ6" s="255"/>
      <c r="BK6" s="255"/>
      <c r="BL6" s="255"/>
      <c r="BM6" s="255"/>
      <c r="BN6" s="255"/>
      <c r="BO6" s="255"/>
      <c r="BP6" s="255"/>
      <c r="BQ6" s="255"/>
      <c r="BR6" s="255"/>
      <c r="BS6" s="255"/>
      <c r="BT6" s="255"/>
      <c r="BU6" s="255"/>
      <c r="BV6" s="255"/>
      <c r="BW6" s="255"/>
      <c r="BX6" s="255"/>
      <c r="BY6" s="255"/>
      <c r="BZ6" s="255"/>
      <c r="CA6" s="255"/>
      <c r="CB6" s="255"/>
      <c r="CC6" s="255"/>
      <c r="CD6" s="255"/>
      <c r="CE6" s="255"/>
      <c r="CF6" s="255"/>
      <c r="CG6" s="255"/>
      <c r="CH6"/>
    </row>
    <row r="7" spans="1:92" ht="16.5">
      <c r="A7" s="210"/>
      <c r="B7" s="514" t="s">
        <v>28</v>
      </c>
      <c r="C7" s="515"/>
      <c r="D7" s="516"/>
      <c r="E7" s="216" t="s">
        <v>96</v>
      </c>
      <c r="F7" s="216" t="s">
        <v>97</v>
      </c>
      <c r="G7" s="216" t="s">
        <v>98</v>
      </c>
      <c r="H7" s="254" t="str">
        <f t="shared" ref="H7:BS7" si="0">H5</f>
        <v>事業所コード</v>
      </c>
      <c r="I7" s="254" t="str">
        <f t="shared" si="0"/>
        <v>発注依頼番号</v>
      </c>
      <c r="J7" s="254" t="str">
        <f t="shared" si="0"/>
        <v>発注依頼行番号</v>
      </c>
      <c r="K7" s="254" t="str">
        <f t="shared" si="0"/>
        <v>発注依頼行番号枝番</v>
      </c>
      <c r="L7" s="254" t="str">
        <f t="shared" si="0"/>
        <v>発注先コード</v>
      </c>
      <c r="M7" s="254" t="str">
        <f t="shared" si="0"/>
        <v>発注先名</v>
      </c>
      <c r="N7" s="254" t="str">
        <f t="shared" si="0"/>
        <v>申請日</v>
      </c>
      <c r="O7" s="254" t="str">
        <f t="shared" si="0"/>
        <v>申請着日</v>
      </c>
      <c r="P7" s="254" t="str">
        <f t="shared" si="0"/>
        <v>返答着日</v>
      </c>
      <c r="Q7" s="254" t="str">
        <f t="shared" si="0"/>
        <v>共通配送先コード</v>
      </c>
      <c r="R7" s="254" t="str">
        <f t="shared" si="0"/>
        <v>共通配送先名</v>
      </c>
      <c r="S7" s="254" t="str">
        <f t="shared" si="0"/>
        <v>直送区分</v>
      </c>
      <c r="T7" s="254" t="str">
        <f t="shared" si="0"/>
        <v>発注担当者</v>
      </c>
      <c r="U7" s="254" t="str">
        <f t="shared" si="0"/>
        <v>配送形態</v>
      </c>
      <c r="V7" s="254" t="str">
        <f t="shared" si="0"/>
        <v>便区分</v>
      </c>
      <c r="W7" s="254" t="str">
        <f t="shared" si="0"/>
        <v>品名コード</v>
      </c>
      <c r="X7" s="254" t="str">
        <f t="shared" si="0"/>
        <v>品名（15桁）</v>
      </c>
      <c r="Y7" s="254" t="str">
        <f t="shared" si="0"/>
        <v>全社品名コード</v>
      </c>
      <c r="Z7" s="254" t="str">
        <f t="shared" si="0"/>
        <v>ブランドコード</v>
      </c>
      <c r="AA7" s="254" t="str">
        <f t="shared" si="0"/>
        <v>ブランド名（15桁）</v>
      </c>
      <c r="AB7" s="254" t="str">
        <f t="shared" si="0"/>
        <v>規格コード</v>
      </c>
      <c r="AC7" s="254" t="str">
        <f t="shared" si="0"/>
        <v>規格名</v>
      </c>
      <c r="AD7" s="254" t="str">
        <f t="shared" si="0"/>
        <v>工場コード</v>
      </c>
      <c r="AE7" s="254" t="str">
        <f t="shared" si="0"/>
        <v>工場名</v>
      </c>
      <c r="AF7" s="254" t="str">
        <f t="shared" si="0"/>
        <v>仕向先コード</v>
      </c>
      <c r="AG7" s="254" t="str">
        <f t="shared" si="0"/>
        <v>仕向先名</v>
      </c>
      <c r="AH7" s="254" t="str">
        <f t="shared" si="0"/>
        <v>得意先名</v>
      </c>
      <c r="AI7" s="254" t="str">
        <f t="shared" si="0"/>
        <v>冷蔵庫コード</v>
      </c>
      <c r="AJ7" s="254" t="str">
        <f t="shared" si="0"/>
        <v>冷蔵庫名</v>
      </c>
      <c r="AK7" s="254" t="str">
        <f t="shared" si="0"/>
        <v>冷ロット№</v>
      </c>
      <c r="AL7" s="254" t="str">
        <f t="shared" si="0"/>
        <v>社内ロット№</v>
      </c>
      <c r="AM7" s="254" t="str">
        <f t="shared" si="0"/>
        <v>発注数量</v>
      </c>
      <c r="AN7" s="254" t="str">
        <f t="shared" si="0"/>
        <v>発注希望単価</v>
      </c>
      <c r="AO7" s="254" t="str">
        <f t="shared" si="0"/>
        <v>返答数量</v>
      </c>
      <c r="AP7" s="254" t="str">
        <f t="shared" si="0"/>
        <v>返答単価</v>
      </c>
      <c r="AQ7" s="254" t="str">
        <f t="shared" si="0"/>
        <v>ケース数</v>
      </c>
      <c r="AR7" s="254" t="str">
        <f t="shared" si="0"/>
        <v>重量（KG）</v>
      </c>
      <c r="AS7" s="254" t="str">
        <f t="shared" si="0"/>
        <v>賞味期限</v>
      </c>
      <c r="AT7" s="254" t="str">
        <f t="shared" si="0"/>
        <v>フード向けヘッダ摘要</v>
      </c>
      <c r="AU7" s="254" t="str">
        <f t="shared" si="0"/>
        <v>発注先入庫日</v>
      </c>
      <c r="AV7" s="254" t="str">
        <f t="shared" si="0"/>
        <v>発注先仕入先コード</v>
      </c>
      <c r="AW7" s="254" t="str">
        <f t="shared" si="0"/>
        <v>発注先仕入先名（カナ）</v>
      </c>
      <c r="AX7" s="254" t="str">
        <f t="shared" si="0"/>
        <v>NF発注伝票№</v>
      </c>
      <c r="AY7" s="254" t="str">
        <f t="shared" si="0"/>
        <v>NF発注伝票行№</v>
      </c>
      <c r="AZ7" s="254" t="str">
        <f t="shared" si="0"/>
        <v>食肉ＮＦ紐付事業所コード</v>
      </c>
      <c r="BA7" s="254" t="str">
        <f t="shared" si="0"/>
        <v>食肉ＮＦ紐付事業所名</v>
      </c>
      <c r="BB7" s="254" t="str">
        <f t="shared" si="0"/>
        <v>食肉ＮＦ紐付管理№</v>
      </c>
      <c r="BC7" s="254" t="str">
        <f t="shared" si="0"/>
        <v>食肉ＮＦ紐付管理№枝番</v>
      </c>
      <c r="BD7" s="254" t="str">
        <f t="shared" si="0"/>
        <v>NH引当区分</v>
      </c>
      <c r="BE7" s="254" t="str">
        <f t="shared" si="0"/>
        <v>データ作成日付</v>
      </c>
      <c r="BF7" s="254" t="str">
        <f t="shared" si="0"/>
        <v>データ作成時刻</v>
      </c>
      <c r="BG7" s="254" t="str">
        <f t="shared" si="0"/>
        <v>インターフェース識別</v>
      </c>
      <c r="BH7" s="254" t="str">
        <f t="shared" si="0"/>
        <v>申請返答区分</v>
      </c>
      <c r="BI7" s="254" t="str">
        <f t="shared" si="0"/>
        <v>データ種別</v>
      </c>
      <c r="BJ7" s="254" t="str">
        <f t="shared" si="0"/>
        <v>貸在庫変更区分</v>
      </c>
      <c r="BK7" s="254" t="str">
        <f t="shared" si="0"/>
        <v>在庫引当可能開始日</v>
      </c>
      <c r="BL7" s="254" t="str">
        <f t="shared" si="0"/>
        <v>在庫引当可能開始時間</v>
      </c>
      <c r="BM7" s="254" t="str">
        <f t="shared" si="0"/>
        <v>在庫引当可能終了日</v>
      </c>
      <c r="BN7" s="254" t="str">
        <f t="shared" si="0"/>
        <v>在庫引当可能終了時間</v>
      </c>
      <c r="BO7" s="254" t="str">
        <f t="shared" si="0"/>
        <v>チェーンコード</v>
      </c>
      <c r="BP7" s="254" t="str">
        <f t="shared" si="0"/>
        <v>チェーン名（漢字）</v>
      </c>
      <c r="BQ7" s="254" t="str">
        <f t="shared" si="0"/>
        <v>チェーン略称（漢字）</v>
      </c>
      <c r="BR7" s="254" t="str">
        <f t="shared" si="0"/>
        <v>売上先コード</v>
      </c>
      <c r="BS7" s="254" t="str">
        <f t="shared" si="0"/>
        <v>売上先名</v>
      </c>
      <c r="BT7" s="254" t="str">
        <f t="shared" ref="BT7:CG7" si="1">BT5</f>
        <v>仕様コード</v>
      </c>
      <c r="BU7" s="254" t="str">
        <f t="shared" si="1"/>
        <v>仕様名</v>
      </c>
      <c r="BV7" s="254" t="str">
        <f t="shared" si="1"/>
        <v>得意先名（略称）</v>
      </c>
      <c r="BW7" s="254" t="str">
        <f t="shared" si="1"/>
        <v>社内ロット№枝番</v>
      </c>
      <c r="BX7" s="254" t="str">
        <f t="shared" si="1"/>
        <v>引当優先順位</v>
      </c>
      <c r="BY7" s="254" t="str">
        <f t="shared" si="1"/>
        <v>発注数量単位</v>
      </c>
      <c r="BZ7" s="254" t="str">
        <f t="shared" si="1"/>
        <v>返答数量単位</v>
      </c>
      <c r="CA7" s="254" t="str">
        <f t="shared" si="1"/>
        <v>フード向け明細摘要</v>
      </c>
      <c r="CB7" s="254" t="str">
        <f t="shared" si="1"/>
        <v>在庫摘要</v>
      </c>
      <c r="CC7" s="254" t="str">
        <f t="shared" si="1"/>
        <v>NF発注伝票区分</v>
      </c>
      <c r="CD7" s="254" t="str">
        <f t="shared" si="1"/>
        <v>余白1</v>
      </c>
      <c r="CE7" s="254" t="str">
        <f t="shared" si="1"/>
        <v>余白2</v>
      </c>
      <c r="CF7" s="254" t="str">
        <f t="shared" si="1"/>
        <v>余白3</v>
      </c>
      <c r="CG7" s="254" t="str">
        <f t="shared" si="1"/>
        <v>余白</v>
      </c>
      <c r="CH7" s="191" t="s">
        <v>165</v>
      </c>
    </row>
    <row r="8" spans="1:92">
      <c r="A8" s="210"/>
      <c r="B8" s="229" t="s">
        <v>99</v>
      </c>
      <c r="C8" s="227"/>
      <c r="D8" s="244"/>
      <c r="E8" s="245" t="s">
        <v>100</v>
      </c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196"/>
      <c r="U8" s="196"/>
      <c r="V8" s="196"/>
      <c r="W8" s="196"/>
      <c r="X8" s="196"/>
      <c r="Y8" s="196"/>
      <c r="Z8" s="196"/>
      <c r="AA8" s="196"/>
      <c r="AB8" s="196"/>
      <c r="AC8" s="196"/>
      <c r="AD8" s="196"/>
      <c r="AE8" s="196"/>
      <c r="AF8" s="196"/>
      <c r="AG8" s="196"/>
      <c r="AH8" s="196"/>
      <c r="AI8" s="196"/>
      <c r="AJ8" s="196"/>
      <c r="AK8" s="196"/>
      <c r="AL8" s="196"/>
      <c r="AM8" s="196"/>
      <c r="AN8" s="196"/>
      <c r="AO8" s="196"/>
      <c r="AP8" s="196"/>
      <c r="AQ8" s="196"/>
      <c r="AR8" s="196"/>
      <c r="AS8" s="196"/>
      <c r="AT8" s="196"/>
      <c r="AU8" s="196"/>
      <c r="AV8" s="196"/>
      <c r="AW8" s="196"/>
      <c r="AX8" s="196"/>
      <c r="AY8" s="196"/>
      <c r="AZ8" s="196"/>
      <c r="BA8" s="196"/>
      <c r="BB8" s="196"/>
      <c r="BC8" s="196"/>
      <c r="BD8" s="196"/>
      <c r="BE8" s="196"/>
      <c r="BF8" s="196"/>
      <c r="BG8" s="196"/>
      <c r="BH8" s="196"/>
      <c r="BI8" s="196"/>
      <c r="BJ8" s="196"/>
      <c r="BK8" s="196"/>
      <c r="BL8" s="196"/>
      <c r="BM8" s="196"/>
      <c r="BN8" s="196"/>
      <c r="BO8" s="196"/>
      <c r="BP8" s="196"/>
      <c r="BQ8" s="196"/>
      <c r="BR8" s="196"/>
      <c r="BS8" s="196"/>
      <c r="BT8" s="196"/>
      <c r="BU8" s="196"/>
      <c r="BV8" s="196"/>
      <c r="BW8" s="196"/>
      <c r="BX8" s="196"/>
      <c r="BY8" s="196"/>
      <c r="BZ8" s="196"/>
      <c r="CA8" s="196"/>
      <c r="CB8" s="196"/>
      <c r="CC8" s="196"/>
      <c r="CD8" s="196"/>
      <c r="CE8" s="196"/>
      <c r="CF8" s="196"/>
      <c r="CG8" s="196"/>
      <c r="CH8" s="197"/>
    </row>
    <row r="9" spans="1:92">
      <c r="A9" s="210"/>
      <c r="B9" s="200"/>
      <c r="C9" s="224" t="s">
        <v>85</v>
      </c>
      <c r="D9" s="212"/>
      <c r="E9" s="215" t="s">
        <v>101</v>
      </c>
      <c r="F9" s="222"/>
      <c r="G9" s="222"/>
      <c r="H9" s="222"/>
      <c r="I9" s="222"/>
      <c r="J9" s="222"/>
      <c r="K9" s="222"/>
      <c r="L9" s="222"/>
      <c r="M9" s="222"/>
      <c r="N9" s="222"/>
      <c r="O9" s="222"/>
      <c r="P9" s="222"/>
      <c r="Q9" s="222"/>
      <c r="R9" s="222"/>
      <c r="S9" s="222"/>
      <c r="T9" s="222"/>
      <c r="U9" s="222"/>
      <c r="V9" s="222"/>
      <c r="W9" s="222"/>
      <c r="X9" s="222"/>
      <c r="Y9" s="222"/>
      <c r="Z9" s="222"/>
      <c r="AA9" s="222"/>
      <c r="AB9" s="222"/>
      <c r="AC9" s="222"/>
      <c r="AD9" s="222"/>
      <c r="AE9" s="222"/>
      <c r="AF9" s="222"/>
      <c r="AG9" s="222"/>
      <c r="AH9" s="222"/>
      <c r="AI9" s="222"/>
      <c r="AJ9" s="222"/>
      <c r="AK9" s="222"/>
      <c r="AL9" s="222"/>
      <c r="AM9" s="222"/>
      <c r="AN9" s="222"/>
      <c r="AO9" s="222"/>
      <c r="AP9" s="222"/>
      <c r="AQ9" s="222"/>
      <c r="AR9" s="222"/>
      <c r="AS9" s="222"/>
      <c r="AT9" s="222"/>
      <c r="AU9" s="222"/>
      <c r="AV9" s="222"/>
      <c r="AW9" s="222"/>
      <c r="AX9" s="222"/>
      <c r="AY9" s="222"/>
      <c r="AZ9" s="222"/>
      <c r="BA9" s="222"/>
      <c r="BB9" s="222"/>
      <c r="BC9" s="222"/>
      <c r="BD9" s="222"/>
      <c r="BE9" s="222"/>
      <c r="BF9" s="222"/>
      <c r="BG9" s="222"/>
      <c r="BH9" s="222"/>
      <c r="BI9" s="222"/>
      <c r="BJ9" s="222"/>
      <c r="BK9" s="222"/>
      <c r="BL9" s="222"/>
      <c r="BM9" s="222"/>
      <c r="BN9" s="222"/>
      <c r="BO9" s="222"/>
      <c r="BP9" s="222"/>
      <c r="BQ9" s="222"/>
      <c r="BR9" s="222"/>
      <c r="BS9" s="222"/>
      <c r="BT9" s="222"/>
      <c r="BU9" s="222"/>
      <c r="BV9" s="222"/>
      <c r="BW9" s="222"/>
      <c r="BX9" s="222"/>
      <c r="BY9" s="222"/>
      <c r="BZ9" s="222"/>
      <c r="CA9" s="222"/>
      <c r="CB9" s="222"/>
      <c r="CC9" s="222"/>
      <c r="CD9" s="222"/>
      <c r="CE9" s="222"/>
      <c r="CF9" s="222"/>
      <c r="CG9" s="222"/>
      <c r="CH9" s="237"/>
      <c r="CK9" s="253" t="s">
        <v>0</v>
      </c>
      <c r="CL9" s="253" t="s">
        <v>1</v>
      </c>
      <c r="CM9" s="253" t="s">
        <v>0</v>
      </c>
      <c r="CN9" s="253" t="s">
        <v>1</v>
      </c>
    </row>
    <row r="10" spans="1:92">
      <c r="A10" s="210"/>
      <c r="B10" s="200"/>
      <c r="C10" s="198"/>
      <c r="D10" s="250" t="s">
        <v>85</v>
      </c>
      <c r="E10" s="252" t="s">
        <v>58</v>
      </c>
      <c r="F10" s="251" t="s">
        <v>102</v>
      </c>
      <c r="G10" s="251" t="s">
        <v>155</v>
      </c>
      <c r="H10" s="449" t="s">
        <v>110</v>
      </c>
      <c r="I10" s="449" t="s">
        <v>110</v>
      </c>
      <c r="J10" s="449" t="s">
        <v>110</v>
      </c>
      <c r="K10" s="449" t="s">
        <v>110</v>
      </c>
      <c r="L10" s="449" t="s">
        <v>110</v>
      </c>
      <c r="M10" s="449" t="s">
        <v>110</v>
      </c>
      <c r="N10" s="449" t="s">
        <v>110</v>
      </c>
      <c r="O10" s="449" t="s">
        <v>110</v>
      </c>
      <c r="P10" s="449" t="s">
        <v>110</v>
      </c>
      <c r="Q10" s="449" t="s">
        <v>110</v>
      </c>
      <c r="R10" s="449" t="s">
        <v>110</v>
      </c>
      <c r="S10" s="449" t="s">
        <v>110</v>
      </c>
      <c r="T10" s="449" t="s">
        <v>110</v>
      </c>
      <c r="U10" s="449" t="s">
        <v>110</v>
      </c>
      <c r="V10" s="449" t="s">
        <v>110</v>
      </c>
      <c r="W10" s="449" t="s">
        <v>110</v>
      </c>
      <c r="X10" s="449" t="s">
        <v>110</v>
      </c>
      <c r="Y10" s="449" t="s">
        <v>110</v>
      </c>
      <c r="Z10" s="449" t="s">
        <v>110</v>
      </c>
      <c r="AA10" s="449" t="s">
        <v>110</v>
      </c>
      <c r="AB10" s="449" t="s">
        <v>110</v>
      </c>
      <c r="AC10" s="449" t="s">
        <v>110</v>
      </c>
      <c r="AD10" s="449" t="s">
        <v>110</v>
      </c>
      <c r="AE10" s="449" t="s">
        <v>110</v>
      </c>
      <c r="AF10" s="449" t="s">
        <v>110</v>
      </c>
      <c r="AG10" s="449" t="s">
        <v>110</v>
      </c>
      <c r="AH10" s="449" t="s">
        <v>110</v>
      </c>
      <c r="AI10" s="449" t="s">
        <v>110</v>
      </c>
      <c r="AJ10" s="449" t="s">
        <v>110</v>
      </c>
      <c r="AK10" s="449" t="s">
        <v>110</v>
      </c>
      <c r="AL10" s="449" t="s">
        <v>110</v>
      </c>
      <c r="AM10" s="449" t="s">
        <v>110</v>
      </c>
      <c r="AN10" s="449" t="s">
        <v>110</v>
      </c>
      <c r="AO10" s="449" t="s">
        <v>110</v>
      </c>
      <c r="AP10" s="449" t="s">
        <v>110</v>
      </c>
      <c r="AQ10" s="449" t="s">
        <v>110</v>
      </c>
      <c r="AR10" s="449" t="s">
        <v>110</v>
      </c>
      <c r="AS10" s="449" t="s">
        <v>110</v>
      </c>
      <c r="AT10" s="449" t="s">
        <v>110</v>
      </c>
      <c r="AU10" s="449" t="s">
        <v>110</v>
      </c>
      <c r="AV10" s="449" t="s">
        <v>110</v>
      </c>
      <c r="AW10" s="449" t="s">
        <v>110</v>
      </c>
      <c r="AX10" s="449" t="s">
        <v>110</v>
      </c>
      <c r="AY10" s="449" t="s">
        <v>110</v>
      </c>
      <c r="AZ10" s="449" t="s">
        <v>110</v>
      </c>
      <c r="BA10" s="449" t="s">
        <v>110</v>
      </c>
      <c r="BB10" s="449" t="s">
        <v>110</v>
      </c>
      <c r="BC10" s="449" t="s">
        <v>110</v>
      </c>
      <c r="BD10" s="449" t="s">
        <v>110</v>
      </c>
      <c r="BE10" s="449" t="s">
        <v>110</v>
      </c>
      <c r="BF10" s="449" t="s">
        <v>110</v>
      </c>
      <c r="BG10" s="450" t="s">
        <v>200</v>
      </c>
      <c r="BH10" s="450" t="s">
        <v>200</v>
      </c>
      <c r="BI10" s="450" t="s">
        <v>200</v>
      </c>
      <c r="BJ10" s="450" t="s">
        <v>200</v>
      </c>
      <c r="BK10" s="450" t="s">
        <v>200</v>
      </c>
      <c r="BL10" s="450" t="s">
        <v>200</v>
      </c>
      <c r="BM10" s="450" t="s">
        <v>200</v>
      </c>
      <c r="BN10" s="450" t="s">
        <v>200</v>
      </c>
      <c r="BO10" s="450" t="s">
        <v>200</v>
      </c>
      <c r="BP10" s="450" t="s">
        <v>200</v>
      </c>
      <c r="BQ10" s="450" t="s">
        <v>200</v>
      </c>
      <c r="BR10" s="450" t="s">
        <v>200</v>
      </c>
      <c r="BS10" s="450" t="s">
        <v>200</v>
      </c>
      <c r="BT10" s="450" t="s">
        <v>200</v>
      </c>
      <c r="BU10" s="450" t="s">
        <v>200</v>
      </c>
      <c r="BV10" s="450" t="s">
        <v>200</v>
      </c>
      <c r="BW10" s="450" t="s">
        <v>200</v>
      </c>
      <c r="BX10" s="450" t="s">
        <v>200</v>
      </c>
      <c r="BY10" s="450" t="s">
        <v>200</v>
      </c>
      <c r="BZ10" s="450" t="s">
        <v>200</v>
      </c>
      <c r="CA10" s="450" t="s">
        <v>200</v>
      </c>
      <c r="CB10" s="450" t="s">
        <v>200</v>
      </c>
      <c r="CC10" s="450" t="s">
        <v>200</v>
      </c>
      <c r="CD10" s="450" t="s">
        <v>200</v>
      </c>
      <c r="CE10" s="450" t="s">
        <v>200</v>
      </c>
      <c r="CF10" s="450" t="s">
        <v>200</v>
      </c>
      <c r="CG10" s="450" t="s">
        <v>200</v>
      </c>
      <c r="CH10" s="192"/>
      <c r="CK10" s="231"/>
      <c r="CL10" s="231"/>
      <c r="CM10" s="230"/>
      <c r="CN10" s="230"/>
    </row>
    <row r="11" spans="1:92">
      <c r="A11" s="210"/>
      <c r="B11" s="200"/>
      <c r="C11" s="198"/>
      <c r="D11" s="236" t="s">
        <v>86</v>
      </c>
      <c r="E11" s="235"/>
      <c r="F11" s="234" t="s">
        <v>171</v>
      </c>
      <c r="G11" s="234" t="s">
        <v>154</v>
      </c>
      <c r="H11" s="276" t="s">
        <v>110</v>
      </c>
      <c r="I11" s="276" t="s">
        <v>110</v>
      </c>
      <c r="J11" s="276" t="s">
        <v>110</v>
      </c>
      <c r="K11" s="276" t="s">
        <v>110</v>
      </c>
      <c r="L11" s="276" t="s">
        <v>110</v>
      </c>
      <c r="M11" s="276" t="s">
        <v>110</v>
      </c>
      <c r="N11" s="276" t="s">
        <v>110</v>
      </c>
      <c r="O11" s="276" t="s">
        <v>110</v>
      </c>
      <c r="P11" s="276" t="s">
        <v>110</v>
      </c>
      <c r="Q11" s="276" t="s">
        <v>110</v>
      </c>
      <c r="R11" s="276" t="s">
        <v>110</v>
      </c>
      <c r="S11" s="276" t="s">
        <v>110</v>
      </c>
      <c r="T11" s="276" t="s">
        <v>110</v>
      </c>
      <c r="U11" s="276" t="s">
        <v>110</v>
      </c>
      <c r="V11" s="276" t="s">
        <v>110</v>
      </c>
      <c r="W11" s="276" t="s">
        <v>110</v>
      </c>
      <c r="X11" s="276" t="s">
        <v>110</v>
      </c>
      <c r="Y11" s="276" t="s">
        <v>110</v>
      </c>
      <c r="Z11" s="276" t="s">
        <v>110</v>
      </c>
      <c r="AA11" s="276" t="s">
        <v>110</v>
      </c>
      <c r="AB11" s="276" t="s">
        <v>110</v>
      </c>
      <c r="AC11" s="276" t="s">
        <v>110</v>
      </c>
      <c r="AD11" s="276" t="s">
        <v>110</v>
      </c>
      <c r="AE11" s="276" t="s">
        <v>110</v>
      </c>
      <c r="AF11" s="276" t="s">
        <v>110</v>
      </c>
      <c r="AG11" s="276" t="s">
        <v>110</v>
      </c>
      <c r="AH11" s="276" t="s">
        <v>110</v>
      </c>
      <c r="AI11" s="276" t="s">
        <v>110</v>
      </c>
      <c r="AJ11" s="276" t="s">
        <v>110</v>
      </c>
      <c r="AK11" s="276" t="s">
        <v>110</v>
      </c>
      <c r="AL11" s="276" t="s">
        <v>110</v>
      </c>
      <c r="AM11" s="276" t="s">
        <v>110</v>
      </c>
      <c r="AN11" s="276" t="s">
        <v>110</v>
      </c>
      <c r="AO11" s="276" t="s">
        <v>110</v>
      </c>
      <c r="AP11" s="276" t="s">
        <v>110</v>
      </c>
      <c r="AQ11" s="276" t="s">
        <v>110</v>
      </c>
      <c r="AR11" s="276" t="s">
        <v>110</v>
      </c>
      <c r="AS11" s="276" t="s">
        <v>110</v>
      </c>
      <c r="AT11" s="276" t="s">
        <v>110</v>
      </c>
      <c r="AU11" s="276" t="s">
        <v>110</v>
      </c>
      <c r="AV11" s="276" t="s">
        <v>110</v>
      </c>
      <c r="AW11" s="276" t="s">
        <v>110</v>
      </c>
      <c r="AX11" s="276" t="s">
        <v>110</v>
      </c>
      <c r="AY11" s="276" t="s">
        <v>110</v>
      </c>
      <c r="AZ11" s="276" t="s">
        <v>110</v>
      </c>
      <c r="BA11" s="276" t="s">
        <v>110</v>
      </c>
      <c r="BB11" s="276" t="s">
        <v>110</v>
      </c>
      <c r="BC11" s="276" t="s">
        <v>110</v>
      </c>
      <c r="BD11" s="276" t="s">
        <v>110</v>
      </c>
      <c r="BE11" s="276" t="s">
        <v>110</v>
      </c>
      <c r="BF11" s="276" t="s">
        <v>110</v>
      </c>
      <c r="BG11" s="451" t="s">
        <v>200</v>
      </c>
      <c r="BH11" s="451" t="s">
        <v>200</v>
      </c>
      <c r="BI11" s="451" t="s">
        <v>200</v>
      </c>
      <c r="BJ11" s="451" t="s">
        <v>200</v>
      </c>
      <c r="BK11" s="451" t="s">
        <v>200</v>
      </c>
      <c r="BL11" s="451" t="s">
        <v>200</v>
      </c>
      <c r="BM11" s="451" t="s">
        <v>200</v>
      </c>
      <c r="BN11" s="451" t="s">
        <v>200</v>
      </c>
      <c r="BO11" s="451" t="s">
        <v>200</v>
      </c>
      <c r="BP11" s="451" t="s">
        <v>200</v>
      </c>
      <c r="BQ11" s="451" t="s">
        <v>200</v>
      </c>
      <c r="BR11" s="451" t="s">
        <v>200</v>
      </c>
      <c r="BS11" s="451" t="s">
        <v>200</v>
      </c>
      <c r="BT11" s="451" t="s">
        <v>200</v>
      </c>
      <c r="BU11" s="451" t="s">
        <v>200</v>
      </c>
      <c r="BV11" s="451" t="s">
        <v>200</v>
      </c>
      <c r="BW11" s="451" t="s">
        <v>200</v>
      </c>
      <c r="BX11" s="451" t="s">
        <v>200</v>
      </c>
      <c r="BY11" s="451" t="s">
        <v>200</v>
      </c>
      <c r="BZ11" s="451" t="s">
        <v>200</v>
      </c>
      <c r="CA11" s="451" t="s">
        <v>200</v>
      </c>
      <c r="CB11" s="451" t="s">
        <v>200</v>
      </c>
      <c r="CC11" s="451" t="s">
        <v>200</v>
      </c>
      <c r="CD11" s="451" t="s">
        <v>200</v>
      </c>
      <c r="CE11" s="451" t="s">
        <v>200</v>
      </c>
      <c r="CF11" s="451" t="s">
        <v>200</v>
      </c>
      <c r="CG11" s="451" t="s">
        <v>200</v>
      </c>
      <c r="CH11" s="192"/>
      <c r="CK11" s="231"/>
      <c r="CL11" s="231"/>
      <c r="CM11" s="230"/>
      <c r="CN11" s="230"/>
    </row>
    <row r="12" spans="1:92">
      <c r="A12" s="210"/>
      <c r="B12" s="200"/>
      <c r="C12" s="198"/>
      <c r="D12" s="451" t="s">
        <v>87</v>
      </c>
      <c r="E12" s="452"/>
      <c r="F12" s="453" t="s">
        <v>104</v>
      </c>
      <c r="G12" s="453" t="s">
        <v>154</v>
      </c>
      <c r="H12" s="451" t="s">
        <v>200</v>
      </c>
      <c r="I12" s="451" t="s">
        <v>200</v>
      </c>
      <c r="J12" s="451" t="s">
        <v>200</v>
      </c>
      <c r="K12" s="451" t="s">
        <v>200</v>
      </c>
      <c r="L12" s="451" t="s">
        <v>200</v>
      </c>
      <c r="M12" s="451" t="s">
        <v>200</v>
      </c>
      <c r="N12" s="451" t="s">
        <v>200</v>
      </c>
      <c r="O12" s="451" t="s">
        <v>200</v>
      </c>
      <c r="P12" s="451" t="s">
        <v>200</v>
      </c>
      <c r="Q12" s="451" t="s">
        <v>200</v>
      </c>
      <c r="R12" s="451" t="s">
        <v>200</v>
      </c>
      <c r="S12" s="451" t="s">
        <v>200</v>
      </c>
      <c r="T12" s="451" t="s">
        <v>200</v>
      </c>
      <c r="U12" s="451" t="s">
        <v>200</v>
      </c>
      <c r="V12" s="451" t="s">
        <v>200</v>
      </c>
      <c r="W12" s="451" t="s">
        <v>200</v>
      </c>
      <c r="X12" s="451" t="s">
        <v>200</v>
      </c>
      <c r="Y12" s="451" t="s">
        <v>200</v>
      </c>
      <c r="Z12" s="451" t="s">
        <v>200</v>
      </c>
      <c r="AA12" s="451" t="s">
        <v>200</v>
      </c>
      <c r="AB12" s="451" t="s">
        <v>200</v>
      </c>
      <c r="AC12" s="451" t="s">
        <v>200</v>
      </c>
      <c r="AD12" s="451" t="s">
        <v>200</v>
      </c>
      <c r="AE12" s="451" t="s">
        <v>200</v>
      </c>
      <c r="AF12" s="451" t="s">
        <v>200</v>
      </c>
      <c r="AG12" s="451" t="s">
        <v>200</v>
      </c>
      <c r="AH12" s="451" t="s">
        <v>200</v>
      </c>
      <c r="AI12" s="451" t="s">
        <v>200</v>
      </c>
      <c r="AJ12" s="451" t="s">
        <v>200</v>
      </c>
      <c r="AK12" s="451" t="s">
        <v>200</v>
      </c>
      <c r="AL12" s="451" t="s">
        <v>200</v>
      </c>
      <c r="AM12" s="451" t="s">
        <v>200</v>
      </c>
      <c r="AN12" s="451" t="s">
        <v>200</v>
      </c>
      <c r="AO12" s="451" t="s">
        <v>200</v>
      </c>
      <c r="AP12" s="451" t="s">
        <v>200</v>
      </c>
      <c r="AQ12" s="451" t="s">
        <v>200</v>
      </c>
      <c r="AR12" s="451" t="s">
        <v>200</v>
      </c>
      <c r="AS12" s="451" t="s">
        <v>200</v>
      </c>
      <c r="AT12" s="451" t="s">
        <v>200</v>
      </c>
      <c r="AU12" s="451" t="s">
        <v>200</v>
      </c>
      <c r="AV12" s="451" t="s">
        <v>200</v>
      </c>
      <c r="AW12" s="451" t="s">
        <v>200</v>
      </c>
      <c r="AX12" s="451" t="s">
        <v>200</v>
      </c>
      <c r="AY12" s="451" t="s">
        <v>200</v>
      </c>
      <c r="AZ12" s="451" t="s">
        <v>200</v>
      </c>
      <c r="BA12" s="451" t="s">
        <v>200</v>
      </c>
      <c r="BB12" s="451" t="s">
        <v>200</v>
      </c>
      <c r="BC12" s="451" t="s">
        <v>200</v>
      </c>
      <c r="BD12" s="451" t="s">
        <v>200</v>
      </c>
      <c r="BE12" s="451" t="s">
        <v>200</v>
      </c>
      <c r="BF12" s="451" t="s">
        <v>200</v>
      </c>
      <c r="BG12" s="451" t="s">
        <v>200</v>
      </c>
      <c r="BH12" s="451" t="s">
        <v>200</v>
      </c>
      <c r="BI12" s="451" t="s">
        <v>200</v>
      </c>
      <c r="BJ12" s="451" t="s">
        <v>200</v>
      </c>
      <c r="BK12" s="451" t="s">
        <v>200</v>
      </c>
      <c r="BL12" s="451" t="s">
        <v>200</v>
      </c>
      <c r="BM12" s="451" t="s">
        <v>200</v>
      </c>
      <c r="BN12" s="451" t="s">
        <v>200</v>
      </c>
      <c r="BO12" s="451" t="s">
        <v>200</v>
      </c>
      <c r="BP12" s="451" t="s">
        <v>200</v>
      </c>
      <c r="BQ12" s="451" t="s">
        <v>200</v>
      </c>
      <c r="BR12" s="451" t="s">
        <v>200</v>
      </c>
      <c r="BS12" s="451" t="s">
        <v>200</v>
      </c>
      <c r="BT12" s="451" t="s">
        <v>200</v>
      </c>
      <c r="BU12" s="451" t="s">
        <v>200</v>
      </c>
      <c r="BV12" s="451" t="s">
        <v>200</v>
      </c>
      <c r="BW12" s="451" t="s">
        <v>200</v>
      </c>
      <c r="BX12" s="451" t="s">
        <v>200</v>
      </c>
      <c r="BY12" s="451" t="s">
        <v>200</v>
      </c>
      <c r="BZ12" s="451" t="s">
        <v>200</v>
      </c>
      <c r="CA12" s="451" t="s">
        <v>200</v>
      </c>
      <c r="CB12" s="451" t="s">
        <v>200</v>
      </c>
      <c r="CC12" s="451" t="s">
        <v>200</v>
      </c>
      <c r="CD12" s="451" t="s">
        <v>200</v>
      </c>
      <c r="CE12" s="451" t="s">
        <v>200</v>
      </c>
      <c r="CF12" s="451" t="s">
        <v>200</v>
      </c>
      <c r="CG12" s="451" t="s">
        <v>200</v>
      </c>
      <c r="CH12" s="454" t="s">
        <v>632</v>
      </c>
      <c r="CK12" s="231"/>
      <c r="CL12" s="231"/>
      <c r="CM12" s="230"/>
      <c r="CN12" s="230"/>
    </row>
    <row r="13" spans="1:92">
      <c r="A13" s="210"/>
      <c r="B13" s="200"/>
      <c r="C13" s="198"/>
      <c r="D13" s="236" t="s">
        <v>88</v>
      </c>
      <c r="E13" s="235"/>
      <c r="F13" s="234" t="s">
        <v>105</v>
      </c>
      <c r="G13" s="234" t="s">
        <v>154</v>
      </c>
      <c r="H13" s="276" t="s">
        <v>110</v>
      </c>
      <c r="I13" s="276" t="s">
        <v>110</v>
      </c>
      <c r="J13" s="276" t="s">
        <v>110</v>
      </c>
      <c r="K13" s="276" t="s">
        <v>110</v>
      </c>
      <c r="L13" s="276" t="s">
        <v>110</v>
      </c>
      <c r="M13" s="276" t="s">
        <v>110</v>
      </c>
      <c r="N13" s="276" t="s">
        <v>110</v>
      </c>
      <c r="O13" s="276" t="s">
        <v>110</v>
      </c>
      <c r="P13" s="276" t="s">
        <v>110</v>
      </c>
      <c r="Q13" s="276" t="s">
        <v>110</v>
      </c>
      <c r="R13" s="276" t="s">
        <v>110</v>
      </c>
      <c r="S13" s="276" t="s">
        <v>110</v>
      </c>
      <c r="T13" s="276" t="s">
        <v>110</v>
      </c>
      <c r="U13" s="276" t="s">
        <v>110</v>
      </c>
      <c r="V13" s="276" t="s">
        <v>110</v>
      </c>
      <c r="W13" s="276" t="s">
        <v>110</v>
      </c>
      <c r="X13" s="276" t="s">
        <v>110</v>
      </c>
      <c r="Y13" s="276" t="s">
        <v>110</v>
      </c>
      <c r="Z13" s="276" t="s">
        <v>110</v>
      </c>
      <c r="AA13" s="276" t="s">
        <v>110</v>
      </c>
      <c r="AB13" s="276" t="s">
        <v>110</v>
      </c>
      <c r="AC13" s="276" t="s">
        <v>110</v>
      </c>
      <c r="AD13" s="276" t="s">
        <v>110</v>
      </c>
      <c r="AE13" s="276" t="s">
        <v>110</v>
      </c>
      <c r="AF13" s="276" t="s">
        <v>110</v>
      </c>
      <c r="AG13" s="276" t="s">
        <v>110</v>
      </c>
      <c r="AH13" s="276" t="s">
        <v>110</v>
      </c>
      <c r="AI13" s="276" t="s">
        <v>110</v>
      </c>
      <c r="AJ13" s="276" t="s">
        <v>110</v>
      </c>
      <c r="AK13" s="276" t="s">
        <v>110</v>
      </c>
      <c r="AL13" s="276" t="s">
        <v>110</v>
      </c>
      <c r="AM13" s="276" t="s">
        <v>110</v>
      </c>
      <c r="AN13" s="276" t="s">
        <v>110</v>
      </c>
      <c r="AO13" s="276" t="s">
        <v>110</v>
      </c>
      <c r="AP13" s="276" t="s">
        <v>110</v>
      </c>
      <c r="AQ13" s="276" t="s">
        <v>110</v>
      </c>
      <c r="AR13" s="276" t="s">
        <v>110</v>
      </c>
      <c r="AS13" s="276" t="s">
        <v>110</v>
      </c>
      <c r="AT13" s="276" t="s">
        <v>110</v>
      </c>
      <c r="AU13" s="276" t="s">
        <v>110</v>
      </c>
      <c r="AV13" s="276" t="s">
        <v>110</v>
      </c>
      <c r="AW13" s="276" t="s">
        <v>110</v>
      </c>
      <c r="AX13" s="276" t="s">
        <v>110</v>
      </c>
      <c r="AY13" s="276" t="s">
        <v>110</v>
      </c>
      <c r="AZ13" s="276" t="s">
        <v>110</v>
      </c>
      <c r="BA13" s="276" t="s">
        <v>110</v>
      </c>
      <c r="BB13" s="276" t="s">
        <v>110</v>
      </c>
      <c r="BC13" s="276" t="s">
        <v>110</v>
      </c>
      <c r="BD13" s="276" t="s">
        <v>110</v>
      </c>
      <c r="BE13" s="276" t="s">
        <v>110</v>
      </c>
      <c r="BF13" s="276" t="s">
        <v>110</v>
      </c>
      <c r="BG13" s="451" t="s">
        <v>200</v>
      </c>
      <c r="BH13" s="451" t="s">
        <v>200</v>
      </c>
      <c r="BI13" s="451" t="s">
        <v>200</v>
      </c>
      <c r="BJ13" s="451" t="s">
        <v>200</v>
      </c>
      <c r="BK13" s="451" t="s">
        <v>200</v>
      </c>
      <c r="BL13" s="451" t="s">
        <v>200</v>
      </c>
      <c r="BM13" s="451" t="s">
        <v>200</v>
      </c>
      <c r="BN13" s="451" t="s">
        <v>200</v>
      </c>
      <c r="BO13" s="451" t="s">
        <v>200</v>
      </c>
      <c r="BP13" s="451" t="s">
        <v>200</v>
      </c>
      <c r="BQ13" s="451" t="s">
        <v>200</v>
      </c>
      <c r="BR13" s="451" t="s">
        <v>200</v>
      </c>
      <c r="BS13" s="451" t="s">
        <v>200</v>
      </c>
      <c r="BT13" s="451" t="s">
        <v>200</v>
      </c>
      <c r="BU13" s="451" t="s">
        <v>200</v>
      </c>
      <c r="BV13" s="451" t="s">
        <v>200</v>
      </c>
      <c r="BW13" s="451" t="s">
        <v>200</v>
      </c>
      <c r="BX13" s="451" t="s">
        <v>200</v>
      </c>
      <c r="BY13" s="451" t="s">
        <v>200</v>
      </c>
      <c r="BZ13" s="451" t="s">
        <v>200</v>
      </c>
      <c r="CA13" s="451" t="s">
        <v>200</v>
      </c>
      <c r="CB13" s="451" t="s">
        <v>200</v>
      </c>
      <c r="CC13" s="451" t="s">
        <v>200</v>
      </c>
      <c r="CD13" s="451" t="s">
        <v>200</v>
      </c>
      <c r="CE13" s="451" t="s">
        <v>200</v>
      </c>
      <c r="CF13" s="451" t="s">
        <v>200</v>
      </c>
      <c r="CG13" s="451" t="s">
        <v>200</v>
      </c>
      <c r="CH13" s="249"/>
      <c r="CK13" s="231"/>
      <c r="CL13" s="231"/>
      <c r="CM13" s="230"/>
      <c r="CN13" s="230"/>
    </row>
    <row r="14" spans="1:92">
      <c r="A14" s="210"/>
      <c r="B14" s="200"/>
      <c r="C14" s="198"/>
      <c r="D14" s="236" t="s">
        <v>89</v>
      </c>
      <c r="E14" s="235"/>
      <c r="F14" s="234" t="s">
        <v>106</v>
      </c>
      <c r="G14" s="234" t="s">
        <v>154</v>
      </c>
      <c r="H14" s="276" t="s">
        <v>110</v>
      </c>
      <c r="I14" s="276" t="s">
        <v>110</v>
      </c>
      <c r="J14" s="276" t="s">
        <v>110</v>
      </c>
      <c r="K14" s="276" t="s">
        <v>110</v>
      </c>
      <c r="L14" s="276" t="s">
        <v>110</v>
      </c>
      <c r="M14" s="276" t="s">
        <v>110</v>
      </c>
      <c r="N14" s="276" t="s">
        <v>110</v>
      </c>
      <c r="O14" s="276" t="s">
        <v>110</v>
      </c>
      <c r="P14" s="276" t="s">
        <v>110</v>
      </c>
      <c r="Q14" s="276" t="s">
        <v>110</v>
      </c>
      <c r="R14" s="276" t="s">
        <v>110</v>
      </c>
      <c r="S14" s="276" t="s">
        <v>110</v>
      </c>
      <c r="T14" s="276" t="s">
        <v>110</v>
      </c>
      <c r="U14" s="276" t="s">
        <v>110</v>
      </c>
      <c r="V14" s="276" t="s">
        <v>110</v>
      </c>
      <c r="W14" s="276" t="s">
        <v>110</v>
      </c>
      <c r="X14" s="276" t="s">
        <v>110</v>
      </c>
      <c r="Y14" s="276" t="s">
        <v>110</v>
      </c>
      <c r="Z14" s="276" t="s">
        <v>110</v>
      </c>
      <c r="AA14" s="276" t="s">
        <v>110</v>
      </c>
      <c r="AB14" s="276" t="s">
        <v>110</v>
      </c>
      <c r="AC14" s="276" t="s">
        <v>110</v>
      </c>
      <c r="AD14" s="276" t="s">
        <v>110</v>
      </c>
      <c r="AE14" s="276" t="s">
        <v>110</v>
      </c>
      <c r="AF14" s="276" t="s">
        <v>110</v>
      </c>
      <c r="AG14" s="276" t="s">
        <v>110</v>
      </c>
      <c r="AH14" s="276" t="s">
        <v>110</v>
      </c>
      <c r="AI14" s="276" t="s">
        <v>110</v>
      </c>
      <c r="AJ14" s="276" t="s">
        <v>110</v>
      </c>
      <c r="AK14" s="276" t="s">
        <v>110</v>
      </c>
      <c r="AL14" s="276" t="s">
        <v>110</v>
      </c>
      <c r="AM14" s="276" t="s">
        <v>110</v>
      </c>
      <c r="AN14" s="276" t="s">
        <v>110</v>
      </c>
      <c r="AO14" s="276" t="s">
        <v>110</v>
      </c>
      <c r="AP14" s="276" t="s">
        <v>110</v>
      </c>
      <c r="AQ14" s="276" t="s">
        <v>110</v>
      </c>
      <c r="AR14" s="276" t="s">
        <v>110</v>
      </c>
      <c r="AS14" s="276" t="s">
        <v>110</v>
      </c>
      <c r="AT14" s="276" t="s">
        <v>110</v>
      </c>
      <c r="AU14" s="276" t="s">
        <v>110</v>
      </c>
      <c r="AV14" s="276" t="s">
        <v>110</v>
      </c>
      <c r="AW14" s="276" t="s">
        <v>110</v>
      </c>
      <c r="AX14" s="276" t="s">
        <v>110</v>
      </c>
      <c r="AY14" s="276" t="s">
        <v>110</v>
      </c>
      <c r="AZ14" s="276" t="s">
        <v>110</v>
      </c>
      <c r="BA14" s="276" t="s">
        <v>110</v>
      </c>
      <c r="BB14" s="276" t="s">
        <v>110</v>
      </c>
      <c r="BC14" s="276" t="s">
        <v>110</v>
      </c>
      <c r="BD14" s="276" t="s">
        <v>110</v>
      </c>
      <c r="BE14" s="276" t="s">
        <v>110</v>
      </c>
      <c r="BF14" s="276" t="s">
        <v>110</v>
      </c>
      <c r="BG14" s="451" t="s">
        <v>200</v>
      </c>
      <c r="BH14" s="451" t="s">
        <v>200</v>
      </c>
      <c r="BI14" s="451" t="s">
        <v>200</v>
      </c>
      <c r="BJ14" s="451" t="s">
        <v>200</v>
      </c>
      <c r="BK14" s="451" t="s">
        <v>200</v>
      </c>
      <c r="BL14" s="451" t="s">
        <v>200</v>
      </c>
      <c r="BM14" s="451" t="s">
        <v>200</v>
      </c>
      <c r="BN14" s="451" t="s">
        <v>200</v>
      </c>
      <c r="BO14" s="451" t="s">
        <v>200</v>
      </c>
      <c r="BP14" s="451" t="s">
        <v>200</v>
      </c>
      <c r="BQ14" s="451" t="s">
        <v>200</v>
      </c>
      <c r="BR14" s="451" t="s">
        <v>200</v>
      </c>
      <c r="BS14" s="451" t="s">
        <v>200</v>
      </c>
      <c r="BT14" s="451" t="s">
        <v>200</v>
      </c>
      <c r="BU14" s="451" t="s">
        <v>200</v>
      </c>
      <c r="BV14" s="451" t="s">
        <v>200</v>
      </c>
      <c r="BW14" s="451" t="s">
        <v>200</v>
      </c>
      <c r="BX14" s="451" t="s">
        <v>200</v>
      </c>
      <c r="BY14" s="451" t="s">
        <v>200</v>
      </c>
      <c r="BZ14" s="451" t="s">
        <v>200</v>
      </c>
      <c r="CA14" s="451" t="s">
        <v>200</v>
      </c>
      <c r="CB14" s="451" t="s">
        <v>200</v>
      </c>
      <c r="CC14" s="451" t="s">
        <v>200</v>
      </c>
      <c r="CD14" s="451" t="s">
        <v>200</v>
      </c>
      <c r="CE14" s="451" t="s">
        <v>200</v>
      </c>
      <c r="CF14" s="451" t="s">
        <v>200</v>
      </c>
      <c r="CG14" s="451" t="s">
        <v>200</v>
      </c>
      <c r="CH14" s="249"/>
      <c r="CK14" s="231"/>
      <c r="CL14" s="231"/>
      <c r="CM14" s="230"/>
      <c r="CN14" s="230"/>
    </row>
    <row r="15" spans="1:92">
      <c r="A15" s="210"/>
      <c r="B15" s="200"/>
      <c r="C15" s="198"/>
      <c r="D15" s="451" t="s">
        <v>90</v>
      </c>
      <c r="E15" s="452"/>
      <c r="F15" s="453" t="s">
        <v>107</v>
      </c>
      <c r="G15" s="453" t="s">
        <v>154</v>
      </c>
      <c r="H15" s="451" t="s">
        <v>200</v>
      </c>
      <c r="I15" s="451" t="s">
        <v>200</v>
      </c>
      <c r="J15" s="451" t="s">
        <v>200</v>
      </c>
      <c r="K15" s="451" t="s">
        <v>200</v>
      </c>
      <c r="L15" s="451" t="s">
        <v>200</v>
      </c>
      <c r="M15" s="451" t="s">
        <v>200</v>
      </c>
      <c r="N15" s="451" t="s">
        <v>200</v>
      </c>
      <c r="O15" s="451" t="s">
        <v>200</v>
      </c>
      <c r="P15" s="451" t="s">
        <v>200</v>
      </c>
      <c r="Q15" s="451" t="s">
        <v>200</v>
      </c>
      <c r="R15" s="451" t="s">
        <v>200</v>
      </c>
      <c r="S15" s="451" t="s">
        <v>200</v>
      </c>
      <c r="T15" s="451" t="s">
        <v>200</v>
      </c>
      <c r="U15" s="451" t="s">
        <v>200</v>
      </c>
      <c r="V15" s="451" t="s">
        <v>200</v>
      </c>
      <c r="W15" s="451" t="s">
        <v>200</v>
      </c>
      <c r="X15" s="451" t="s">
        <v>200</v>
      </c>
      <c r="Y15" s="451" t="s">
        <v>200</v>
      </c>
      <c r="Z15" s="451" t="s">
        <v>200</v>
      </c>
      <c r="AA15" s="451" t="s">
        <v>200</v>
      </c>
      <c r="AB15" s="451" t="s">
        <v>200</v>
      </c>
      <c r="AC15" s="451" t="s">
        <v>200</v>
      </c>
      <c r="AD15" s="451" t="s">
        <v>200</v>
      </c>
      <c r="AE15" s="451" t="s">
        <v>200</v>
      </c>
      <c r="AF15" s="451" t="s">
        <v>200</v>
      </c>
      <c r="AG15" s="451" t="s">
        <v>200</v>
      </c>
      <c r="AH15" s="451" t="s">
        <v>200</v>
      </c>
      <c r="AI15" s="451" t="s">
        <v>200</v>
      </c>
      <c r="AJ15" s="451" t="s">
        <v>200</v>
      </c>
      <c r="AK15" s="451" t="s">
        <v>200</v>
      </c>
      <c r="AL15" s="451" t="s">
        <v>200</v>
      </c>
      <c r="AM15" s="451" t="s">
        <v>200</v>
      </c>
      <c r="AN15" s="451" t="s">
        <v>200</v>
      </c>
      <c r="AO15" s="451" t="s">
        <v>200</v>
      </c>
      <c r="AP15" s="451" t="s">
        <v>200</v>
      </c>
      <c r="AQ15" s="451" t="s">
        <v>200</v>
      </c>
      <c r="AR15" s="451" t="s">
        <v>200</v>
      </c>
      <c r="AS15" s="451" t="s">
        <v>200</v>
      </c>
      <c r="AT15" s="451" t="s">
        <v>200</v>
      </c>
      <c r="AU15" s="451" t="s">
        <v>200</v>
      </c>
      <c r="AV15" s="451" t="s">
        <v>200</v>
      </c>
      <c r="AW15" s="451" t="s">
        <v>200</v>
      </c>
      <c r="AX15" s="451" t="s">
        <v>200</v>
      </c>
      <c r="AY15" s="451" t="s">
        <v>200</v>
      </c>
      <c r="AZ15" s="451" t="s">
        <v>200</v>
      </c>
      <c r="BA15" s="451" t="s">
        <v>200</v>
      </c>
      <c r="BB15" s="451" t="s">
        <v>200</v>
      </c>
      <c r="BC15" s="451" t="s">
        <v>200</v>
      </c>
      <c r="BD15" s="451" t="s">
        <v>200</v>
      </c>
      <c r="BE15" s="451" t="s">
        <v>200</v>
      </c>
      <c r="BF15" s="451" t="s">
        <v>200</v>
      </c>
      <c r="BG15" s="451" t="s">
        <v>200</v>
      </c>
      <c r="BH15" s="451" t="s">
        <v>200</v>
      </c>
      <c r="BI15" s="451" t="s">
        <v>200</v>
      </c>
      <c r="BJ15" s="451" t="s">
        <v>200</v>
      </c>
      <c r="BK15" s="451" t="s">
        <v>200</v>
      </c>
      <c r="BL15" s="451" t="s">
        <v>200</v>
      </c>
      <c r="BM15" s="451" t="s">
        <v>200</v>
      </c>
      <c r="BN15" s="451" t="s">
        <v>200</v>
      </c>
      <c r="BO15" s="451" t="s">
        <v>200</v>
      </c>
      <c r="BP15" s="451" t="s">
        <v>200</v>
      </c>
      <c r="BQ15" s="451" t="s">
        <v>200</v>
      </c>
      <c r="BR15" s="451" t="s">
        <v>200</v>
      </c>
      <c r="BS15" s="451" t="s">
        <v>200</v>
      </c>
      <c r="BT15" s="451" t="s">
        <v>200</v>
      </c>
      <c r="BU15" s="451" t="s">
        <v>200</v>
      </c>
      <c r="BV15" s="451" t="s">
        <v>200</v>
      </c>
      <c r="BW15" s="451" t="s">
        <v>200</v>
      </c>
      <c r="BX15" s="451" t="s">
        <v>200</v>
      </c>
      <c r="BY15" s="451" t="s">
        <v>200</v>
      </c>
      <c r="BZ15" s="451" t="s">
        <v>200</v>
      </c>
      <c r="CA15" s="451" t="s">
        <v>200</v>
      </c>
      <c r="CB15" s="451" t="s">
        <v>200</v>
      </c>
      <c r="CC15" s="451" t="s">
        <v>200</v>
      </c>
      <c r="CD15" s="451" t="s">
        <v>200</v>
      </c>
      <c r="CE15" s="451" t="s">
        <v>200</v>
      </c>
      <c r="CF15" s="451" t="s">
        <v>200</v>
      </c>
      <c r="CG15" s="451" t="s">
        <v>200</v>
      </c>
      <c r="CH15" s="454" t="s">
        <v>633</v>
      </c>
      <c r="CK15" s="231"/>
      <c r="CL15" s="231"/>
      <c r="CM15" s="230"/>
      <c r="CN15" s="230"/>
    </row>
    <row r="16" spans="1:92">
      <c r="A16" s="210"/>
      <c r="B16" s="200"/>
      <c r="C16" s="198"/>
      <c r="D16" s="236" t="s">
        <v>91</v>
      </c>
      <c r="E16" s="235"/>
      <c r="F16" s="234" t="s">
        <v>108</v>
      </c>
      <c r="G16" s="234" t="s">
        <v>154</v>
      </c>
      <c r="H16" s="276" t="s">
        <v>110</v>
      </c>
      <c r="I16" s="276" t="s">
        <v>110</v>
      </c>
      <c r="J16" s="276" t="s">
        <v>110</v>
      </c>
      <c r="K16" s="276" t="s">
        <v>110</v>
      </c>
      <c r="L16" s="276" t="s">
        <v>110</v>
      </c>
      <c r="M16" s="276" t="s">
        <v>110</v>
      </c>
      <c r="N16" s="276" t="s">
        <v>110</v>
      </c>
      <c r="O16" s="276" t="s">
        <v>110</v>
      </c>
      <c r="P16" s="276" t="s">
        <v>110</v>
      </c>
      <c r="Q16" s="276" t="s">
        <v>110</v>
      </c>
      <c r="R16" s="276" t="s">
        <v>110</v>
      </c>
      <c r="S16" s="276" t="s">
        <v>110</v>
      </c>
      <c r="T16" s="276" t="s">
        <v>110</v>
      </c>
      <c r="U16" s="276" t="s">
        <v>110</v>
      </c>
      <c r="V16" s="276" t="s">
        <v>110</v>
      </c>
      <c r="W16" s="276" t="s">
        <v>110</v>
      </c>
      <c r="X16" s="276" t="s">
        <v>110</v>
      </c>
      <c r="Y16" s="276" t="s">
        <v>110</v>
      </c>
      <c r="Z16" s="276" t="s">
        <v>110</v>
      </c>
      <c r="AA16" s="276" t="s">
        <v>110</v>
      </c>
      <c r="AB16" s="276" t="s">
        <v>110</v>
      </c>
      <c r="AC16" s="276" t="s">
        <v>110</v>
      </c>
      <c r="AD16" s="276" t="s">
        <v>110</v>
      </c>
      <c r="AE16" s="276" t="s">
        <v>110</v>
      </c>
      <c r="AF16" s="276" t="s">
        <v>110</v>
      </c>
      <c r="AG16" s="276" t="s">
        <v>110</v>
      </c>
      <c r="AH16" s="276" t="s">
        <v>110</v>
      </c>
      <c r="AI16" s="276" t="s">
        <v>110</v>
      </c>
      <c r="AJ16" s="276" t="s">
        <v>110</v>
      </c>
      <c r="AK16" s="276" t="s">
        <v>110</v>
      </c>
      <c r="AL16" s="276" t="s">
        <v>110</v>
      </c>
      <c r="AM16" s="276" t="s">
        <v>110</v>
      </c>
      <c r="AN16" s="276" t="s">
        <v>110</v>
      </c>
      <c r="AO16" s="276" t="s">
        <v>110</v>
      </c>
      <c r="AP16" s="276" t="s">
        <v>110</v>
      </c>
      <c r="AQ16" s="276" t="s">
        <v>110</v>
      </c>
      <c r="AR16" s="276" t="s">
        <v>110</v>
      </c>
      <c r="AS16" s="276" t="s">
        <v>110</v>
      </c>
      <c r="AT16" s="276" t="s">
        <v>110</v>
      </c>
      <c r="AU16" s="276" t="s">
        <v>110</v>
      </c>
      <c r="AV16" s="276" t="s">
        <v>110</v>
      </c>
      <c r="AW16" s="276" t="s">
        <v>110</v>
      </c>
      <c r="AX16" s="276" t="s">
        <v>110</v>
      </c>
      <c r="AY16" s="276" t="s">
        <v>110</v>
      </c>
      <c r="AZ16" s="276" t="s">
        <v>110</v>
      </c>
      <c r="BA16" s="276" t="s">
        <v>110</v>
      </c>
      <c r="BB16" s="276" t="s">
        <v>110</v>
      </c>
      <c r="BC16" s="276" t="s">
        <v>110</v>
      </c>
      <c r="BD16" s="276" t="s">
        <v>110</v>
      </c>
      <c r="BE16" s="276" t="s">
        <v>110</v>
      </c>
      <c r="BF16" s="276" t="s">
        <v>110</v>
      </c>
      <c r="BG16" s="451" t="s">
        <v>200</v>
      </c>
      <c r="BH16" s="451" t="s">
        <v>200</v>
      </c>
      <c r="BI16" s="451" t="s">
        <v>200</v>
      </c>
      <c r="BJ16" s="451" t="s">
        <v>200</v>
      </c>
      <c r="BK16" s="451" t="s">
        <v>200</v>
      </c>
      <c r="BL16" s="451" t="s">
        <v>200</v>
      </c>
      <c r="BM16" s="451" t="s">
        <v>200</v>
      </c>
      <c r="BN16" s="451" t="s">
        <v>200</v>
      </c>
      <c r="BO16" s="451" t="s">
        <v>200</v>
      </c>
      <c r="BP16" s="451" t="s">
        <v>200</v>
      </c>
      <c r="BQ16" s="451" t="s">
        <v>200</v>
      </c>
      <c r="BR16" s="451" t="s">
        <v>200</v>
      </c>
      <c r="BS16" s="451" t="s">
        <v>200</v>
      </c>
      <c r="BT16" s="451" t="s">
        <v>200</v>
      </c>
      <c r="BU16" s="451" t="s">
        <v>200</v>
      </c>
      <c r="BV16" s="451" t="s">
        <v>200</v>
      </c>
      <c r="BW16" s="451" t="s">
        <v>200</v>
      </c>
      <c r="BX16" s="451" t="s">
        <v>200</v>
      </c>
      <c r="BY16" s="451" t="s">
        <v>200</v>
      </c>
      <c r="BZ16" s="451" t="s">
        <v>200</v>
      </c>
      <c r="CA16" s="451" t="s">
        <v>200</v>
      </c>
      <c r="CB16" s="451" t="s">
        <v>200</v>
      </c>
      <c r="CC16" s="451" t="s">
        <v>200</v>
      </c>
      <c r="CD16" s="451" t="s">
        <v>200</v>
      </c>
      <c r="CE16" s="451" t="s">
        <v>200</v>
      </c>
      <c r="CF16" s="451" t="s">
        <v>200</v>
      </c>
      <c r="CG16" s="451" t="s">
        <v>200</v>
      </c>
      <c r="CH16" s="192"/>
      <c r="CK16" s="231"/>
      <c r="CL16" s="231"/>
      <c r="CM16" s="230"/>
      <c r="CN16" s="230"/>
    </row>
    <row r="17" spans="1:92">
      <c r="A17" s="210"/>
      <c r="B17" s="200"/>
      <c r="C17" s="198"/>
      <c r="D17" s="236" t="s">
        <v>92</v>
      </c>
      <c r="E17" s="235" t="s">
        <v>109</v>
      </c>
      <c r="F17" s="234" t="s">
        <v>57</v>
      </c>
      <c r="G17" s="234" t="s">
        <v>154</v>
      </c>
      <c r="H17" s="451" t="s">
        <v>200</v>
      </c>
      <c r="I17" s="451" t="s">
        <v>200</v>
      </c>
      <c r="J17" s="451" t="s">
        <v>200</v>
      </c>
      <c r="K17" s="451" t="s">
        <v>200</v>
      </c>
      <c r="L17" s="451" t="s">
        <v>200</v>
      </c>
      <c r="M17" s="451" t="s">
        <v>200</v>
      </c>
      <c r="N17" s="451" t="s">
        <v>200</v>
      </c>
      <c r="O17" s="451" t="s">
        <v>200</v>
      </c>
      <c r="P17" s="451" t="s">
        <v>200</v>
      </c>
      <c r="Q17" s="451" t="s">
        <v>200</v>
      </c>
      <c r="R17" s="451" t="s">
        <v>200</v>
      </c>
      <c r="S17" s="451" t="s">
        <v>200</v>
      </c>
      <c r="T17" s="451" t="s">
        <v>200</v>
      </c>
      <c r="U17" s="451" t="s">
        <v>200</v>
      </c>
      <c r="V17" s="451" t="s">
        <v>200</v>
      </c>
      <c r="W17" s="451" t="s">
        <v>200</v>
      </c>
      <c r="X17" s="451" t="s">
        <v>200</v>
      </c>
      <c r="Y17" s="451" t="s">
        <v>200</v>
      </c>
      <c r="Z17" s="451" t="s">
        <v>200</v>
      </c>
      <c r="AA17" s="451" t="s">
        <v>200</v>
      </c>
      <c r="AB17" s="451" t="s">
        <v>200</v>
      </c>
      <c r="AC17" s="451" t="s">
        <v>200</v>
      </c>
      <c r="AD17" s="451" t="s">
        <v>200</v>
      </c>
      <c r="AE17" s="451" t="s">
        <v>200</v>
      </c>
      <c r="AF17" s="451" t="s">
        <v>200</v>
      </c>
      <c r="AG17" s="451" t="s">
        <v>200</v>
      </c>
      <c r="AH17" s="451" t="s">
        <v>200</v>
      </c>
      <c r="AI17" s="451" t="s">
        <v>200</v>
      </c>
      <c r="AJ17" s="451" t="s">
        <v>200</v>
      </c>
      <c r="AK17" s="451" t="s">
        <v>200</v>
      </c>
      <c r="AL17" s="451" t="s">
        <v>200</v>
      </c>
      <c r="AM17" s="276" t="s">
        <v>110</v>
      </c>
      <c r="AN17" s="276" t="s">
        <v>110</v>
      </c>
      <c r="AO17" s="276" t="s">
        <v>110</v>
      </c>
      <c r="AP17" s="276" t="s">
        <v>110</v>
      </c>
      <c r="AQ17" s="276" t="s">
        <v>110</v>
      </c>
      <c r="AR17" s="276" t="s">
        <v>110</v>
      </c>
      <c r="AS17" s="451" t="s">
        <v>200</v>
      </c>
      <c r="AT17" s="451" t="s">
        <v>200</v>
      </c>
      <c r="AU17" s="451" t="s">
        <v>200</v>
      </c>
      <c r="AV17" s="451" t="s">
        <v>200</v>
      </c>
      <c r="AW17" s="451" t="s">
        <v>200</v>
      </c>
      <c r="AX17" s="451" t="s">
        <v>200</v>
      </c>
      <c r="AY17" s="451" t="s">
        <v>200</v>
      </c>
      <c r="AZ17" s="451" t="s">
        <v>200</v>
      </c>
      <c r="BA17" s="451" t="s">
        <v>200</v>
      </c>
      <c r="BB17" s="451" t="s">
        <v>200</v>
      </c>
      <c r="BC17" s="451" t="s">
        <v>200</v>
      </c>
      <c r="BD17" s="451" t="s">
        <v>200</v>
      </c>
      <c r="BE17" s="451" t="s">
        <v>200</v>
      </c>
      <c r="BF17" s="451" t="s">
        <v>200</v>
      </c>
      <c r="BG17" s="451" t="s">
        <v>200</v>
      </c>
      <c r="BH17" s="451" t="s">
        <v>200</v>
      </c>
      <c r="BI17" s="451" t="s">
        <v>200</v>
      </c>
      <c r="BJ17" s="451" t="s">
        <v>200</v>
      </c>
      <c r="BK17" s="451" t="s">
        <v>200</v>
      </c>
      <c r="BL17" s="451" t="s">
        <v>200</v>
      </c>
      <c r="BM17" s="451" t="s">
        <v>200</v>
      </c>
      <c r="BN17" s="451" t="s">
        <v>200</v>
      </c>
      <c r="BO17" s="451" t="s">
        <v>200</v>
      </c>
      <c r="BP17" s="451" t="s">
        <v>200</v>
      </c>
      <c r="BQ17" s="451" t="s">
        <v>200</v>
      </c>
      <c r="BR17" s="451" t="s">
        <v>200</v>
      </c>
      <c r="BS17" s="451" t="s">
        <v>200</v>
      </c>
      <c r="BT17" s="451" t="s">
        <v>200</v>
      </c>
      <c r="BU17" s="451" t="s">
        <v>200</v>
      </c>
      <c r="BV17" s="451" t="s">
        <v>200</v>
      </c>
      <c r="BW17" s="451" t="s">
        <v>200</v>
      </c>
      <c r="BX17" s="451" t="s">
        <v>200</v>
      </c>
      <c r="BY17" s="451" t="s">
        <v>200</v>
      </c>
      <c r="BZ17" s="451" t="s">
        <v>200</v>
      </c>
      <c r="CA17" s="451" t="s">
        <v>200</v>
      </c>
      <c r="CB17" s="451" t="s">
        <v>200</v>
      </c>
      <c r="CC17" s="451" t="s">
        <v>200</v>
      </c>
      <c r="CD17" s="451" t="s">
        <v>200</v>
      </c>
      <c r="CE17" s="451" t="s">
        <v>200</v>
      </c>
      <c r="CF17" s="451" t="s">
        <v>200</v>
      </c>
      <c r="CG17" s="451" t="s">
        <v>200</v>
      </c>
      <c r="CH17" s="192"/>
      <c r="CK17" s="231"/>
      <c r="CL17" s="231"/>
      <c r="CM17" s="230"/>
      <c r="CN17" s="230"/>
    </row>
    <row r="18" spans="1:92">
      <c r="A18" s="210"/>
      <c r="B18" s="200"/>
      <c r="C18" s="198"/>
      <c r="D18" s="236" t="s">
        <v>93</v>
      </c>
      <c r="E18" s="235"/>
      <c r="F18" s="234" t="s">
        <v>55</v>
      </c>
      <c r="G18" s="234" t="s">
        <v>154</v>
      </c>
      <c r="H18" s="451" t="s">
        <v>200</v>
      </c>
      <c r="I18" s="451" t="s">
        <v>200</v>
      </c>
      <c r="J18" s="451" t="s">
        <v>200</v>
      </c>
      <c r="K18" s="451" t="s">
        <v>200</v>
      </c>
      <c r="L18" s="451" t="s">
        <v>200</v>
      </c>
      <c r="M18" s="451" t="s">
        <v>200</v>
      </c>
      <c r="N18" s="451" t="s">
        <v>200</v>
      </c>
      <c r="O18" s="451" t="s">
        <v>200</v>
      </c>
      <c r="P18" s="451" t="s">
        <v>200</v>
      </c>
      <c r="Q18" s="451" t="s">
        <v>200</v>
      </c>
      <c r="R18" s="451" t="s">
        <v>200</v>
      </c>
      <c r="S18" s="451" t="s">
        <v>200</v>
      </c>
      <c r="T18" s="451" t="s">
        <v>200</v>
      </c>
      <c r="U18" s="451" t="s">
        <v>200</v>
      </c>
      <c r="V18" s="451" t="s">
        <v>200</v>
      </c>
      <c r="W18" s="451" t="s">
        <v>200</v>
      </c>
      <c r="X18" s="451" t="s">
        <v>200</v>
      </c>
      <c r="Y18" s="451" t="s">
        <v>200</v>
      </c>
      <c r="Z18" s="451" t="s">
        <v>200</v>
      </c>
      <c r="AA18" s="451" t="s">
        <v>200</v>
      </c>
      <c r="AB18" s="451" t="s">
        <v>200</v>
      </c>
      <c r="AC18" s="451" t="s">
        <v>200</v>
      </c>
      <c r="AD18" s="451" t="s">
        <v>200</v>
      </c>
      <c r="AE18" s="451" t="s">
        <v>200</v>
      </c>
      <c r="AF18" s="451" t="s">
        <v>200</v>
      </c>
      <c r="AG18" s="451" t="s">
        <v>200</v>
      </c>
      <c r="AH18" s="451" t="s">
        <v>200</v>
      </c>
      <c r="AI18" s="451" t="s">
        <v>200</v>
      </c>
      <c r="AJ18" s="451" t="s">
        <v>200</v>
      </c>
      <c r="AK18" s="451" t="s">
        <v>200</v>
      </c>
      <c r="AL18" s="451" t="s">
        <v>200</v>
      </c>
      <c r="AM18" s="276" t="s">
        <v>110</v>
      </c>
      <c r="AN18" s="276" t="s">
        <v>110</v>
      </c>
      <c r="AO18" s="276" t="s">
        <v>110</v>
      </c>
      <c r="AP18" s="276" t="s">
        <v>110</v>
      </c>
      <c r="AQ18" s="276" t="s">
        <v>110</v>
      </c>
      <c r="AR18" s="276" t="s">
        <v>110</v>
      </c>
      <c r="AS18" s="451" t="s">
        <v>200</v>
      </c>
      <c r="AT18" s="451" t="s">
        <v>200</v>
      </c>
      <c r="AU18" s="451" t="s">
        <v>200</v>
      </c>
      <c r="AV18" s="451" t="s">
        <v>200</v>
      </c>
      <c r="AW18" s="451" t="s">
        <v>200</v>
      </c>
      <c r="AX18" s="451" t="s">
        <v>200</v>
      </c>
      <c r="AY18" s="451" t="s">
        <v>200</v>
      </c>
      <c r="AZ18" s="451" t="s">
        <v>200</v>
      </c>
      <c r="BA18" s="451" t="s">
        <v>200</v>
      </c>
      <c r="BB18" s="451" t="s">
        <v>200</v>
      </c>
      <c r="BC18" s="451" t="s">
        <v>200</v>
      </c>
      <c r="BD18" s="451" t="s">
        <v>200</v>
      </c>
      <c r="BE18" s="451" t="s">
        <v>200</v>
      </c>
      <c r="BF18" s="451" t="s">
        <v>200</v>
      </c>
      <c r="BG18" s="451" t="s">
        <v>200</v>
      </c>
      <c r="BH18" s="451" t="s">
        <v>200</v>
      </c>
      <c r="BI18" s="451" t="s">
        <v>200</v>
      </c>
      <c r="BJ18" s="451" t="s">
        <v>200</v>
      </c>
      <c r="BK18" s="451" t="s">
        <v>200</v>
      </c>
      <c r="BL18" s="451" t="s">
        <v>200</v>
      </c>
      <c r="BM18" s="451" t="s">
        <v>200</v>
      </c>
      <c r="BN18" s="451" t="s">
        <v>200</v>
      </c>
      <c r="BO18" s="451" t="s">
        <v>200</v>
      </c>
      <c r="BP18" s="451" t="s">
        <v>200</v>
      </c>
      <c r="BQ18" s="451" t="s">
        <v>200</v>
      </c>
      <c r="BR18" s="451" t="s">
        <v>200</v>
      </c>
      <c r="BS18" s="451" t="s">
        <v>200</v>
      </c>
      <c r="BT18" s="451" t="s">
        <v>200</v>
      </c>
      <c r="BU18" s="451" t="s">
        <v>200</v>
      </c>
      <c r="BV18" s="451" t="s">
        <v>200</v>
      </c>
      <c r="BW18" s="451" t="s">
        <v>200</v>
      </c>
      <c r="BX18" s="451" t="s">
        <v>200</v>
      </c>
      <c r="BY18" s="451" t="s">
        <v>200</v>
      </c>
      <c r="BZ18" s="451" t="s">
        <v>200</v>
      </c>
      <c r="CA18" s="451" t="s">
        <v>200</v>
      </c>
      <c r="CB18" s="451" t="s">
        <v>200</v>
      </c>
      <c r="CC18" s="451" t="s">
        <v>200</v>
      </c>
      <c r="CD18" s="451" t="s">
        <v>200</v>
      </c>
      <c r="CE18" s="451" t="s">
        <v>200</v>
      </c>
      <c r="CF18" s="451" t="s">
        <v>200</v>
      </c>
      <c r="CG18" s="451" t="s">
        <v>200</v>
      </c>
      <c r="CH18" s="192"/>
      <c r="CK18" s="231"/>
      <c r="CL18" s="231"/>
      <c r="CM18" s="230"/>
      <c r="CN18" s="230"/>
    </row>
    <row r="19" spans="1:92">
      <c r="A19" s="210"/>
      <c r="B19" s="200"/>
      <c r="C19" s="198"/>
      <c r="D19" s="451" t="s">
        <v>94</v>
      </c>
      <c r="E19" s="452"/>
      <c r="F19" s="453" t="s">
        <v>56</v>
      </c>
      <c r="G19" s="453" t="s">
        <v>154</v>
      </c>
      <c r="H19" s="451" t="s">
        <v>200</v>
      </c>
      <c r="I19" s="451" t="s">
        <v>200</v>
      </c>
      <c r="J19" s="451" t="s">
        <v>200</v>
      </c>
      <c r="K19" s="451" t="s">
        <v>200</v>
      </c>
      <c r="L19" s="451" t="s">
        <v>200</v>
      </c>
      <c r="M19" s="451" t="s">
        <v>200</v>
      </c>
      <c r="N19" s="451" t="s">
        <v>200</v>
      </c>
      <c r="O19" s="451" t="s">
        <v>200</v>
      </c>
      <c r="P19" s="451" t="s">
        <v>200</v>
      </c>
      <c r="Q19" s="451" t="s">
        <v>200</v>
      </c>
      <c r="R19" s="451" t="s">
        <v>200</v>
      </c>
      <c r="S19" s="451" t="s">
        <v>200</v>
      </c>
      <c r="T19" s="451" t="s">
        <v>200</v>
      </c>
      <c r="U19" s="451" t="s">
        <v>200</v>
      </c>
      <c r="V19" s="451" t="s">
        <v>200</v>
      </c>
      <c r="W19" s="451" t="s">
        <v>200</v>
      </c>
      <c r="X19" s="451" t="s">
        <v>200</v>
      </c>
      <c r="Y19" s="451" t="s">
        <v>200</v>
      </c>
      <c r="Z19" s="451" t="s">
        <v>200</v>
      </c>
      <c r="AA19" s="451" t="s">
        <v>200</v>
      </c>
      <c r="AB19" s="451" t="s">
        <v>200</v>
      </c>
      <c r="AC19" s="451" t="s">
        <v>200</v>
      </c>
      <c r="AD19" s="451" t="s">
        <v>200</v>
      </c>
      <c r="AE19" s="451" t="s">
        <v>200</v>
      </c>
      <c r="AF19" s="451" t="s">
        <v>200</v>
      </c>
      <c r="AG19" s="451" t="s">
        <v>200</v>
      </c>
      <c r="AH19" s="451" t="s">
        <v>200</v>
      </c>
      <c r="AI19" s="451" t="s">
        <v>200</v>
      </c>
      <c r="AJ19" s="451" t="s">
        <v>200</v>
      </c>
      <c r="AK19" s="451" t="s">
        <v>200</v>
      </c>
      <c r="AL19" s="451" t="s">
        <v>200</v>
      </c>
      <c r="AM19" s="451" t="s">
        <v>200</v>
      </c>
      <c r="AN19" s="451" t="s">
        <v>200</v>
      </c>
      <c r="AO19" s="451" t="s">
        <v>200</v>
      </c>
      <c r="AP19" s="451" t="s">
        <v>200</v>
      </c>
      <c r="AQ19" s="451" t="s">
        <v>200</v>
      </c>
      <c r="AR19" s="451" t="s">
        <v>200</v>
      </c>
      <c r="AS19" s="451" t="s">
        <v>200</v>
      </c>
      <c r="AT19" s="451" t="s">
        <v>200</v>
      </c>
      <c r="AU19" s="451" t="s">
        <v>200</v>
      </c>
      <c r="AV19" s="451" t="s">
        <v>200</v>
      </c>
      <c r="AW19" s="451" t="s">
        <v>200</v>
      </c>
      <c r="AX19" s="451" t="s">
        <v>200</v>
      </c>
      <c r="AY19" s="451" t="s">
        <v>200</v>
      </c>
      <c r="AZ19" s="451" t="s">
        <v>200</v>
      </c>
      <c r="BA19" s="451" t="s">
        <v>200</v>
      </c>
      <c r="BB19" s="451" t="s">
        <v>200</v>
      </c>
      <c r="BC19" s="451" t="s">
        <v>200</v>
      </c>
      <c r="BD19" s="451" t="s">
        <v>200</v>
      </c>
      <c r="BE19" s="451" t="s">
        <v>200</v>
      </c>
      <c r="BF19" s="451" t="s">
        <v>200</v>
      </c>
      <c r="BG19" s="451" t="s">
        <v>200</v>
      </c>
      <c r="BH19" s="451" t="s">
        <v>200</v>
      </c>
      <c r="BI19" s="451" t="s">
        <v>200</v>
      </c>
      <c r="BJ19" s="451" t="s">
        <v>200</v>
      </c>
      <c r="BK19" s="451" t="s">
        <v>200</v>
      </c>
      <c r="BL19" s="451" t="s">
        <v>200</v>
      </c>
      <c r="BM19" s="451" t="s">
        <v>200</v>
      </c>
      <c r="BN19" s="451" t="s">
        <v>200</v>
      </c>
      <c r="BO19" s="451" t="s">
        <v>200</v>
      </c>
      <c r="BP19" s="451" t="s">
        <v>200</v>
      </c>
      <c r="BQ19" s="451" t="s">
        <v>200</v>
      </c>
      <c r="BR19" s="451" t="s">
        <v>200</v>
      </c>
      <c r="BS19" s="451" t="s">
        <v>200</v>
      </c>
      <c r="BT19" s="451" t="s">
        <v>200</v>
      </c>
      <c r="BU19" s="451" t="s">
        <v>200</v>
      </c>
      <c r="BV19" s="451" t="s">
        <v>200</v>
      </c>
      <c r="BW19" s="451" t="s">
        <v>200</v>
      </c>
      <c r="BX19" s="451" t="s">
        <v>200</v>
      </c>
      <c r="BY19" s="451" t="s">
        <v>200</v>
      </c>
      <c r="BZ19" s="451" t="s">
        <v>200</v>
      </c>
      <c r="CA19" s="451" t="s">
        <v>200</v>
      </c>
      <c r="CB19" s="451" t="s">
        <v>200</v>
      </c>
      <c r="CC19" s="451" t="s">
        <v>200</v>
      </c>
      <c r="CD19" s="451" t="s">
        <v>200</v>
      </c>
      <c r="CE19" s="451" t="s">
        <v>200</v>
      </c>
      <c r="CF19" s="451" t="s">
        <v>200</v>
      </c>
      <c r="CG19" s="451" t="s">
        <v>200</v>
      </c>
      <c r="CH19" s="454" t="s">
        <v>634</v>
      </c>
    </row>
    <row r="20" spans="1:92">
      <c r="A20" s="210"/>
      <c r="B20" s="200"/>
      <c r="C20" s="198"/>
      <c r="D20" s="236" t="s">
        <v>111</v>
      </c>
      <c r="E20" s="235"/>
      <c r="F20" s="234" t="s">
        <v>112</v>
      </c>
      <c r="G20" s="234" t="s">
        <v>154</v>
      </c>
      <c r="H20" s="451" t="s">
        <v>200</v>
      </c>
      <c r="I20" s="451" t="s">
        <v>200</v>
      </c>
      <c r="J20" s="451" t="s">
        <v>200</v>
      </c>
      <c r="K20" s="451" t="s">
        <v>200</v>
      </c>
      <c r="L20" s="451" t="s">
        <v>200</v>
      </c>
      <c r="M20" s="451" t="s">
        <v>200</v>
      </c>
      <c r="N20" s="451" t="s">
        <v>200</v>
      </c>
      <c r="O20" s="451" t="s">
        <v>200</v>
      </c>
      <c r="P20" s="451" t="s">
        <v>200</v>
      </c>
      <c r="Q20" s="451" t="s">
        <v>200</v>
      </c>
      <c r="R20" s="451" t="s">
        <v>200</v>
      </c>
      <c r="S20" s="451" t="s">
        <v>200</v>
      </c>
      <c r="T20" s="451" t="s">
        <v>200</v>
      </c>
      <c r="U20" s="451" t="s">
        <v>200</v>
      </c>
      <c r="V20" s="451" t="s">
        <v>200</v>
      </c>
      <c r="W20" s="451" t="s">
        <v>200</v>
      </c>
      <c r="X20" s="451" t="s">
        <v>200</v>
      </c>
      <c r="Y20" s="451" t="s">
        <v>200</v>
      </c>
      <c r="Z20" s="451" t="s">
        <v>200</v>
      </c>
      <c r="AA20" s="451" t="s">
        <v>200</v>
      </c>
      <c r="AB20" s="451" t="s">
        <v>200</v>
      </c>
      <c r="AC20" s="451" t="s">
        <v>200</v>
      </c>
      <c r="AD20" s="451" t="s">
        <v>200</v>
      </c>
      <c r="AE20" s="451" t="s">
        <v>200</v>
      </c>
      <c r="AF20" s="451" t="s">
        <v>200</v>
      </c>
      <c r="AG20" s="451" t="s">
        <v>200</v>
      </c>
      <c r="AH20" s="451" t="s">
        <v>200</v>
      </c>
      <c r="AI20" s="451" t="s">
        <v>200</v>
      </c>
      <c r="AJ20" s="451" t="s">
        <v>200</v>
      </c>
      <c r="AK20" s="451" t="s">
        <v>200</v>
      </c>
      <c r="AL20" s="451" t="s">
        <v>200</v>
      </c>
      <c r="AM20" s="276" t="s">
        <v>110</v>
      </c>
      <c r="AN20" s="276" t="s">
        <v>110</v>
      </c>
      <c r="AO20" s="276" t="s">
        <v>110</v>
      </c>
      <c r="AP20" s="276" t="s">
        <v>110</v>
      </c>
      <c r="AQ20" s="276" t="s">
        <v>110</v>
      </c>
      <c r="AR20" s="276" t="s">
        <v>110</v>
      </c>
      <c r="AS20" s="451" t="s">
        <v>200</v>
      </c>
      <c r="AT20" s="451" t="s">
        <v>200</v>
      </c>
      <c r="AU20" s="451" t="s">
        <v>200</v>
      </c>
      <c r="AV20" s="451" t="s">
        <v>200</v>
      </c>
      <c r="AW20" s="451" t="s">
        <v>200</v>
      </c>
      <c r="AX20" s="451" t="s">
        <v>200</v>
      </c>
      <c r="AY20" s="451" t="s">
        <v>200</v>
      </c>
      <c r="AZ20" s="451" t="s">
        <v>200</v>
      </c>
      <c r="BA20" s="451" t="s">
        <v>200</v>
      </c>
      <c r="BB20" s="451" t="s">
        <v>200</v>
      </c>
      <c r="BC20" s="451" t="s">
        <v>200</v>
      </c>
      <c r="BD20" s="451" t="s">
        <v>200</v>
      </c>
      <c r="BE20" s="451" t="s">
        <v>200</v>
      </c>
      <c r="BF20" s="451" t="s">
        <v>200</v>
      </c>
      <c r="BG20" s="451" t="s">
        <v>200</v>
      </c>
      <c r="BH20" s="451" t="s">
        <v>200</v>
      </c>
      <c r="BI20" s="451" t="s">
        <v>200</v>
      </c>
      <c r="BJ20" s="451" t="s">
        <v>200</v>
      </c>
      <c r="BK20" s="451" t="s">
        <v>200</v>
      </c>
      <c r="BL20" s="451" t="s">
        <v>200</v>
      </c>
      <c r="BM20" s="451" t="s">
        <v>200</v>
      </c>
      <c r="BN20" s="451" t="s">
        <v>200</v>
      </c>
      <c r="BO20" s="451" t="s">
        <v>200</v>
      </c>
      <c r="BP20" s="451" t="s">
        <v>200</v>
      </c>
      <c r="BQ20" s="451" t="s">
        <v>200</v>
      </c>
      <c r="BR20" s="451" t="s">
        <v>200</v>
      </c>
      <c r="BS20" s="451" t="s">
        <v>200</v>
      </c>
      <c r="BT20" s="451" t="s">
        <v>200</v>
      </c>
      <c r="BU20" s="451" t="s">
        <v>200</v>
      </c>
      <c r="BV20" s="451" t="s">
        <v>200</v>
      </c>
      <c r="BW20" s="451" t="s">
        <v>200</v>
      </c>
      <c r="BX20" s="451" t="s">
        <v>200</v>
      </c>
      <c r="BY20" s="451" t="s">
        <v>200</v>
      </c>
      <c r="BZ20" s="451" t="s">
        <v>200</v>
      </c>
      <c r="CA20" s="451" t="s">
        <v>200</v>
      </c>
      <c r="CB20" s="451" t="s">
        <v>200</v>
      </c>
      <c r="CC20" s="451" t="s">
        <v>200</v>
      </c>
      <c r="CD20" s="451" t="s">
        <v>200</v>
      </c>
      <c r="CE20" s="451" t="s">
        <v>200</v>
      </c>
      <c r="CF20" s="451" t="s">
        <v>200</v>
      </c>
      <c r="CG20" s="451" t="s">
        <v>200</v>
      </c>
      <c r="CH20" s="192"/>
      <c r="CK20" s="231"/>
      <c r="CL20" s="231"/>
      <c r="CM20" s="230"/>
      <c r="CN20" s="230"/>
    </row>
    <row r="21" spans="1:92">
      <c r="A21" s="210"/>
      <c r="B21" s="211"/>
      <c r="C21" s="224" t="s">
        <v>86</v>
      </c>
      <c r="D21" s="223"/>
      <c r="E21" s="222" t="s">
        <v>173</v>
      </c>
      <c r="F21" s="222"/>
      <c r="G21" s="222"/>
      <c r="H21" s="222"/>
      <c r="I21" s="222"/>
      <c r="J21" s="222"/>
      <c r="K21" s="222"/>
      <c r="L21" s="222"/>
      <c r="M21" s="222"/>
      <c r="N21" s="222"/>
      <c r="O21" s="222"/>
      <c r="P21" s="222"/>
      <c r="Q21" s="222"/>
      <c r="R21" s="222"/>
      <c r="S21" s="222"/>
      <c r="T21" s="222"/>
      <c r="U21" s="222"/>
      <c r="V21" s="222"/>
      <c r="W21" s="222"/>
      <c r="X21" s="222"/>
      <c r="Y21" s="222"/>
      <c r="Z21" s="222"/>
      <c r="AA21" s="222"/>
      <c r="AB21" s="222"/>
      <c r="AC21" s="222"/>
      <c r="AD21" s="222"/>
      <c r="AE21" s="222"/>
      <c r="AF21" s="222"/>
      <c r="AG21" s="222"/>
      <c r="AH21" s="222"/>
      <c r="AI21" s="222"/>
      <c r="AJ21" s="222"/>
      <c r="AK21" s="222"/>
      <c r="AL21" s="222"/>
      <c r="AM21" s="222"/>
      <c r="AN21" s="222"/>
      <c r="AO21" s="222"/>
      <c r="AP21" s="222"/>
      <c r="AQ21" s="222"/>
      <c r="AR21" s="222"/>
      <c r="AS21" s="222"/>
      <c r="AT21" s="222"/>
      <c r="AU21" s="222"/>
      <c r="AV21" s="222"/>
      <c r="AW21" s="222"/>
      <c r="AX21" s="222"/>
      <c r="AY21" s="222"/>
      <c r="AZ21" s="222"/>
      <c r="BA21" s="222"/>
      <c r="BB21" s="222"/>
      <c r="BC21" s="222"/>
      <c r="BD21" s="222"/>
      <c r="BE21" s="222"/>
      <c r="BF21" s="222"/>
      <c r="BG21" s="222"/>
      <c r="BH21" s="222"/>
      <c r="BI21" s="222"/>
      <c r="BJ21" s="222"/>
      <c r="BK21" s="222"/>
      <c r="BL21" s="222"/>
      <c r="BM21" s="222"/>
      <c r="BN21" s="222"/>
      <c r="BO21" s="222"/>
      <c r="BP21" s="222"/>
      <c r="BQ21" s="222"/>
      <c r="BR21" s="222"/>
      <c r="BS21" s="222"/>
      <c r="BT21" s="222"/>
      <c r="BU21" s="222"/>
      <c r="BV21" s="222"/>
      <c r="BW21" s="222"/>
      <c r="BX21" s="222"/>
      <c r="BY21" s="222"/>
      <c r="BZ21" s="222"/>
      <c r="CA21" s="222"/>
      <c r="CB21" s="222"/>
      <c r="CC21" s="222"/>
      <c r="CD21" s="222"/>
      <c r="CE21" s="222"/>
      <c r="CF21" s="222"/>
      <c r="CG21" s="222"/>
      <c r="CH21" s="237"/>
    </row>
    <row r="22" spans="1:92" ht="30">
      <c r="A22" s="210"/>
      <c r="B22" s="211"/>
      <c r="C22" s="199"/>
      <c r="D22" s="214" t="s">
        <v>147</v>
      </c>
      <c r="E22" s="204" t="s">
        <v>58</v>
      </c>
      <c r="F22" s="240" t="s">
        <v>158</v>
      </c>
      <c r="G22" s="204" t="s">
        <v>153</v>
      </c>
      <c r="H22" s="455" t="s">
        <v>635</v>
      </c>
      <c r="I22" s="455" t="s">
        <v>635</v>
      </c>
      <c r="J22" s="455" t="s">
        <v>635</v>
      </c>
      <c r="K22" s="455" t="s">
        <v>635</v>
      </c>
      <c r="L22" s="455" t="s">
        <v>635</v>
      </c>
      <c r="M22" s="455" t="s">
        <v>635</v>
      </c>
      <c r="N22" s="455" t="s">
        <v>635</v>
      </c>
      <c r="O22" s="455" t="s">
        <v>635</v>
      </c>
      <c r="P22" s="455" t="s">
        <v>635</v>
      </c>
      <c r="Q22" s="455" t="s">
        <v>635</v>
      </c>
      <c r="R22" s="455" t="s">
        <v>635</v>
      </c>
      <c r="S22" s="455" t="s">
        <v>635</v>
      </c>
      <c r="T22" s="455" t="s">
        <v>635</v>
      </c>
      <c r="U22" s="455" t="s">
        <v>635</v>
      </c>
      <c r="V22" s="455" t="s">
        <v>635</v>
      </c>
      <c r="W22" s="455" t="s">
        <v>635</v>
      </c>
      <c r="X22" s="455" t="s">
        <v>635</v>
      </c>
      <c r="Y22" s="455" t="s">
        <v>635</v>
      </c>
      <c r="Z22" s="455" t="s">
        <v>635</v>
      </c>
      <c r="AA22" s="455" t="s">
        <v>635</v>
      </c>
      <c r="AB22" s="455" t="s">
        <v>635</v>
      </c>
      <c r="AC22" s="455" t="s">
        <v>635</v>
      </c>
      <c r="AD22" s="455" t="s">
        <v>635</v>
      </c>
      <c r="AE22" s="455" t="s">
        <v>635</v>
      </c>
      <c r="AF22" s="455" t="s">
        <v>635</v>
      </c>
      <c r="AG22" s="455" t="s">
        <v>635</v>
      </c>
      <c r="AH22" s="455" t="s">
        <v>635</v>
      </c>
      <c r="AI22" s="455" t="s">
        <v>635</v>
      </c>
      <c r="AJ22" s="455" t="s">
        <v>635</v>
      </c>
      <c r="AK22" s="455" t="s">
        <v>635</v>
      </c>
      <c r="AL22" s="455" t="s">
        <v>635</v>
      </c>
      <c r="AM22" s="455" t="s">
        <v>635</v>
      </c>
      <c r="AN22" s="455" t="s">
        <v>635</v>
      </c>
      <c r="AO22" s="455" t="s">
        <v>635</v>
      </c>
      <c r="AP22" s="455" t="s">
        <v>635</v>
      </c>
      <c r="AQ22" s="455" t="s">
        <v>635</v>
      </c>
      <c r="AR22" s="455" t="s">
        <v>635</v>
      </c>
      <c r="AS22" s="455" t="s">
        <v>635</v>
      </c>
      <c r="AT22" s="455" t="s">
        <v>635</v>
      </c>
      <c r="AU22" s="455" t="s">
        <v>635</v>
      </c>
      <c r="AV22" s="455" t="s">
        <v>635</v>
      </c>
      <c r="AW22" s="455" t="s">
        <v>635</v>
      </c>
      <c r="AX22" s="455" t="s">
        <v>635</v>
      </c>
      <c r="AY22" s="455" t="s">
        <v>635</v>
      </c>
      <c r="AZ22" s="455" t="s">
        <v>635</v>
      </c>
      <c r="BA22" s="455" t="s">
        <v>635</v>
      </c>
      <c r="BB22" s="455" t="s">
        <v>635</v>
      </c>
      <c r="BC22" s="455" t="s">
        <v>635</v>
      </c>
      <c r="BD22" s="455" t="s">
        <v>635</v>
      </c>
      <c r="BE22" s="455" t="s">
        <v>635</v>
      </c>
      <c r="BF22" s="455" t="s">
        <v>635</v>
      </c>
      <c r="BG22" s="455" t="s">
        <v>635</v>
      </c>
      <c r="BH22" s="455" t="s">
        <v>635</v>
      </c>
      <c r="BI22" s="455" t="s">
        <v>635</v>
      </c>
      <c r="BJ22" s="455" t="s">
        <v>635</v>
      </c>
      <c r="BK22" s="455" t="s">
        <v>635</v>
      </c>
      <c r="BL22" s="455" t="s">
        <v>635</v>
      </c>
      <c r="BM22" s="455" t="s">
        <v>635</v>
      </c>
      <c r="BN22" s="455" t="s">
        <v>635</v>
      </c>
      <c r="BO22" s="455" t="s">
        <v>635</v>
      </c>
      <c r="BP22" s="455" t="s">
        <v>635</v>
      </c>
      <c r="BQ22" s="455" t="s">
        <v>635</v>
      </c>
      <c r="BR22" s="455" t="s">
        <v>635</v>
      </c>
      <c r="BS22" s="455" t="s">
        <v>635</v>
      </c>
      <c r="BT22" s="455" t="s">
        <v>635</v>
      </c>
      <c r="BU22" s="455" t="s">
        <v>635</v>
      </c>
      <c r="BV22" s="455" t="s">
        <v>635</v>
      </c>
      <c r="BW22" s="455" t="s">
        <v>635</v>
      </c>
      <c r="BX22" s="455" t="s">
        <v>635</v>
      </c>
      <c r="BY22" s="455" t="s">
        <v>635</v>
      </c>
      <c r="BZ22" s="455" t="s">
        <v>635</v>
      </c>
      <c r="CA22" s="455" t="s">
        <v>635</v>
      </c>
      <c r="CB22" s="455" t="s">
        <v>635</v>
      </c>
      <c r="CC22" s="455" t="s">
        <v>635</v>
      </c>
      <c r="CD22" s="455" t="s">
        <v>635</v>
      </c>
      <c r="CE22" s="455" t="s">
        <v>635</v>
      </c>
      <c r="CF22" s="455" t="s">
        <v>635</v>
      </c>
      <c r="CG22" s="455" t="s">
        <v>635</v>
      </c>
      <c r="CH22" s="264"/>
      <c r="CK22" s="231"/>
      <c r="CL22" s="231"/>
      <c r="CM22" s="230"/>
      <c r="CN22" s="230"/>
    </row>
    <row r="23" spans="1:92">
      <c r="A23" s="210"/>
      <c r="B23" s="229" t="s">
        <v>86</v>
      </c>
      <c r="C23" s="265"/>
      <c r="D23" s="244"/>
      <c r="E23" s="245" t="s">
        <v>114</v>
      </c>
      <c r="F23" s="244"/>
      <c r="G23" s="244"/>
      <c r="H23" s="244"/>
      <c r="I23" s="244"/>
      <c r="J23" s="244"/>
      <c r="K23" s="244"/>
      <c r="L23" s="244"/>
      <c r="M23" s="244"/>
      <c r="N23" s="244"/>
      <c r="O23" s="244"/>
      <c r="P23" s="244"/>
      <c r="Q23" s="244"/>
      <c r="R23" s="244"/>
      <c r="S23" s="244"/>
      <c r="T23" s="244"/>
      <c r="U23" s="244"/>
      <c r="V23" s="244"/>
      <c r="W23" s="244"/>
      <c r="X23" s="244"/>
      <c r="Y23" s="244"/>
      <c r="Z23" s="244"/>
      <c r="AA23" s="244"/>
      <c r="AB23" s="244"/>
      <c r="AC23" s="244"/>
      <c r="AD23" s="244"/>
      <c r="AE23" s="244"/>
      <c r="AF23" s="244"/>
      <c r="AG23" s="244"/>
      <c r="AH23" s="244"/>
      <c r="AI23" s="244"/>
      <c r="AJ23" s="244"/>
      <c r="AK23" s="244"/>
      <c r="AL23" s="244"/>
      <c r="AM23" s="244"/>
      <c r="AN23" s="244"/>
      <c r="AO23" s="244"/>
      <c r="AP23" s="244"/>
      <c r="AQ23" s="244"/>
      <c r="AR23" s="244"/>
      <c r="AS23" s="244"/>
      <c r="AT23" s="244"/>
      <c r="AU23" s="244"/>
      <c r="AV23" s="244"/>
      <c r="AW23" s="244"/>
      <c r="AX23" s="244"/>
      <c r="AY23" s="244"/>
      <c r="AZ23" s="244"/>
      <c r="BA23" s="244"/>
      <c r="BB23" s="244"/>
      <c r="BC23" s="244"/>
      <c r="BD23" s="244"/>
      <c r="BE23" s="244"/>
      <c r="BF23" s="244"/>
      <c r="BG23" s="244"/>
      <c r="BH23" s="244"/>
      <c r="BI23" s="244"/>
      <c r="BJ23" s="244"/>
      <c r="BK23" s="244"/>
      <c r="BL23" s="244"/>
      <c r="BM23" s="244"/>
      <c r="BN23" s="244"/>
      <c r="BO23" s="244"/>
      <c r="BP23" s="244"/>
      <c r="BQ23" s="244"/>
      <c r="BR23" s="244"/>
      <c r="BS23" s="244"/>
      <c r="BT23" s="244"/>
      <c r="BU23" s="244"/>
      <c r="BV23" s="244"/>
      <c r="BW23" s="244"/>
      <c r="BX23" s="244"/>
      <c r="BY23" s="244"/>
      <c r="BZ23" s="244"/>
      <c r="CA23" s="244"/>
      <c r="CB23" s="244"/>
      <c r="CC23" s="244"/>
      <c r="CD23" s="244"/>
      <c r="CE23" s="244"/>
      <c r="CF23" s="244"/>
      <c r="CG23" s="244"/>
      <c r="CH23" s="243"/>
    </row>
    <row r="24" spans="1:92">
      <c r="A24" s="210"/>
      <c r="B24" s="200"/>
      <c r="C24" s="224" t="s">
        <v>85</v>
      </c>
      <c r="D24" s="212"/>
      <c r="E24" s="215" t="s">
        <v>115</v>
      </c>
      <c r="F24" s="222"/>
      <c r="G24" s="222"/>
      <c r="H24" s="222"/>
      <c r="I24" s="222"/>
      <c r="J24" s="222"/>
      <c r="K24" s="222"/>
      <c r="L24" s="222"/>
      <c r="M24" s="222"/>
      <c r="N24" s="222"/>
      <c r="O24" s="222"/>
      <c r="P24" s="222"/>
      <c r="Q24" s="222"/>
      <c r="R24" s="222"/>
      <c r="S24" s="222"/>
      <c r="T24" s="222"/>
      <c r="U24" s="222"/>
      <c r="V24" s="222"/>
      <c r="W24" s="222"/>
      <c r="X24" s="222"/>
      <c r="Y24" s="222"/>
      <c r="Z24" s="222"/>
      <c r="AA24" s="222"/>
      <c r="AB24" s="222"/>
      <c r="AC24" s="222"/>
      <c r="AD24" s="222"/>
      <c r="AE24" s="222"/>
      <c r="AF24" s="222"/>
      <c r="AG24" s="222"/>
      <c r="AH24" s="222"/>
      <c r="AI24" s="222"/>
      <c r="AJ24" s="222"/>
      <c r="AK24" s="222"/>
      <c r="AL24" s="222"/>
      <c r="AM24" s="222"/>
      <c r="AN24" s="222"/>
      <c r="AO24" s="222"/>
      <c r="AP24" s="222"/>
      <c r="AQ24" s="222"/>
      <c r="AR24" s="222"/>
      <c r="AS24" s="222"/>
      <c r="AT24" s="222"/>
      <c r="AU24" s="222"/>
      <c r="AV24" s="222"/>
      <c r="AW24" s="222"/>
      <c r="AX24" s="222"/>
      <c r="AY24" s="222"/>
      <c r="AZ24" s="222"/>
      <c r="BA24" s="222"/>
      <c r="BB24" s="222"/>
      <c r="BC24" s="222"/>
      <c r="BD24" s="222"/>
      <c r="BE24" s="222"/>
      <c r="BF24" s="222"/>
      <c r="BG24" s="222"/>
      <c r="BH24" s="222"/>
      <c r="BI24" s="222"/>
      <c r="BJ24" s="222"/>
      <c r="BK24" s="222"/>
      <c r="BL24" s="222"/>
      <c r="BM24" s="222"/>
      <c r="BN24" s="222"/>
      <c r="BO24" s="222"/>
      <c r="BP24" s="222"/>
      <c r="BQ24" s="222"/>
      <c r="BR24" s="222"/>
      <c r="BS24" s="222"/>
      <c r="BT24" s="222"/>
      <c r="BU24" s="222"/>
      <c r="BV24" s="222"/>
      <c r="BW24" s="222"/>
      <c r="BX24" s="222"/>
      <c r="BY24" s="222"/>
      <c r="BZ24" s="222"/>
      <c r="CA24" s="222"/>
      <c r="CB24" s="222"/>
      <c r="CC24" s="222"/>
      <c r="CD24" s="222"/>
      <c r="CE24" s="222"/>
      <c r="CF24" s="222"/>
      <c r="CG24" s="222"/>
      <c r="CH24" s="194"/>
    </row>
    <row r="25" spans="1:92">
      <c r="A25" s="210"/>
      <c r="B25" s="200"/>
      <c r="C25" s="198"/>
      <c r="D25" s="236" t="s">
        <v>85</v>
      </c>
      <c r="E25" s="235" t="s">
        <v>58</v>
      </c>
      <c r="F25" s="234" t="s">
        <v>108</v>
      </c>
      <c r="G25" s="234" t="s">
        <v>141</v>
      </c>
      <c r="H25" s="276" t="s">
        <v>103</v>
      </c>
      <c r="I25" s="276" t="s">
        <v>103</v>
      </c>
      <c r="J25" s="276" t="s">
        <v>103</v>
      </c>
      <c r="K25" s="276" t="s">
        <v>103</v>
      </c>
      <c r="L25" s="276" t="s">
        <v>103</v>
      </c>
      <c r="M25" s="276" t="s">
        <v>103</v>
      </c>
      <c r="N25" s="276" t="s">
        <v>103</v>
      </c>
      <c r="O25" s="276" t="s">
        <v>103</v>
      </c>
      <c r="P25" s="276" t="s">
        <v>103</v>
      </c>
      <c r="Q25" s="276" t="s">
        <v>103</v>
      </c>
      <c r="R25" s="276" t="s">
        <v>103</v>
      </c>
      <c r="S25" s="276" t="s">
        <v>103</v>
      </c>
      <c r="T25" s="276" t="s">
        <v>103</v>
      </c>
      <c r="U25" s="276" t="s">
        <v>103</v>
      </c>
      <c r="V25" s="276" t="s">
        <v>103</v>
      </c>
      <c r="W25" s="276" t="s">
        <v>103</v>
      </c>
      <c r="X25" s="276" t="s">
        <v>103</v>
      </c>
      <c r="Y25" s="276" t="s">
        <v>103</v>
      </c>
      <c r="Z25" s="276" t="s">
        <v>103</v>
      </c>
      <c r="AA25" s="276" t="s">
        <v>103</v>
      </c>
      <c r="AB25" s="276" t="s">
        <v>103</v>
      </c>
      <c r="AC25" s="276" t="s">
        <v>103</v>
      </c>
      <c r="AD25" s="276" t="s">
        <v>103</v>
      </c>
      <c r="AE25" s="276" t="s">
        <v>103</v>
      </c>
      <c r="AF25" s="276" t="s">
        <v>103</v>
      </c>
      <c r="AG25" s="276" t="s">
        <v>103</v>
      </c>
      <c r="AH25" s="276" t="s">
        <v>103</v>
      </c>
      <c r="AI25" s="276" t="s">
        <v>103</v>
      </c>
      <c r="AJ25" s="276" t="s">
        <v>103</v>
      </c>
      <c r="AK25" s="276" t="s">
        <v>103</v>
      </c>
      <c r="AL25" s="276" t="s">
        <v>103</v>
      </c>
      <c r="AM25" s="276" t="s">
        <v>103</v>
      </c>
      <c r="AN25" s="276" t="s">
        <v>103</v>
      </c>
      <c r="AO25" s="276" t="s">
        <v>103</v>
      </c>
      <c r="AP25" s="276" t="s">
        <v>103</v>
      </c>
      <c r="AQ25" s="276" t="s">
        <v>103</v>
      </c>
      <c r="AR25" s="276" t="s">
        <v>103</v>
      </c>
      <c r="AS25" s="276" t="s">
        <v>103</v>
      </c>
      <c r="AT25" s="276" t="s">
        <v>103</v>
      </c>
      <c r="AU25" s="276" t="s">
        <v>103</v>
      </c>
      <c r="AV25" s="276" t="s">
        <v>103</v>
      </c>
      <c r="AW25" s="276" t="s">
        <v>103</v>
      </c>
      <c r="AX25" s="276" t="s">
        <v>103</v>
      </c>
      <c r="AY25" s="276" t="s">
        <v>103</v>
      </c>
      <c r="AZ25" s="276" t="s">
        <v>103</v>
      </c>
      <c r="BA25" s="276" t="s">
        <v>103</v>
      </c>
      <c r="BB25" s="276" t="s">
        <v>103</v>
      </c>
      <c r="BC25" s="276" t="s">
        <v>103</v>
      </c>
      <c r="BD25" s="276" t="s">
        <v>103</v>
      </c>
      <c r="BE25" s="276" t="s">
        <v>103</v>
      </c>
      <c r="BF25" s="276" t="s">
        <v>103</v>
      </c>
      <c r="BG25" s="276" t="s">
        <v>103</v>
      </c>
      <c r="BH25" s="276" t="s">
        <v>103</v>
      </c>
      <c r="BI25" s="276" t="s">
        <v>103</v>
      </c>
      <c r="BJ25" s="276" t="s">
        <v>103</v>
      </c>
      <c r="BK25" s="276" t="s">
        <v>103</v>
      </c>
      <c r="BL25" s="276" t="s">
        <v>103</v>
      </c>
      <c r="BM25" s="276" t="s">
        <v>103</v>
      </c>
      <c r="BN25" s="276" t="s">
        <v>103</v>
      </c>
      <c r="BO25" s="276" t="s">
        <v>103</v>
      </c>
      <c r="BP25" s="276" t="s">
        <v>103</v>
      </c>
      <c r="BQ25" s="276" t="s">
        <v>103</v>
      </c>
      <c r="BR25" s="276" t="s">
        <v>103</v>
      </c>
      <c r="BS25" s="276" t="s">
        <v>103</v>
      </c>
      <c r="BT25" s="276" t="s">
        <v>103</v>
      </c>
      <c r="BU25" s="276" t="s">
        <v>103</v>
      </c>
      <c r="BV25" s="276" t="s">
        <v>103</v>
      </c>
      <c r="BW25" s="276" t="s">
        <v>103</v>
      </c>
      <c r="BX25" s="276" t="s">
        <v>103</v>
      </c>
      <c r="BY25" s="276" t="s">
        <v>103</v>
      </c>
      <c r="BZ25" s="276" t="s">
        <v>103</v>
      </c>
      <c r="CA25" s="276" t="s">
        <v>103</v>
      </c>
      <c r="CB25" s="276" t="s">
        <v>103</v>
      </c>
      <c r="CC25" s="276" t="s">
        <v>103</v>
      </c>
      <c r="CD25" s="276" t="s">
        <v>103</v>
      </c>
      <c r="CE25" s="276" t="s">
        <v>103</v>
      </c>
      <c r="CF25" s="276" t="s">
        <v>103</v>
      </c>
      <c r="CG25" s="276" t="s">
        <v>103</v>
      </c>
      <c r="CH25" s="242"/>
      <c r="CK25" s="231"/>
      <c r="CL25" s="231"/>
      <c r="CM25" s="230"/>
      <c r="CN25" s="230"/>
    </row>
    <row r="26" spans="1:92">
      <c r="A26" s="210"/>
      <c r="B26" s="200"/>
      <c r="C26" s="198"/>
      <c r="D26" s="236" t="s">
        <v>86</v>
      </c>
      <c r="E26" s="235" t="s">
        <v>109</v>
      </c>
      <c r="F26" s="234" t="s">
        <v>57</v>
      </c>
      <c r="G26" s="234" t="s">
        <v>140</v>
      </c>
      <c r="H26" s="451" t="s">
        <v>113</v>
      </c>
      <c r="I26" s="451" t="s">
        <v>113</v>
      </c>
      <c r="J26" s="451" t="s">
        <v>113</v>
      </c>
      <c r="K26" s="451" t="s">
        <v>113</v>
      </c>
      <c r="L26" s="451" t="s">
        <v>113</v>
      </c>
      <c r="M26" s="451" t="s">
        <v>113</v>
      </c>
      <c r="N26" s="276" t="s">
        <v>103</v>
      </c>
      <c r="O26" s="276" t="s">
        <v>103</v>
      </c>
      <c r="P26" s="276" t="s">
        <v>103</v>
      </c>
      <c r="Q26" s="451" t="s">
        <v>113</v>
      </c>
      <c r="R26" s="451" t="s">
        <v>113</v>
      </c>
      <c r="S26" s="451" t="s">
        <v>113</v>
      </c>
      <c r="T26" s="451" t="s">
        <v>113</v>
      </c>
      <c r="U26" s="451" t="s">
        <v>113</v>
      </c>
      <c r="V26" s="451" t="s">
        <v>113</v>
      </c>
      <c r="W26" s="451" t="s">
        <v>113</v>
      </c>
      <c r="X26" s="451" t="s">
        <v>113</v>
      </c>
      <c r="Y26" s="451" t="s">
        <v>113</v>
      </c>
      <c r="Z26" s="451" t="s">
        <v>113</v>
      </c>
      <c r="AA26" s="451" t="s">
        <v>113</v>
      </c>
      <c r="AB26" s="451" t="s">
        <v>113</v>
      </c>
      <c r="AC26" s="451" t="s">
        <v>113</v>
      </c>
      <c r="AD26" s="451" t="s">
        <v>113</v>
      </c>
      <c r="AE26" s="451" t="s">
        <v>113</v>
      </c>
      <c r="AF26" s="451" t="s">
        <v>113</v>
      </c>
      <c r="AG26" s="451" t="s">
        <v>113</v>
      </c>
      <c r="AH26" s="451" t="s">
        <v>113</v>
      </c>
      <c r="AI26" s="451" t="s">
        <v>113</v>
      </c>
      <c r="AJ26" s="451" t="s">
        <v>113</v>
      </c>
      <c r="AK26" s="451" t="s">
        <v>113</v>
      </c>
      <c r="AL26" s="451" t="s">
        <v>113</v>
      </c>
      <c r="AM26" s="276" t="s">
        <v>103</v>
      </c>
      <c r="AN26" s="276" t="s">
        <v>103</v>
      </c>
      <c r="AO26" s="276" t="s">
        <v>103</v>
      </c>
      <c r="AP26" s="276" t="s">
        <v>103</v>
      </c>
      <c r="AQ26" s="276" t="s">
        <v>103</v>
      </c>
      <c r="AR26" s="276" t="s">
        <v>103</v>
      </c>
      <c r="AS26" s="276" t="s">
        <v>103</v>
      </c>
      <c r="AT26" s="451" t="s">
        <v>113</v>
      </c>
      <c r="AU26" s="276" t="s">
        <v>103</v>
      </c>
      <c r="AV26" s="451" t="s">
        <v>113</v>
      </c>
      <c r="AW26" s="451" t="s">
        <v>113</v>
      </c>
      <c r="AX26" s="451" t="s">
        <v>113</v>
      </c>
      <c r="AY26" s="451" t="s">
        <v>113</v>
      </c>
      <c r="AZ26" s="451" t="s">
        <v>113</v>
      </c>
      <c r="BA26" s="451" t="s">
        <v>113</v>
      </c>
      <c r="BB26" s="451" t="s">
        <v>113</v>
      </c>
      <c r="BC26" s="451" t="s">
        <v>113</v>
      </c>
      <c r="BD26" s="451" t="s">
        <v>113</v>
      </c>
      <c r="BE26" s="276" t="s">
        <v>103</v>
      </c>
      <c r="BF26" s="276" t="s">
        <v>103</v>
      </c>
      <c r="BG26" s="451" t="s">
        <v>113</v>
      </c>
      <c r="BH26" s="451" t="s">
        <v>113</v>
      </c>
      <c r="BI26" s="451" t="s">
        <v>113</v>
      </c>
      <c r="BJ26" s="451" t="s">
        <v>113</v>
      </c>
      <c r="BK26" s="276" t="s">
        <v>103</v>
      </c>
      <c r="BL26" s="276" t="s">
        <v>103</v>
      </c>
      <c r="BM26" s="276" t="s">
        <v>103</v>
      </c>
      <c r="BN26" s="276" t="s">
        <v>103</v>
      </c>
      <c r="BO26" s="451" t="s">
        <v>113</v>
      </c>
      <c r="BP26" s="451" t="s">
        <v>113</v>
      </c>
      <c r="BQ26" s="451" t="s">
        <v>113</v>
      </c>
      <c r="BR26" s="451" t="s">
        <v>113</v>
      </c>
      <c r="BS26" s="451" t="s">
        <v>113</v>
      </c>
      <c r="BT26" s="451" t="s">
        <v>113</v>
      </c>
      <c r="BU26" s="451" t="s">
        <v>113</v>
      </c>
      <c r="BV26" s="451" t="s">
        <v>113</v>
      </c>
      <c r="BW26" s="451" t="s">
        <v>113</v>
      </c>
      <c r="BX26" s="451" t="s">
        <v>113</v>
      </c>
      <c r="BY26" s="451" t="s">
        <v>113</v>
      </c>
      <c r="BZ26" s="451" t="s">
        <v>113</v>
      </c>
      <c r="CA26" s="451" t="s">
        <v>113</v>
      </c>
      <c r="CB26" s="451" t="s">
        <v>113</v>
      </c>
      <c r="CC26" s="451" t="s">
        <v>113</v>
      </c>
      <c r="CD26" s="451" t="s">
        <v>113</v>
      </c>
      <c r="CE26" s="451" t="s">
        <v>113</v>
      </c>
      <c r="CF26" s="451" t="s">
        <v>113</v>
      </c>
      <c r="CG26" s="451" t="s">
        <v>113</v>
      </c>
      <c r="CH26" s="202"/>
      <c r="CK26" s="231"/>
      <c r="CL26" s="231"/>
      <c r="CM26" s="230"/>
      <c r="CN26" s="230"/>
    </row>
    <row r="27" spans="1:92">
      <c r="A27" s="210"/>
      <c r="B27" s="200"/>
      <c r="C27" s="198"/>
      <c r="D27" s="236" t="s">
        <v>87</v>
      </c>
      <c r="E27" s="235"/>
      <c r="F27" s="234" t="s">
        <v>55</v>
      </c>
      <c r="G27" s="234" t="s">
        <v>140</v>
      </c>
      <c r="H27" s="451" t="s">
        <v>113</v>
      </c>
      <c r="I27" s="451" t="s">
        <v>113</v>
      </c>
      <c r="J27" s="451" t="s">
        <v>113</v>
      </c>
      <c r="K27" s="451" t="s">
        <v>113</v>
      </c>
      <c r="L27" s="451" t="s">
        <v>113</v>
      </c>
      <c r="M27" s="451" t="s">
        <v>113</v>
      </c>
      <c r="N27" s="276" t="s">
        <v>103</v>
      </c>
      <c r="O27" s="276" t="s">
        <v>103</v>
      </c>
      <c r="P27" s="276" t="s">
        <v>103</v>
      </c>
      <c r="Q27" s="451" t="s">
        <v>113</v>
      </c>
      <c r="R27" s="451" t="s">
        <v>113</v>
      </c>
      <c r="S27" s="451" t="s">
        <v>113</v>
      </c>
      <c r="T27" s="451" t="s">
        <v>113</v>
      </c>
      <c r="U27" s="451" t="s">
        <v>113</v>
      </c>
      <c r="V27" s="451" t="s">
        <v>113</v>
      </c>
      <c r="W27" s="451" t="s">
        <v>113</v>
      </c>
      <c r="X27" s="451" t="s">
        <v>113</v>
      </c>
      <c r="Y27" s="451" t="s">
        <v>113</v>
      </c>
      <c r="Z27" s="451" t="s">
        <v>113</v>
      </c>
      <c r="AA27" s="451" t="s">
        <v>113</v>
      </c>
      <c r="AB27" s="451" t="s">
        <v>113</v>
      </c>
      <c r="AC27" s="451" t="s">
        <v>113</v>
      </c>
      <c r="AD27" s="451" t="s">
        <v>113</v>
      </c>
      <c r="AE27" s="451" t="s">
        <v>113</v>
      </c>
      <c r="AF27" s="451" t="s">
        <v>113</v>
      </c>
      <c r="AG27" s="451" t="s">
        <v>113</v>
      </c>
      <c r="AH27" s="451" t="s">
        <v>113</v>
      </c>
      <c r="AI27" s="451" t="s">
        <v>113</v>
      </c>
      <c r="AJ27" s="451" t="s">
        <v>113</v>
      </c>
      <c r="AK27" s="451" t="s">
        <v>113</v>
      </c>
      <c r="AL27" s="451" t="s">
        <v>113</v>
      </c>
      <c r="AM27" s="276" t="s">
        <v>103</v>
      </c>
      <c r="AN27" s="276" t="s">
        <v>103</v>
      </c>
      <c r="AO27" s="276" t="s">
        <v>103</v>
      </c>
      <c r="AP27" s="276" t="s">
        <v>103</v>
      </c>
      <c r="AQ27" s="276" t="s">
        <v>103</v>
      </c>
      <c r="AR27" s="276" t="s">
        <v>103</v>
      </c>
      <c r="AS27" s="276" t="s">
        <v>103</v>
      </c>
      <c r="AT27" s="451" t="s">
        <v>113</v>
      </c>
      <c r="AU27" s="276" t="s">
        <v>103</v>
      </c>
      <c r="AV27" s="451" t="s">
        <v>113</v>
      </c>
      <c r="AW27" s="451" t="s">
        <v>113</v>
      </c>
      <c r="AX27" s="451" t="s">
        <v>113</v>
      </c>
      <c r="AY27" s="451" t="s">
        <v>113</v>
      </c>
      <c r="AZ27" s="451" t="s">
        <v>113</v>
      </c>
      <c r="BA27" s="451" t="s">
        <v>113</v>
      </c>
      <c r="BB27" s="451" t="s">
        <v>113</v>
      </c>
      <c r="BC27" s="451" t="s">
        <v>113</v>
      </c>
      <c r="BD27" s="451" t="s">
        <v>113</v>
      </c>
      <c r="BE27" s="276" t="s">
        <v>103</v>
      </c>
      <c r="BF27" s="276" t="s">
        <v>103</v>
      </c>
      <c r="BG27" s="451" t="s">
        <v>113</v>
      </c>
      <c r="BH27" s="451" t="s">
        <v>113</v>
      </c>
      <c r="BI27" s="451" t="s">
        <v>113</v>
      </c>
      <c r="BJ27" s="451" t="s">
        <v>113</v>
      </c>
      <c r="BK27" s="276" t="s">
        <v>103</v>
      </c>
      <c r="BL27" s="276" t="s">
        <v>103</v>
      </c>
      <c r="BM27" s="276" t="s">
        <v>103</v>
      </c>
      <c r="BN27" s="276" t="s">
        <v>103</v>
      </c>
      <c r="BO27" s="451" t="s">
        <v>113</v>
      </c>
      <c r="BP27" s="451" t="s">
        <v>113</v>
      </c>
      <c r="BQ27" s="451" t="s">
        <v>113</v>
      </c>
      <c r="BR27" s="451" t="s">
        <v>113</v>
      </c>
      <c r="BS27" s="451" t="s">
        <v>113</v>
      </c>
      <c r="BT27" s="451" t="s">
        <v>113</v>
      </c>
      <c r="BU27" s="451" t="s">
        <v>113</v>
      </c>
      <c r="BV27" s="451" t="s">
        <v>113</v>
      </c>
      <c r="BW27" s="451" t="s">
        <v>113</v>
      </c>
      <c r="BX27" s="451" t="s">
        <v>113</v>
      </c>
      <c r="BY27" s="451" t="s">
        <v>113</v>
      </c>
      <c r="BZ27" s="451" t="s">
        <v>113</v>
      </c>
      <c r="CA27" s="451" t="s">
        <v>113</v>
      </c>
      <c r="CB27" s="451" t="s">
        <v>113</v>
      </c>
      <c r="CC27" s="451" t="s">
        <v>113</v>
      </c>
      <c r="CD27" s="451" t="s">
        <v>113</v>
      </c>
      <c r="CE27" s="451" t="s">
        <v>113</v>
      </c>
      <c r="CF27" s="451" t="s">
        <v>113</v>
      </c>
      <c r="CG27" s="451" t="s">
        <v>113</v>
      </c>
      <c r="CH27" s="241"/>
      <c r="CK27" s="231"/>
      <c r="CL27" s="231"/>
      <c r="CM27" s="230"/>
      <c r="CN27" s="230"/>
    </row>
    <row r="28" spans="1:92">
      <c r="A28" s="210"/>
      <c r="B28" s="200"/>
      <c r="C28" s="198"/>
      <c r="D28" s="451" t="s">
        <v>88</v>
      </c>
      <c r="E28" s="452"/>
      <c r="F28" s="453" t="s">
        <v>56</v>
      </c>
      <c r="G28" s="453" t="s">
        <v>140</v>
      </c>
      <c r="H28" s="451" t="s">
        <v>113</v>
      </c>
      <c r="I28" s="451" t="s">
        <v>113</v>
      </c>
      <c r="J28" s="451" t="s">
        <v>113</v>
      </c>
      <c r="K28" s="451" t="s">
        <v>113</v>
      </c>
      <c r="L28" s="451" t="s">
        <v>113</v>
      </c>
      <c r="M28" s="451" t="s">
        <v>113</v>
      </c>
      <c r="N28" s="451" t="s">
        <v>113</v>
      </c>
      <c r="O28" s="451" t="s">
        <v>113</v>
      </c>
      <c r="P28" s="451" t="s">
        <v>113</v>
      </c>
      <c r="Q28" s="451" t="s">
        <v>113</v>
      </c>
      <c r="R28" s="451" t="s">
        <v>113</v>
      </c>
      <c r="S28" s="451" t="s">
        <v>113</v>
      </c>
      <c r="T28" s="451" t="s">
        <v>113</v>
      </c>
      <c r="U28" s="451" t="s">
        <v>113</v>
      </c>
      <c r="V28" s="451" t="s">
        <v>113</v>
      </c>
      <c r="W28" s="451" t="s">
        <v>113</v>
      </c>
      <c r="X28" s="451" t="s">
        <v>113</v>
      </c>
      <c r="Y28" s="451" t="s">
        <v>113</v>
      </c>
      <c r="Z28" s="451" t="s">
        <v>113</v>
      </c>
      <c r="AA28" s="451" t="s">
        <v>113</v>
      </c>
      <c r="AB28" s="451" t="s">
        <v>113</v>
      </c>
      <c r="AC28" s="451" t="s">
        <v>113</v>
      </c>
      <c r="AD28" s="451" t="s">
        <v>113</v>
      </c>
      <c r="AE28" s="451" t="s">
        <v>113</v>
      </c>
      <c r="AF28" s="451" t="s">
        <v>113</v>
      </c>
      <c r="AG28" s="451" t="s">
        <v>113</v>
      </c>
      <c r="AH28" s="451" t="s">
        <v>113</v>
      </c>
      <c r="AI28" s="451" t="s">
        <v>113</v>
      </c>
      <c r="AJ28" s="451" t="s">
        <v>113</v>
      </c>
      <c r="AK28" s="451" t="s">
        <v>113</v>
      </c>
      <c r="AL28" s="451" t="s">
        <v>113</v>
      </c>
      <c r="AM28" s="451" t="s">
        <v>113</v>
      </c>
      <c r="AN28" s="451" t="s">
        <v>113</v>
      </c>
      <c r="AO28" s="451" t="s">
        <v>113</v>
      </c>
      <c r="AP28" s="451" t="s">
        <v>113</v>
      </c>
      <c r="AQ28" s="451" t="s">
        <v>113</v>
      </c>
      <c r="AR28" s="451" t="s">
        <v>113</v>
      </c>
      <c r="AS28" s="451" t="s">
        <v>113</v>
      </c>
      <c r="AT28" s="451" t="s">
        <v>113</v>
      </c>
      <c r="AU28" s="451" t="s">
        <v>113</v>
      </c>
      <c r="AV28" s="451" t="s">
        <v>113</v>
      </c>
      <c r="AW28" s="451" t="s">
        <v>113</v>
      </c>
      <c r="AX28" s="451" t="s">
        <v>113</v>
      </c>
      <c r="AY28" s="451" t="s">
        <v>113</v>
      </c>
      <c r="AZ28" s="451" t="s">
        <v>113</v>
      </c>
      <c r="BA28" s="451" t="s">
        <v>113</v>
      </c>
      <c r="BB28" s="451" t="s">
        <v>113</v>
      </c>
      <c r="BC28" s="451" t="s">
        <v>113</v>
      </c>
      <c r="BD28" s="451" t="s">
        <v>113</v>
      </c>
      <c r="BE28" s="451" t="s">
        <v>113</v>
      </c>
      <c r="BF28" s="451" t="s">
        <v>113</v>
      </c>
      <c r="BG28" s="451" t="s">
        <v>113</v>
      </c>
      <c r="BH28" s="451" t="s">
        <v>113</v>
      </c>
      <c r="BI28" s="451" t="s">
        <v>113</v>
      </c>
      <c r="BJ28" s="451" t="s">
        <v>113</v>
      </c>
      <c r="BK28" s="451" t="s">
        <v>113</v>
      </c>
      <c r="BL28" s="451" t="s">
        <v>113</v>
      </c>
      <c r="BM28" s="451" t="s">
        <v>113</v>
      </c>
      <c r="BN28" s="451" t="s">
        <v>113</v>
      </c>
      <c r="BO28" s="451" t="s">
        <v>113</v>
      </c>
      <c r="BP28" s="451" t="s">
        <v>113</v>
      </c>
      <c r="BQ28" s="451" t="s">
        <v>113</v>
      </c>
      <c r="BR28" s="451" t="s">
        <v>113</v>
      </c>
      <c r="BS28" s="451" t="s">
        <v>113</v>
      </c>
      <c r="BT28" s="451" t="s">
        <v>113</v>
      </c>
      <c r="BU28" s="451" t="s">
        <v>113</v>
      </c>
      <c r="BV28" s="451" t="s">
        <v>113</v>
      </c>
      <c r="BW28" s="451" t="s">
        <v>113</v>
      </c>
      <c r="BX28" s="451" t="s">
        <v>113</v>
      </c>
      <c r="BY28" s="451" t="s">
        <v>113</v>
      </c>
      <c r="BZ28" s="451" t="s">
        <v>113</v>
      </c>
      <c r="CA28" s="451" t="s">
        <v>113</v>
      </c>
      <c r="CB28" s="451" t="s">
        <v>113</v>
      </c>
      <c r="CC28" s="451" t="s">
        <v>113</v>
      </c>
      <c r="CD28" s="451" t="s">
        <v>113</v>
      </c>
      <c r="CE28" s="451" t="s">
        <v>113</v>
      </c>
      <c r="CF28" s="451" t="s">
        <v>113</v>
      </c>
      <c r="CG28" s="451" t="s">
        <v>113</v>
      </c>
      <c r="CH28" s="456" t="s">
        <v>634</v>
      </c>
    </row>
    <row r="29" spans="1:92">
      <c r="A29" s="210"/>
      <c r="B29" s="200"/>
      <c r="C29" s="198"/>
      <c r="D29" s="451" t="s">
        <v>89</v>
      </c>
      <c r="E29" s="452"/>
      <c r="F29" s="453" t="s">
        <v>112</v>
      </c>
      <c r="G29" s="453" t="s">
        <v>140</v>
      </c>
      <c r="H29" s="451" t="s">
        <v>113</v>
      </c>
      <c r="I29" s="451" t="s">
        <v>113</v>
      </c>
      <c r="J29" s="451" t="s">
        <v>113</v>
      </c>
      <c r="K29" s="451" t="s">
        <v>113</v>
      </c>
      <c r="L29" s="451" t="s">
        <v>113</v>
      </c>
      <c r="M29" s="451" t="s">
        <v>113</v>
      </c>
      <c r="N29" s="451" t="s">
        <v>113</v>
      </c>
      <c r="O29" s="451" t="s">
        <v>113</v>
      </c>
      <c r="P29" s="451" t="s">
        <v>113</v>
      </c>
      <c r="Q29" s="451" t="s">
        <v>113</v>
      </c>
      <c r="R29" s="451" t="s">
        <v>113</v>
      </c>
      <c r="S29" s="451" t="s">
        <v>113</v>
      </c>
      <c r="T29" s="451" t="s">
        <v>113</v>
      </c>
      <c r="U29" s="451" t="s">
        <v>113</v>
      </c>
      <c r="V29" s="451" t="s">
        <v>113</v>
      </c>
      <c r="W29" s="451" t="s">
        <v>113</v>
      </c>
      <c r="X29" s="451" t="s">
        <v>113</v>
      </c>
      <c r="Y29" s="451" t="s">
        <v>113</v>
      </c>
      <c r="Z29" s="451" t="s">
        <v>113</v>
      </c>
      <c r="AA29" s="451" t="s">
        <v>113</v>
      </c>
      <c r="AB29" s="451" t="s">
        <v>113</v>
      </c>
      <c r="AC29" s="451" t="s">
        <v>113</v>
      </c>
      <c r="AD29" s="451" t="s">
        <v>113</v>
      </c>
      <c r="AE29" s="451" t="s">
        <v>113</v>
      </c>
      <c r="AF29" s="451" t="s">
        <v>113</v>
      </c>
      <c r="AG29" s="451" t="s">
        <v>113</v>
      </c>
      <c r="AH29" s="451" t="s">
        <v>113</v>
      </c>
      <c r="AI29" s="451" t="s">
        <v>113</v>
      </c>
      <c r="AJ29" s="451" t="s">
        <v>113</v>
      </c>
      <c r="AK29" s="451" t="s">
        <v>113</v>
      </c>
      <c r="AL29" s="451" t="s">
        <v>113</v>
      </c>
      <c r="AM29" s="451" t="s">
        <v>113</v>
      </c>
      <c r="AN29" s="451" t="s">
        <v>113</v>
      </c>
      <c r="AO29" s="451" t="s">
        <v>113</v>
      </c>
      <c r="AP29" s="451" t="s">
        <v>113</v>
      </c>
      <c r="AQ29" s="451" t="s">
        <v>113</v>
      </c>
      <c r="AR29" s="451" t="s">
        <v>113</v>
      </c>
      <c r="AS29" s="451" t="s">
        <v>113</v>
      </c>
      <c r="AT29" s="451" t="s">
        <v>113</v>
      </c>
      <c r="AU29" s="451" t="s">
        <v>113</v>
      </c>
      <c r="AV29" s="451" t="s">
        <v>113</v>
      </c>
      <c r="AW29" s="451" t="s">
        <v>113</v>
      </c>
      <c r="AX29" s="451" t="s">
        <v>113</v>
      </c>
      <c r="AY29" s="451" t="s">
        <v>113</v>
      </c>
      <c r="AZ29" s="451" t="s">
        <v>113</v>
      </c>
      <c r="BA29" s="451" t="s">
        <v>113</v>
      </c>
      <c r="BB29" s="451" t="s">
        <v>113</v>
      </c>
      <c r="BC29" s="451" t="s">
        <v>113</v>
      </c>
      <c r="BD29" s="451" t="s">
        <v>113</v>
      </c>
      <c r="BE29" s="451" t="s">
        <v>113</v>
      </c>
      <c r="BF29" s="451" t="s">
        <v>113</v>
      </c>
      <c r="BG29" s="451" t="s">
        <v>113</v>
      </c>
      <c r="BH29" s="451" t="s">
        <v>113</v>
      </c>
      <c r="BI29" s="451" t="s">
        <v>113</v>
      </c>
      <c r="BJ29" s="451" t="s">
        <v>113</v>
      </c>
      <c r="BK29" s="451" t="s">
        <v>113</v>
      </c>
      <c r="BL29" s="451" t="s">
        <v>113</v>
      </c>
      <c r="BM29" s="451" t="s">
        <v>113</v>
      </c>
      <c r="BN29" s="451" t="s">
        <v>113</v>
      </c>
      <c r="BO29" s="451" t="s">
        <v>113</v>
      </c>
      <c r="BP29" s="451" t="s">
        <v>113</v>
      </c>
      <c r="BQ29" s="451" t="s">
        <v>113</v>
      </c>
      <c r="BR29" s="451" t="s">
        <v>113</v>
      </c>
      <c r="BS29" s="451" t="s">
        <v>113</v>
      </c>
      <c r="BT29" s="451" t="s">
        <v>113</v>
      </c>
      <c r="BU29" s="451" t="s">
        <v>113</v>
      </c>
      <c r="BV29" s="451" t="s">
        <v>113</v>
      </c>
      <c r="BW29" s="451" t="s">
        <v>113</v>
      </c>
      <c r="BX29" s="451" t="s">
        <v>113</v>
      </c>
      <c r="BY29" s="451" t="s">
        <v>113</v>
      </c>
      <c r="BZ29" s="451" t="s">
        <v>113</v>
      </c>
      <c r="CA29" s="451" t="s">
        <v>113</v>
      </c>
      <c r="CB29" s="451" t="s">
        <v>113</v>
      </c>
      <c r="CC29" s="451" t="s">
        <v>113</v>
      </c>
      <c r="CD29" s="451" t="s">
        <v>113</v>
      </c>
      <c r="CE29" s="451" t="s">
        <v>113</v>
      </c>
      <c r="CF29" s="451" t="s">
        <v>113</v>
      </c>
      <c r="CG29" s="451" t="s">
        <v>113</v>
      </c>
      <c r="CH29" s="454" t="s">
        <v>636</v>
      </c>
      <c r="CK29" s="231"/>
      <c r="CL29" s="231"/>
      <c r="CM29" s="230"/>
      <c r="CN29" s="230"/>
    </row>
    <row r="30" spans="1:92">
      <c r="A30" s="210"/>
      <c r="B30" s="200"/>
      <c r="C30" s="198"/>
      <c r="D30" s="203" t="s">
        <v>90</v>
      </c>
      <c r="E30" s="204"/>
      <c r="F30" s="240" t="s">
        <v>164</v>
      </c>
      <c r="G30" s="240" t="s">
        <v>163</v>
      </c>
      <c r="H30" s="451" t="s">
        <v>113</v>
      </c>
      <c r="I30" s="451" t="s">
        <v>113</v>
      </c>
      <c r="J30" s="451" t="s">
        <v>113</v>
      </c>
      <c r="K30" s="451" t="s">
        <v>113</v>
      </c>
      <c r="L30" s="451" t="s">
        <v>113</v>
      </c>
      <c r="M30" s="451" t="s">
        <v>113</v>
      </c>
      <c r="N30" s="451" t="s">
        <v>113</v>
      </c>
      <c r="O30" s="451" t="s">
        <v>113</v>
      </c>
      <c r="P30" s="451" t="s">
        <v>113</v>
      </c>
      <c r="Q30" s="451" t="s">
        <v>113</v>
      </c>
      <c r="R30" s="451" t="s">
        <v>113</v>
      </c>
      <c r="S30" s="451" t="s">
        <v>113</v>
      </c>
      <c r="T30" s="451" t="s">
        <v>113</v>
      </c>
      <c r="U30" s="451" t="s">
        <v>113</v>
      </c>
      <c r="V30" s="451" t="s">
        <v>113</v>
      </c>
      <c r="W30" s="451" t="s">
        <v>113</v>
      </c>
      <c r="X30" s="451" t="s">
        <v>113</v>
      </c>
      <c r="Y30" s="451" t="s">
        <v>113</v>
      </c>
      <c r="Z30" s="451" t="s">
        <v>113</v>
      </c>
      <c r="AA30" s="451" t="s">
        <v>113</v>
      </c>
      <c r="AB30" s="451" t="s">
        <v>113</v>
      </c>
      <c r="AC30" s="451" t="s">
        <v>113</v>
      </c>
      <c r="AD30" s="451" t="s">
        <v>113</v>
      </c>
      <c r="AE30" s="451" t="s">
        <v>113</v>
      </c>
      <c r="AF30" s="451" t="s">
        <v>113</v>
      </c>
      <c r="AG30" s="451" t="s">
        <v>113</v>
      </c>
      <c r="AH30" s="451" t="s">
        <v>113</v>
      </c>
      <c r="AI30" s="451" t="s">
        <v>113</v>
      </c>
      <c r="AJ30" s="451" t="s">
        <v>113</v>
      </c>
      <c r="AK30" s="451" t="s">
        <v>113</v>
      </c>
      <c r="AL30" s="451" t="s">
        <v>113</v>
      </c>
      <c r="AM30" s="276" t="s">
        <v>103</v>
      </c>
      <c r="AN30" s="276" t="s">
        <v>103</v>
      </c>
      <c r="AO30" s="276" t="s">
        <v>103</v>
      </c>
      <c r="AP30" s="276" t="s">
        <v>103</v>
      </c>
      <c r="AQ30" s="276" t="s">
        <v>103</v>
      </c>
      <c r="AR30" s="276" t="s">
        <v>103</v>
      </c>
      <c r="AS30" s="451" t="s">
        <v>113</v>
      </c>
      <c r="AT30" s="451" t="s">
        <v>113</v>
      </c>
      <c r="AU30" s="451" t="s">
        <v>113</v>
      </c>
      <c r="AV30" s="451" t="s">
        <v>113</v>
      </c>
      <c r="AW30" s="451" t="s">
        <v>113</v>
      </c>
      <c r="AX30" s="451" t="s">
        <v>113</v>
      </c>
      <c r="AY30" s="451" t="s">
        <v>113</v>
      </c>
      <c r="AZ30" s="451" t="s">
        <v>113</v>
      </c>
      <c r="BA30" s="451" t="s">
        <v>113</v>
      </c>
      <c r="BB30" s="451" t="s">
        <v>113</v>
      </c>
      <c r="BC30" s="451" t="s">
        <v>113</v>
      </c>
      <c r="BD30" s="451" t="s">
        <v>113</v>
      </c>
      <c r="BE30" s="451" t="s">
        <v>113</v>
      </c>
      <c r="BF30" s="451" t="s">
        <v>113</v>
      </c>
      <c r="BG30" s="451" t="s">
        <v>113</v>
      </c>
      <c r="BH30" s="451" t="s">
        <v>113</v>
      </c>
      <c r="BI30" s="451" t="s">
        <v>113</v>
      </c>
      <c r="BJ30" s="451" t="s">
        <v>113</v>
      </c>
      <c r="BK30" s="276" t="s">
        <v>103</v>
      </c>
      <c r="BL30" s="276" t="s">
        <v>103</v>
      </c>
      <c r="BM30" s="276" t="s">
        <v>103</v>
      </c>
      <c r="BN30" s="276" t="s">
        <v>103</v>
      </c>
      <c r="BO30" s="451" t="s">
        <v>113</v>
      </c>
      <c r="BP30" s="451" t="s">
        <v>113</v>
      </c>
      <c r="BQ30" s="451" t="s">
        <v>113</v>
      </c>
      <c r="BR30" s="451" t="s">
        <v>113</v>
      </c>
      <c r="BS30" s="451" t="s">
        <v>113</v>
      </c>
      <c r="BT30" s="451" t="s">
        <v>113</v>
      </c>
      <c r="BU30" s="451" t="s">
        <v>113</v>
      </c>
      <c r="BV30" s="451" t="s">
        <v>113</v>
      </c>
      <c r="BW30" s="451" t="s">
        <v>113</v>
      </c>
      <c r="BX30" s="451" t="s">
        <v>113</v>
      </c>
      <c r="BY30" s="451" t="s">
        <v>113</v>
      </c>
      <c r="BZ30" s="451" t="s">
        <v>113</v>
      </c>
      <c r="CA30" s="451" t="s">
        <v>113</v>
      </c>
      <c r="CB30" s="451" t="s">
        <v>113</v>
      </c>
      <c r="CC30" s="451" t="s">
        <v>113</v>
      </c>
      <c r="CD30" s="451" t="s">
        <v>113</v>
      </c>
      <c r="CE30" s="451" t="s">
        <v>113</v>
      </c>
      <c r="CF30" s="451" t="s">
        <v>113</v>
      </c>
      <c r="CG30" s="451" t="s">
        <v>113</v>
      </c>
      <c r="CH30" s="239"/>
      <c r="CK30" s="231"/>
      <c r="CL30" s="231"/>
      <c r="CM30" s="230"/>
      <c r="CN30" s="230"/>
    </row>
    <row r="31" spans="1:92">
      <c r="A31" s="210"/>
      <c r="B31" s="200"/>
      <c r="C31" s="198"/>
      <c r="D31" s="457" t="s">
        <v>91</v>
      </c>
      <c r="E31" s="458"/>
      <c r="F31" s="458" t="s">
        <v>156</v>
      </c>
      <c r="G31" s="458" t="s">
        <v>157</v>
      </c>
      <c r="H31" s="457" t="s">
        <v>113</v>
      </c>
      <c r="I31" s="457" t="s">
        <v>113</v>
      </c>
      <c r="J31" s="457" t="s">
        <v>113</v>
      </c>
      <c r="K31" s="457" t="s">
        <v>113</v>
      </c>
      <c r="L31" s="457" t="s">
        <v>113</v>
      </c>
      <c r="M31" s="457" t="s">
        <v>113</v>
      </c>
      <c r="N31" s="457" t="s">
        <v>113</v>
      </c>
      <c r="O31" s="457" t="s">
        <v>113</v>
      </c>
      <c r="P31" s="457" t="s">
        <v>113</v>
      </c>
      <c r="Q31" s="457" t="s">
        <v>113</v>
      </c>
      <c r="R31" s="457" t="s">
        <v>113</v>
      </c>
      <c r="S31" s="457" t="s">
        <v>113</v>
      </c>
      <c r="T31" s="457" t="s">
        <v>113</v>
      </c>
      <c r="U31" s="457" t="s">
        <v>113</v>
      </c>
      <c r="V31" s="457" t="s">
        <v>113</v>
      </c>
      <c r="W31" s="457" t="s">
        <v>113</v>
      </c>
      <c r="X31" s="457" t="s">
        <v>113</v>
      </c>
      <c r="Y31" s="457" t="s">
        <v>113</v>
      </c>
      <c r="Z31" s="457" t="s">
        <v>113</v>
      </c>
      <c r="AA31" s="457" t="s">
        <v>113</v>
      </c>
      <c r="AB31" s="457" t="s">
        <v>113</v>
      </c>
      <c r="AC31" s="457" t="s">
        <v>113</v>
      </c>
      <c r="AD31" s="457" t="s">
        <v>113</v>
      </c>
      <c r="AE31" s="457" t="s">
        <v>113</v>
      </c>
      <c r="AF31" s="457" t="s">
        <v>113</v>
      </c>
      <c r="AG31" s="457" t="s">
        <v>113</v>
      </c>
      <c r="AH31" s="457" t="s">
        <v>113</v>
      </c>
      <c r="AI31" s="457" t="s">
        <v>113</v>
      </c>
      <c r="AJ31" s="457" t="s">
        <v>113</v>
      </c>
      <c r="AK31" s="457" t="s">
        <v>113</v>
      </c>
      <c r="AL31" s="457" t="s">
        <v>113</v>
      </c>
      <c r="AM31" s="457" t="s">
        <v>113</v>
      </c>
      <c r="AN31" s="457" t="s">
        <v>113</v>
      </c>
      <c r="AO31" s="457" t="s">
        <v>113</v>
      </c>
      <c r="AP31" s="457" t="s">
        <v>113</v>
      </c>
      <c r="AQ31" s="457" t="s">
        <v>113</v>
      </c>
      <c r="AR31" s="457" t="s">
        <v>113</v>
      </c>
      <c r="AS31" s="457" t="s">
        <v>113</v>
      </c>
      <c r="AT31" s="457" t="s">
        <v>113</v>
      </c>
      <c r="AU31" s="457" t="s">
        <v>113</v>
      </c>
      <c r="AV31" s="457" t="s">
        <v>113</v>
      </c>
      <c r="AW31" s="457" t="s">
        <v>113</v>
      </c>
      <c r="AX31" s="457" t="s">
        <v>113</v>
      </c>
      <c r="AY31" s="457" t="s">
        <v>113</v>
      </c>
      <c r="AZ31" s="457" t="s">
        <v>113</v>
      </c>
      <c r="BA31" s="457" t="s">
        <v>113</v>
      </c>
      <c r="BB31" s="457" t="s">
        <v>113</v>
      </c>
      <c r="BC31" s="457" t="s">
        <v>113</v>
      </c>
      <c r="BD31" s="457" t="s">
        <v>113</v>
      </c>
      <c r="BE31" s="457" t="s">
        <v>113</v>
      </c>
      <c r="BF31" s="457" t="s">
        <v>113</v>
      </c>
      <c r="BG31" s="457" t="s">
        <v>113</v>
      </c>
      <c r="BH31" s="457" t="s">
        <v>113</v>
      </c>
      <c r="BI31" s="457" t="s">
        <v>113</v>
      </c>
      <c r="BJ31" s="457" t="s">
        <v>113</v>
      </c>
      <c r="BK31" s="457" t="s">
        <v>113</v>
      </c>
      <c r="BL31" s="457" t="s">
        <v>113</v>
      </c>
      <c r="BM31" s="457" t="s">
        <v>113</v>
      </c>
      <c r="BN31" s="457" t="s">
        <v>113</v>
      </c>
      <c r="BO31" s="457" t="s">
        <v>113</v>
      </c>
      <c r="BP31" s="457" t="s">
        <v>113</v>
      </c>
      <c r="BQ31" s="457" t="s">
        <v>113</v>
      </c>
      <c r="BR31" s="457" t="s">
        <v>113</v>
      </c>
      <c r="BS31" s="457" t="s">
        <v>113</v>
      </c>
      <c r="BT31" s="457" t="s">
        <v>113</v>
      </c>
      <c r="BU31" s="457" t="s">
        <v>113</v>
      </c>
      <c r="BV31" s="457" t="s">
        <v>113</v>
      </c>
      <c r="BW31" s="457" t="s">
        <v>113</v>
      </c>
      <c r="BX31" s="457" t="s">
        <v>113</v>
      </c>
      <c r="BY31" s="457" t="s">
        <v>113</v>
      </c>
      <c r="BZ31" s="457" t="s">
        <v>113</v>
      </c>
      <c r="CA31" s="457" t="s">
        <v>113</v>
      </c>
      <c r="CB31" s="457" t="s">
        <v>113</v>
      </c>
      <c r="CC31" s="457" t="s">
        <v>113</v>
      </c>
      <c r="CD31" s="457" t="s">
        <v>113</v>
      </c>
      <c r="CE31" s="457" t="s">
        <v>113</v>
      </c>
      <c r="CF31" s="457" t="s">
        <v>113</v>
      </c>
      <c r="CG31" s="457" t="s">
        <v>113</v>
      </c>
      <c r="CH31" s="459" t="s">
        <v>637</v>
      </c>
    </row>
    <row r="32" spans="1:92">
      <c r="A32" s="210"/>
      <c r="B32" s="200"/>
      <c r="C32" s="224" t="s">
        <v>86</v>
      </c>
      <c r="D32" s="223"/>
      <c r="E32" s="222" t="s">
        <v>162</v>
      </c>
      <c r="F32" s="238"/>
      <c r="G32" s="238"/>
      <c r="H32" s="223"/>
      <c r="I32" s="223"/>
      <c r="J32" s="223"/>
      <c r="K32" s="223"/>
      <c r="L32" s="223"/>
      <c r="M32" s="223"/>
      <c r="N32" s="223"/>
      <c r="O32" s="223"/>
      <c r="P32" s="223"/>
      <c r="Q32" s="223"/>
      <c r="R32" s="223"/>
      <c r="S32" s="223"/>
      <c r="T32" s="223"/>
      <c r="U32" s="223"/>
      <c r="V32" s="223"/>
      <c r="W32" s="223"/>
      <c r="X32" s="223"/>
      <c r="Y32" s="223"/>
      <c r="Z32" s="223"/>
      <c r="AA32" s="223"/>
      <c r="AB32" s="223"/>
      <c r="AC32" s="223"/>
      <c r="AD32" s="223"/>
      <c r="AE32" s="223"/>
      <c r="AF32" s="223"/>
      <c r="AG32" s="223"/>
      <c r="AH32" s="223"/>
      <c r="AI32" s="223"/>
      <c r="AJ32" s="223"/>
      <c r="AK32" s="223"/>
      <c r="AL32" s="223"/>
      <c r="AM32" s="223"/>
      <c r="AN32" s="223"/>
      <c r="AO32" s="223"/>
      <c r="AP32" s="223"/>
      <c r="AQ32" s="223"/>
      <c r="AR32" s="223"/>
      <c r="AS32" s="223"/>
      <c r="AT32" s="223"/>
      <c r="AU32" s="223"/>
      <c r="AV32" s="223"/>
      <c r="AW32" s="223"/>
      <c r="AX32" s="223"/>
      <c r="AY32" s="223"/>
      <c r="AZ32" s="223"/>
      <c r="BA32" s="223"/>
      <c r="BB32" s="223"/>
      <c r="BC32" s="223"/>
      <c r="BD32" s="223"/>
      <c r="BE32" s="223"/>
      <c r="BF32" s="223"/>
      <c r="BG32" s="223"/>
      <c r="BH32" s="223"/>
      <c r="BI32" s="223"/>
      <c r="BJ32" s="223"/>
      <c r="BK32" s="223"/>
      <c r="BL32" s="223"/>
      <c r="BM32" s="223"/>
      <c r="BN32" s="223"/>
      <c r="BO32" s="223"/>
      <c r="BP32" s="223"/>
      <c r="BQ32" s="223"/>
      <c r="BR32" s="223"/>
      <c r="BS32" s="223"/>
      <c r="BT32" s="223"/>
      <c r="BU32" s="223"/>
      <c r="BV32" s="223"/>
      <c r="BW32" s="223"/>
      <c r="BX32" s="223"/>
      <c r="BY32" s="223"/>
      <c r="BZ32" s="223"/>
      <c r="CA32" s="223"/>
      <c r="CB32" s="223"/>
      <c r="CC32" s="223"/>
      <c r="CD32" s="223"/>
      <c r="CE32" s="223"/>
      <c r="CF32" s="223"/>
      <c r="CG32" s="223"/>
      <c r="CH32" s="237"/>
    </row>
    <row r="33" spans="1:92">
      <c r="A33" s="210"/>
      <c r="B33" s="200"/>
      <c r="C33" s="199"/>
      <c r="D33" s="236" t="s">
        <v>85</v>
      </c>
      <c r="E33" s="235" t="s">
        <v>161</v>
      </c>
      <c r="F33" s="234" t="s">
        <v>160</v>
      </c>
      <c r="G33" s="233" t="s">
        <v>159</v>
      </c>
      <c r="H33" s="460" t="s">
        <v>113</v>
      </c>
      <c r="I33" s="460" t="s">
        <v>113</v>
      </c>
      <c r="J33" s="460" t="s">
        <v>113</v>
      </c>
      <c r="K33" s="460" t="s">
        <v>113</v>
      </c>
      <c r="L33" s="460" t="s">
        <v>113</v>
      </c>
      <c r="M33" s="460" t="s">
        <v>113</v>
      </c>
      <c r="N33" s="460" t="s">
        <v>113</v>
      </c>
      <c r="O33" s="460" t="s">
        <v>113</v>
      </c>
      <c r="P33" s="460" t="s">
        <v>113</v>
      </c>
      <c r="Q33" s="460" t="s">
        <v>113</v>
      </c>
      <c r="R33" s="460" t="s">
        <v>113</v>
      </c>
      <c r="S33" s="460" t="s">
        <v>113</v>
      </c>
      <c r="T33" s="460" t="s">
        <v>113</v>
      </c>
      <c r="U33" s="460" t="s">
        <v>113</v>
      </c>
      <c r="V33" s="460" t="s">
        <v>113</v>
      </c>
      <c r="W33" s="460" t="s">
        <v>113</v>
      </c>
      <c r="X33" s="460" t="s">
        <v>113</v>
      </c>
      <c r="Y33" s="460" t="s">
        <v>113</v>
      </c>
      <c r="Z33" s="460" t="s">
        <v>113</v>
      </c>
      <c r="AA33" s="460" t="s">
        <v>113</v>
      </c>
      <c r="AB33" s="460" t="s">
        <v>113</v>
      </c>
      <c r="AC33" s="460" t="s">
        <v>113</v>
      </c>
      <c r="AD33" s="460" t="s">
        <v>113</v>
      </c>
      <c r="AE33" s="460" t="s">
        <v>113</v>
      </c>
      <c r="AF33" s="460" t="s">
        <v>113</v>
      </c>
      <c r="AG33" s="460" t="s">
        <v>113</v>
      </c>
      <c r="AH33" s="460" t="s">
        <v>113</v>
      </c>
      <c r="AI33" s="460" t="s">
        <v>113</v>
      </c>
      <c r="AJ33" s="460" t="s">
        <v>113</v>
      </c>
      <c r="AK33" s="460" t="s">
        <v>113</v>
      </c>
      <c r="AL33" s="460" t="s">
        <v>113</v>
      </c>
      <c r="AM33" s="460" t="s">
        <v>113</v>
      </c>
      <c r="AN33" s="460" t="s">
        <v>113</v>
      </c>
      <c r="AO33" s="460" t="s">
        <v>113</v>
      </c>
      <c r="AP33" s="460" t="s">
        <v>113</v>
      </c>
      <c r="AQ33" s="460" t="s">
        <v>113</v>
      </c>
      <c r="AR33" s="460" t="s">
        <v>113</v>
      </c>
      <c r="AS33" s="460" t="s">
        <v>113</v>
      </c>
      <c r="AT33" s="460" t="s">
        <v>113</v>
      </c>
      <c r="AU33" s="460" t="s">
        <v>113</v>
      </c>
      <c r="AV33" s="460" t="s">
        <v>113</v>
      </c>
      <c r="AW33" s="460" t="s">
        <v>113</v>
      </c>
      <c r="AX33" s="460" t="s">
        <v>113</v>
      </c>
      <c r="AY33" s="460" t="s">
        <v>113</v>
      </c>
      <c r="AZ33" s="460" t="s">
        <v>113</v>
      </c>
      <c r="BA33" s="460" t="s">
        <v>113</v>
      </c>
      <c r="BB33" s="460" t="s">
        <v>113</v>
      </c>
      <c r="BC33" s="460" t="s">
        <v>113</v>
      </c>
      <c r="BD33" s="460" t="s">
        <v>113</v>
      </c>
      <c r="BE33" s="460" t="s">
        <v>113</v>
      </c>
      <c r="BF33" s="460" t="s">
        <v>113</v>
      </c>
      <c r="BG33" s="461" t="s">
        <v>103</v>
      </c>
      <c r="BH33" s="461" t="s">
        <v>103</v>
      </c>
      <c r="BI33" s="461" t="s">
        <v>103</v>
      </c>
      <c r="BJ33" s="461" t="s">
        <v>103</v>
      </c>
      <c r="BK33" s="461" t="s">
        <v>103</v>
      </c>
      <c r="BL33" s="461" t="s">
        <v>103</v>
      </c>
      <c r="BM33" s="461" t="s">
        <v>103</v>
      </c>
      <c r="BN33" s="461" t="s">
        <v>103</v>
      </c>
      <c r="BO33" s="461" t="s">
        <v>103</v>
      </c>
      <c r="BP33" s="461" t="s">
        <v>103</v>
      </c>
      <c r="BQ33" s="461" t="s">
        <v>103</v>
      </c>
      <c r="BR33" s="461" t="s">
        <v>103</v>
      </c>
      <c r="BS33" s="461" t="s">
        <v>103</v>
      </c>
      <c r="BT33" s="461" t="s">
        <v>103</v>
      </c>
      <c r="BU33" s="461" t="s">
        <v>103</v>
      </c>
      <c r="BV33" s="461" t="s">
        <v>103</v>
      </c>
      <c r="BW33" s="461" t="s">
        <v>103</v>
      </c>
      <c r="BX33" s="461" t="s">
        <v>103</v>
      </c>
      <c r="BY33" s="461" t="s">
        <v>103</v>
      </c>
      <c r="BZ33" s="461" t="s">
        <v>103</v>
      </c>
      <c r="CA33" s="461" t="s">
        <v>103</v>
      </c>
      <c r="CB33" s="461" t="s">
        <v>103</v>
      </c>
      <c r="CC33" s="461" t="s">
        <v>103</v>
      </c>
      <c r="CD33" s="461" t="s">
        <v>103</v>
      </c>
      <c r="CE33" s="461" t="s">
        <v>103</v>
      </c>
      <c r="CF33" s="461" t="s">
        <v>103</v>
      </c>
      <c r="CG33" s="461" t="s">
        <v>103</v>
      </c>
      <c r="CH33" s="232"/>
      <c r="CK33" s="231"/>
      <c r="CL33" s="231"/>
      <c r="CM33" s="230"/>
      <c r="CN33" s="230"/>
    </row>
    <row r="34" spans="1:92">
      <c r="A34" s="210"/>
      <c r="B34" s="200"/>
      <c r="C34" s="278" t="s">
        <v>87</v>
      </c>
      <c r="D34" s="279"/>
      <c r="E34" s="279" t="s">
        <v>174</v>
      </c>
      <c r="F34" s="279"/>
      <c r="G34" s="279"/>
      <c r="H34" s="279"/>
      <c r="I34" s="279"/>
      <c r="J34" s="279"/>
      <c r="K34" s="279"/>
      <c r="L34" s="279"/>
      <c r="M34" s="279"/>
      <c r="N34" s="279"/>
      <c r="O34" s="279"/>
      <c r="P34" s="279"/>
      <c r="Q34" s="279"/>
      <c r="R34" s="279"/>
      <c r="S34" s="279"/>
      <c r="T34" s="279"/>
      <c r="U34" s="279"/>
      <c r="V34" s="279"/>
      <c r="W34" s="279"/>
      <c r="X34" s="279"/>
      <c r="Y34" s="279"/>
      <c r="Z34" s="279"/>
      <c r="AA34" s="279"/>
      <c r="AB34" s="279"/>
      <c r="AC34" s="279"/>
      <c r="AD34" s="279"/>
      <c r="AE34" s="279"/>
      <c r="AF34" s="279"/>
      <c r="AG34" s="279"/>
      <c r="AH34" s="279"/>
      <c r="AI34" s="279"/>
      <c r="AJ34" s="279"/>
      <c r="AK34" s="279"/>
      <c r="AL34" s="279"/>
      <c r="AM34" s="279"/>
      <c r="AN34" s="279"/>
      <c r="AO34" s="279"/>
      <c r="AP34" s="279"/>
      <c r="AQ34" s="279"/>
      <c r="AR34" s="279"/>
      <c r="AS34" s="279"/>
      <c r="AT34" s="279"/>
      <c r="AU34" s="279"/>
      <c r="AV34" s="279"/>
      <c r="AW34" s="279"/>
      <c r="AX34" s="279"/>
      <c r="AY34" s="279"/>
      <c r="AZ34" s="279"/>
      <c r="BA34" s="279"/>
      <c r="BB34" s="279"/>
      <c r="BC34" s="279"/>
      <c r="BD34" s="279"/>
      <c r="BE34" s="279"/>
      <c r="BF34" s="279"/>
      <c r="BG34" s="279"/>
      <c r="BH34" s="279"/>
      <c r="BI34" s="279"/>
      <c r="BJ34" s="279"/>
      <c r="BK34" s="279"/>
      <c r="BL34" s="279"/>
      <c r="BM34" s="279"/>
      <c r="BN34" s="279"/>
      <c r="BO34" s="279"/>
      <c r="BP34" s="279"/>
      <c r="BQ34" s="279"/>
      <c r="BR34" s="279"/>
      <c r="BS34" s="279"/>
      <c r="BT34" s="279"/>
      <c r="BU34" s="279"/>
      <c r="BV34" s="279"/>
      <c r="BW34" s="279"/>
      <c r="BX34" s="279"/>
      <c r="BY34" s="279"/>
      <c r="BZ34" s="279"/>
      <c r="CA34" s="279"/>
      <c r="CB34" s="279"/>
      <c r="CC34" s="279"/>
      <c r="CD34" s="279"/>
      <c r="CE34" s="279"/>
      <c r="CF34" s="279"/>
      <c r="CG34" s="279"/>
      <c r="CH34" s="280"/>
      <c r="CK34" s="275"/>
      <c r="CL34" s="275"/>
      <c r="CM34" s="277"/>
      <c r="CN34" s="277"/>
    </row>
    <row r="35" spans="1:92">
      <c r="A35" s="210"/>
      <c r="B35" s="200"/>
      <c r="C35" s="198"/>
      <c r="D35" s="281" t="s">
        <v>85</v>
      </c>
      <c r="E35" s="282" t="s">
        <v>182</v>
      </c>
      <c r="F35" s="46" t="s">
        <v>175</v>
      </c>
      <c r="G35" s="46" t="s">
        <v>176</v>
      </c>
      <c r="H35" s="276" t="s">
        <v>103</v>
      </c>
      <c r="I35" s="451" t="s">
        <v>113</v>
      </c>
      <c r="J35" s="451" t="s">
        <v>113</v>
      </c>
      <c r="K35" s="451" t="s">
        <v>113</v>
      </c>
      <c r="L35" s="276" t="s">
        <v>103</v>
      </c>
      <c r="M35" s="451" t="s">
        <v>113</v>
      </c>
      <c r="N35" s="451" t="s">
        <v>113</v>
      </c>
      <c r="O35" s="451" t="s">
        <v>113</v>
      </c>
      <c r="P35" s="451" t="s">
        <v>113</v>
      </c>
      <c r="Q35" s="276" t="s">
        <v>103</v>
      </c>
      <c r="R35" s="451" t="s">
        <v>113</v>
      </c>
      <c r="S35" s="451" t="s">
        <v>113</v>
      </c>
      <c r="T35" s="451" t="s">
        <v>113</v>
      </c>
      <c r="U35" s="276" t="s">
        <v>103</v>
      </c>
      <c r="V35" s="276" t="s">
        <v>103</v>
      </c>
      <c r="W35" s="276" t="s">
        <v>103</v>
      </c>
      <c r="X35" s="451" t="s">
        <v>113</v>
      </c>
      <c r="Y35" s="451" t="s">
        <v>113</v>
      </c>
      <c r="Z35" s="276" t="s">
        <v>103</v>
      </c>
      <c r="AA35" s="451" t="s">
        <v>113</v>
      </c>
      <c r="AB35" s="276" t="s">
        <v>103</v>
      </c>
      <c r="AC35" s="451" t="s">
        <v>113</v>
      </c>
      <c r="AD35" s="276" t="s">
        <v>103</v>
      </c>
      <c r="AE35" s="451" t="s">
        <v>113</v>
      </c>
      <c r="AF35" s="276" t="s">
        <v>103</v>
      </c>
      <c r="AG35" s="451" t="s">
        <v>113</v>
      </c>
      <c r="AH35" s="451" t="s">
        <v>113</v>
      </c>
      <c r="AI35" s="276" t="s">
        <v>103</v>
      </c>
      <c r="AJ35" s="451" t="s">
        <v>113</v>
      </c>
      <c r="AK35" s="451" t="s">
        <v>113</v>
      </c>
      <c r="AL35" s="451" t="s">
        <v>113</v>
      </c>
      <c r="AM35" s="451" t="s">
        <v>113</v>
      </c>
      <c r="AN35" s="451" t="s">
        <v>113</v>
      </c>
      <c r="AO35" s="451" t="s">
        <v>113</v>
      </c>
      <c r="AP35" s="451" t="s">
        <v>113</v>
      </c>
      <c r="AQ35" s="451" t="s">
        <v>113</v>
      </c>
      <c r="AR35" s="451" t="s">
        <v>113</v>
      </c>
      <c r="AS35" s="451" t="s">
        <v>113</v>
      </c>
      <c r="AT35" s="451" t="s">
        <v>113</v>
      </c>
      <c r="AU35" s="451" t="s">
        <v>113</v>
      </c>
      <c r="AV35" s="276" t="s">
        <v>103</v>
      </c>
      <c r="AW35" s="451" t="s">
        <v>113</v>
      </c>
      <c r="AX35" s="451" t="s">
        <v>113</v>
      </c>
      <c r="AY35" s="451" t="s">
        <v>113</v>
      </c>
      <c r="AZ35" s="276" t="s">
        <v>103</v>
      </c>
      <c r="BA35" s="451" t="s">
        <v>113</v>
      </c>
      <c r="BB35" s="451" t="s">
        <v>113</v>
      </c>
      <c r="BC35" s="451" t="s">
        <v>113</v>
      </c>
      <c r="BD35" s="451" t="s">
        <v>113</v>
      </c>
      <c r="BE35" s="451" t="s">
        <v>113</v>
      </c>
      <c r="BF35" s="451" t="s">
        <v>113</v>
      </c>
      <c r="BG35" s="451" t="s">
        <v>113</v>
      </c>
      <c r="BH35" s="451" t="s">
        <v>113</v>
      </c>
      <c r="BI35" s="451" t="s">
        <v>113</v>
      </c>
      <c r="BJ35" s="451" t="s">
        <v>113</v>
      </c>
      <c r="BK35" s="451" t="s">
        <v>113</v>
      </c>
      <c r="BL35" s="451" t="s">
        <v>113</v>
      </c>
      <c r="BM35" s="451" t="s">
        <v>113</v>
      </c>
      <c r="BN35" s="451" t="s">
        <v>113</v>
      </c>
      <c r="BO35" s="451" t="s">
        <v>113</v>
      </c>
      <c r="BP35" s="451" t="s">
        <v>113</v>
      </c>
      <c r="BQ35" s="451" t="s">
        <v>113</v>
      </c>
      <c r="BR35" s="451" t="s">
        <v>113</v>
      </c>
      <c r="BS35" s="451" t="s">
        <v>113</v>
      </c>
      <c r="BT35" s="451" t="s">
        <v>113</v>
      </c>
      <c r="BU35" s="451" t="s">
        <v>113</v>
      </c>
      <c r="BV35" s="451" t="s">
        <v>113</v>
      </c>
      <c r="BW35" s="451" t="s">
        <v>113</v>
      </c>
      <c r="BX35" s="451" t="s">
        <v>113</v>
      </c>
      <c r="BY35" s="451" t="s">
        <v>113</v>
      </c>
      <c r="BZ35" s="451" t="s">
        <v>113</v>
      </c>
      <c r="CA35" s="451" t="s">
        <v>113</v>
      </c>
      <c r="CB35" s="451" t="s">
        <v>113</v>
      </c>
      <c r="CC35" s="451" t="s">
        <v>113</v>
      </c>
      <c r="CD35" s="451" t="s">
        <v>113</v>
      </c>
      <c r="CE35" s="451" t="s">
        <v>113</v>
      </c>
      <c r="CF35" s="451" t="s">
        <v>113</v>
      </c>
      <c r="CG35" s="451" t="s">
        <v>113</v>
      </c>
      <c r="CH35" s="283"/>
      <c r="CK35" s="231"/>
      <c r="CL35" s="231"/>
      <c r="CM35" s="230"/>
      <c r="CN35" s="230"/>
    </row>
    <row r="36" spans="1:92">
      <c r="A36" s="210"/>
      <c r="B36" s="200"/>
      <c r="C36" s="198"/>
      <c r="D36" s="203" t="s">
        <v>177</v>
      </c>
      <c r="E36" s="204"/>
      <c r="F36" s="284" t="s">
        <v>178</v>
      </c>
      <c r="G36" s="284" t="s">
        <v>179</v>
      </c>
      <c r="H36" s="276" t="s">
        <v>103</v>
      </c>
      <c r="I36" s="451" t="s">
        <v>113</v>
      </c>
      <c r="J36" s="451" t="s">
        <v>113</v>
      </c>
      <c r="K36" s="451" t="s">
        <v>113</v>
      </c>
      <c r="L36" s="276" t="s">
        <v>103</v>
      </c>
      <c r="M36" s="451" t="s">
        <v>113</v>
      </c>
      <c r="N36" s="451" t="s">
        <v>113</v>
      </c>
      <c r="O36" s="451" t="s">
        <v>113</v>
      </c>
      <c r="P36" s="451" t="s">
        <v>113</v>
      </c>
      <c r="Q36" s="276" t="s">
        <v>103</v>
      </c>
      <c r="R36" s="451" t="s">
        <v>113</v>
      </c>
      <c r="S36" s="451" t="s">
        <v>113</v>
      </c>
      <c r="T36" s="451" t="s">
        <v>113</v>
      </c>
      <c r="U36" s="276" t="s">
        <v>103</v>
      </c>
      <c r="V36" s="276" t="s">
        <v>103</v>
      </c>
      <c r="W36" s="276" t="s">
        <v>103</v>
      </c>
      <c r="X36" s="451" t="s">
        <v>113</v>
      </c>
      <c r="Y36" s="451" t="s">
        <v>113</v>
      </c>
      <c r="Z36" s="276" t="s">
        <v>103</v>
      </c>
      <c r="AA36" s="451" t="s">
        <v>113</v>
      </c>
      <c r="AB36" s="276" t="s">
        <v>103</v>
      </c>
      <c r="AC36" s="451" t="s">
        <v>113</v>
      </c>
      <c r="AD36" s="276" t="s">
        <v>103</v>
      </c>
      <c r="AE36" s="451" t="s">
        <v>113</v>
      </c>
      <c r="AF36" s="276" t="s">
        <v>103</v>
      </c>
      <c r="AG36" s="451" t="s">
        <v>113</v>
      </c>
      <c r="AH36" s="451" t="s">
        <v>113</v>
      </c>
      <c r="AI36" s="276" t="s">
        <v>103</v>
      </c>
      <c r="AJ36" s="451" t="s">
        <v>113</v>
      </c>
      <c r="AK36" s="451" t="s">
        <v>113</v>
      </c>
      <c r="AL36" s="451" t="s">
        <v>113</v>
      </c>
      <c r="AM36" s="451" t="s">
        <v>113</v>
      </c>
      <c r="AN36" s="451" t="s">
        <v>113</v>
      </c>
      <c r="AO36" s="451" t="s">
        <v>113</v>
      </c>
      <c r="AP36" s="451" t="s">
        <v>113</v>
      </c>
      <c r="AQ36" s="451" t="s">
        <v>113</v>
      </c>
      <c r="AR36" s="451" t="s">
        <v>113</v>
      </c>
      <c r="AS36" s="451" t="s">
        <v>113</v>
      </c>
      <c r="AT36" s="451" t="s">
        <v>113</v>
      </c>
      <c r="AU36" s="451" t="s">
        <v>113</v>
      </c>
      <c r="AV36" s="276" t="s">
        <v>103</v>
      </c>
      <c r="AW36" s="451" t="s">
        <v>113</v>
      </c>
      <c r="AX36" s="451" t="s">
        <v>113</v>
      </c>
      <c r="AY36" s="451" t="s">
        <v>113</v>
      </c>
      <c r="AZ36" s="276" t="s">
        <v>103</v>
      </c>
      <c r="BA36" s="451" t="s">
        <v>113</v>
      </c>
      <c r="BB36" s="451" t="s">
        <v>113</v>
      </c>
      <c r="BC36" s="451" t="s">
        <v>113</v>
      </c>
      <c r="BD36" s="451" t="s">
        <v>113</v>
      </c>
      <c r="BE36" s="451" t="s">
        <v>113</v>
      </c>
      <c r="BF36" s="451" t="s">
        <v>113</v>
      </c>
      <c r="BG36" s="451" t="s">
        <v>113</v>
      </c>
      <c r="BH36" s="451" t="s">
        <v>113</v>
      </c>
      <c r="BI36" s="451" t="s">
        <v>113</v>
      </c>
      <c r="BJ36" s="451" t="s">
        <v>113</v>
      </c>
      <c r="BK36" s="451" t="s">
        <v>113</v>
      </c>
      <c r="BL36" s="451" t="s">
        <v>113</v>
      </c>
      <c r="BM36" s="451" t="s">
        <v>113</v>
      </c>
      <c r="BN36" s="451" t="s">
        <v>113</v>
      </c>
      <c r="BO36" s="451" t="s">
        <v>113</v>
      </c>
      <c r="BP36" s="451" t="s">
        <v>113</v>
      </c>
      <c r="BQ36" s="451" t="s">
        <v>113</v>
      </c>
      <c r="BR36" s="451" t="s">
        <v>113</v>
      </c>
      <c r="BS36" s="451" t="s">
        <v>113</v>
      </c>
      <c r="BT36" s="451" t="s">
        <v>113</v>
      </c>
      <c r="BU36" s="451" t="s">
        <v>113</v>
      </c>
      <c r="BV36" s="451" t="s">
        <v>113</v>
      </c>
      <c r="BW36" s="451" t="s">
        <v>113</v>
      </c>
      <c r="BX36" s="451" t="s">
        <v>113</v>
      </c>
      <c r="BY36" s="451" t="s">
        <v>113</v>
      </c>
      <c r="BZ36" s="451" t="s">
        <v>113</v>
      </c>
      <c r="CA36" s="451" t="s">
        <v>113</v>
      </c>
      <c r="CB36" s="451" t="s">
        <v>113</v>
      </c>
      <c r="CC36" s="451" t="s">
        <v>113</v>
      </c>
      <c r="CD36" s="451" t="s">
        <v>113</v>
      </c>
      <c r="CE36" s="451" t="s">
        <v>113</v>
      </c>
      <c r="CF36" s="451" t="s">
        <v>113</v>
      </c>
      <c r="CG36" s="451" t="s">
        <v>113</v>
      </c>
      <c r="CH36" s="285"/>
      <c r="CK36" s="231"/>
      <c r="CL36" s="231"/>
      <c r="CM36" s="230"/>
      <c r="CN36" s="230"/>
    </row>
    <row r="37" spans="1:92">
      <c r="A37" s="210"/>
      <c r="B37" s="200"/>
      <c r="C37" s="199"/>
      <c r="D37" s="286" t="s">
        <v>87</v>
      </c>
      <c r="E37" s="287"/>
      <c r="F37" s="33" t="s">
        <v>180</v>
      </c>
      <c r="G37" s="31" t="s">
        <v>181</v>
      </c>
      <c r="H37" s="276" t="s">
        <v>103</v>
      </c>
      <c r="I37" s="451" t="s">
        <v>113</v>
      </c>
      <c r="J37" s="451" t="s">
        <v>113</v>
      </c>
      <c r="K37" s="451" t="s">
        <v>113</v>
      </c>
      <c r="L37" s="276" t="s">
        <v>103</v>
      </c>
      <c r="M37" s="451" t="s">
        <v>113</v>
      </c>
      <c r="N37" s="451" t="s">
        <v>113</v>
      </c>
      <c r="O37" s="451" t="s">
        <v>113</v>
      </c>
      <c r="P37" s="451" t="s">
        <v>113</v>
      </c>
      <c r="Q37" s="276" t="s">
        <v>103</v>
      </c>
      <c r="R37" s="451" t="s">
        <v>113</v>
      </c>
      <c r="S37" s="451" t="s">
        <v>113</v>
      </c>
      <c r="T37" s="451" t="s">
        <v>113</v>
      </c>
      <c r="U37" s="276" t="s">
        <v>103</v>
      </c>
      <c r="V37" s="276" t="s">
        <v>103</v>
      </c>
      <c r="W37" s="276" t="s">
        <v>103</v>
      </c>
      <c r="X37" s="451" t="s">
        <v>113</v>
      </c>
      <c r="Y37" s="451" t="s">
        <v>113</v>
      </c>
      <c r="Z37" s="276" t="s">
        <v>103</v>
      </c>
      <c r="AA37" s="451" t="s">
        <v>113</v>
      </c>
      <c r="AB37" s="276" t="s">
        <v>103</v>
      </c>
      <c r="AC37" s="451" t="s">
        <v>113</v>
      </c>
      <c r="AD37" s="276" t="s">
        <v>103</v>
      </c>
      <c r="AE37" s="451" t="s">
        <v>113</v>
      </c>
      <c r="AF37" s="276" t="s">
        <v>103</v>
      </c>
      <c r="AG37" s="451" t="s">
        <v>113</v>
      </c>
      <c r="AH37" s="451" t="s">
        <v>113</v>
      </c>
      <c r="AI37" s="276" t="s">
        <v>103</v>
      </c>
      <c r="AJ37" s="451" t="s">
        <v>113</v>
      </c>
      <c r="AK37" s="451" t="s">
        <v>113</v>
      </c>
      <c r="AL37" s="451" t="s">
        <v>113</v>
      </c>
      <c r="AM37" s="451" t="s">
        <v>113</v>
      </c>
      <c r="AN37" s="451" t="s">
        <v>113</v>
      </c>
      <c r="AO37" s="451" t="s">
        <v>113</v>
      </c>
      <c r="AP37" s="451" t="s">
        <v>113</v>
      </c>
      <c r="AQ37" s="451" t="s">
        <v>113</v>
      </c>
      <c r="AR37" s="451" t="s">
        <v>113</v>
      </c>
      <c r="AS37" s="451" t="s">
        <v>113</v>
      </c>
      <c r="AT37" s="451" t="s">
        <v>113</v>
      </c>
      <c r="AU37" s="451" t="s">
        <v>113</v>
      </c>
      <c r="AV37" s="276" t="s">
        <v>103</v>
      </c>
      <c r="AW37" s="451" t="s">
        <v>113</v>
      </c>
      <c r="AX37" s="451" t="s">
        <v>113</v>
      </c>
      <c r="AY37" s="451" t="s">
        <v>113</v>
      </c>
      <c r="AZ37" s="276" t="s">
        <v>103</v>
      </c>
      <c r="BA37" s="451" t="s">
        <v>113</v>
      </c>
      <c r="BB37" s="451" t="s">
        <v>113</v>
      </c>
      <c r="BC37" s="451" t="s">
        <v>113</v>
      </c>
      <c r="BD37" s="451" t="s">
        <v>113</v>
      </c>
      <c r="BE37" s="451" t="s">
        <v>113</v>
      </c>
      <c r="BF37" s="451" t="s">
        <v>113</v>
      </c>
      <c r="BG37" s="451" t="s">
        <v>113</v>
      </c>
      <c r="BH37" s="451" t="s">
        <v>113</v>
      </c>
      <c r="BI37" s="451" t="s">
        <v>113</v>
      </c>
      <c r="BJ37" s="451" t="s">
        <v>113</v>
      </c>
      <c r="BK37" s="451" t="s">
        <v>113</v>
      </c>
      <c r="BL37" s="451" t="s">
        <v>113</v>
      </c>
      <c r="BM37" s="451" t="s">
        <v>113</v>
      </c>
      <c r="BN37" s="451" t="s">
        <v>113</v>
      </c>
      <c r="BO37" s="451" t="s">
        <v>113</v>
      </c>
      <c r="BP37" s="451" t="s">
        <v>113</v>
      </c>
      <c r="BQ37" s="451" t="s">
        <v>113</v>
      </c>
      <c r="BR37" s="451" t="s">
        <v>113</v>
      </c>
      <c r="BS37" s="451" t="s">
        <v>113</v>
      </c>
      <c r="BT37" s="451" t="s">
        <v>113</v>
      </c>
      <c r="BU37" s="451" t="s">
        <v>113</v>
      </c>
      <c r="BV37" s="451" t="s">
        <v>113</v>
      </c>
      <c r="BW37" s="451" t="s">
        <v>113</v>
      </c>
      <c r="BX37" s="451" t="s">
        <v>113</v>
      </c>
      <c r="BY37" s="451" t="s">
        <v>113</v>
      </c>
      <c r="BZ37" s="451" t="s">
        <v>113</v>
      </c>
      <c r="CA37" s="451" t="s">
        <v>113</v>
      </c>
      <c r="CB37" s="451" t="s">
        <v>113</v>
      </c>
      <c r="CC37" s="451" t="s">
        <v>113</v>
      </c>
      <c r="CD37" s="451" t="s">
        <v>113</v>
      </c>
      <c r="CE37" s="451" t="s">
        <v>113</v>
      </c>
      <c r="CF37" s="451" t="s">
        <v>113</v>
      </c>
      <c r="CG37" s="451" t="s">
        <v>113</v>
      </c>
      <c r="CH37" s="288"/>
      <c r="CK37" s="231"/>
      <c r="CL37" s="231"/>
      <c r="CM37" s="230"/>
      <c r="CN37" s="230"/>
    </row>
    <row r="38" spans="1:92">
      <c r="A38" s="210"/>
      <c r="B38" s="200"/>
      <c r="C38" s="224" t="s">
        <v>88</v>
      </c>
      <c r="D38" s="246"/>
      <c r="E38" s="248" t="s">
        <v>59</v>
      </c>
      <c r="F38" s="247"/>
      <c r="G38" s="247"/>
      <c r="H38" s="246"/>
      <c r="I38" s="246"/>
      <c r="J38" s="246"/>
      <c r="K38" s="246"/>
      <c r="L38" s="246"/>
      <c r="M38" s="246"/>
      <c r="N38" s="246"/>
      <c r="O38" s="246"/>
      <c r="P38" s="246"/>
      <c r="Q38" s="246"/>
      <c r="R38" s="246"/>
      <c r="S38" s="246"/>
      <c r="T38" s="246"/>
      <c r="U38" s="246"/>
      <c r="V38" s="246"/>
      <c r="W38" s="246"/>
      <c r="X38" s="246"/>
      <c r="Y38" s="246"/>
      <c r="Z38" s="246"/>
      <c r="AA38" s="246"/>
      <c r="AB38" s="246"/>
      <c r="AC38" s="246"/>
      <c r="AD38" s="246"/>
      <c r="AE38" s="246"/>
      <c r="AF38" s="246"/>
      <c r="AG38" s="246"/>
      <c r="AH38" s="246"/>
      <c r="AI38" s="246"/>
      <c r="AJ38" s="246"/>
      <c r="AK38" s="246"/>
      <c r="AL38" s="246"/>
      <c r="AM38" s="246"/>
      <c r="AN38" s="246"/>
      <c r="AO38" s="246"/>
      <c r="AP38" s="246"/>
      <c r="AQ38" s="246"/>
      <c r="AR38" s="246"/>
      <c r="AS38" s="246"/>
      <c r="AT38" s="246"/>
      <c r="AU38" s="246"/>
      <c r="AV38" s="246"/>
      <c r="AW38" s="246"/>
      <c r="AX38" s="246"/>
      <c r="AY38" s="246"/>
      <c r="AZ38" s="246"/>
      <c r="BA38" s="246"/>
      <c r="BB38" s="246"/>
      <c r="BC38" s="246"/>
      <c r="BD38" s="246"/>
      <c r="BE38" s="246"/>
      <c r="BF38" s="246"/>
      <c r="BG38" s="246"/>
      <c r="BH38" s="246"/>
      <c r="BI38" s="246"/>
      <c r="BJ38" s="246"/>
      <c r="BK38" s="246"/>
      <c r="BL38" s="246"/>
      <c r="BM38" s="246"/>
      <c r="BN38" s="246"/>
      <c r="BO38" s="246"/>
      <c r="BP38" s="246"/>
      <c r="BQ38" s="246"/>
      <c r="BR38" s="246"/>
      <c r="BS38" s="246"/>
      <c r="BT38" s="246"/>
      <c r="BU38" s="246"/>
      <c r="BV38" s="246"/>
      <c r="BW38" s="246"/>
      <c r="BX38" s="246"/>
      <c r="BY38" s="246"/>
      <c r="BZ38" s="246"/>
      <c r="CA38" s="246"/>
      <c r="CB38" s="246"/>
      <c r="CC38" s="246"/>
      <c r="CD38" s="246"/>
      <c r="CE38" s="246"/>
      <c r="CF38" s="246"/>
      <c r="CG38" s="246"/>
      <c r="CH38" s="237"/>
    </row>
    <row r="39" spans="1:92" ht="45">
      <c r="A39" s="210"/>
      <c r="B39" s="200"/>
      <c r="C39" s="198"/>
      <c r="D39" s="463" t="s">
        <v>85</v>
      </c>
      <c r="E39" s="473" t="s">
        <v>638</v>
      </c>
      <c r="F39" s="474" t="s">
        <v>655</v>
      </c>
      <c r="G39" s="233" t="s">
        <v>659</v>
      </c>
      <c r="H39" s="478" t="s">
        <v>113</v>
      </c>
      <c r="I39" s="479" t="s">
        <v>113</v>
      </c>
      <c r="J39" s="478" t="s">
        <v>113</v>
      </c>
      <c r="K39" s="478" t="s">
        <v>113</v>
      </c>
      <c r="L39" s="478" t="s">
        <v>113</v>
      </c>
      <c r="M39" s="468" t="s">
        <v>103</v>
      </c>
      <c r="N39" s="478" t="s">
        <v>113</v>
      </c>
      <c r="O39" s="478" t="s">
        <v>113</v>
      </c>
      <c r="P39" s="478" t="s">
        <v>113</v>
      </c>
      <c r="Q39" s="478" t="s">
        <v>113</v>
      </c>
      <c r="R39" s="468" t="s">
        <v>103</v>
      </c>
      <c r="S39" s="478" t="s">
        <v>113</v>
      </c>
      <c r="T39" s="468" t="s">
        <v>103</v>
      </c>
      <c r="U39" s="478" t="s">
        <v>113</v>
      </c>
      <c r="V39" s="478" t="s">
        <v>113</v>
      </c>
      <c r="W39" s="478" t="s">
        <v>113</v>
      </c>
      <c r="X39" s="478" t="s">
        <v>113</v>
      </c>
      <c r="Y39" s="478" t="s">
        <v>113</v>
      </c>
      <c r="Z39" s="478" t="s">
        <v>113</v>
      </c>
      <c r="AA39" s="478" t="s">
        <v>113</v>
      </c>
      <c r="AB39" s="478" t="s">
        <v>113</v>
      </c>
      <c r="AC39" s="478" t="s">
        <v>113</v>
      </c>
      <c r="AD39" s="478" t="s">
        <v>113</v>
      </c>
      <c r="AE39" s="478" t="s">
        <v>113</v>
      </c>
      <c r="AF39" s="478" t="s">
        <v>113</v>
      </c>
      <c r="AG39" s="468" t="s">
        <v>103</v>
      </c>
      <c r="AH39" s="468" t="s">
        <v>103</v>
      </c>
      <c r="AI39" s="478" t="s">
        <v>113</v>
      </c>
      <c r="AJ39" s="468" t="s">
        <v>103</v>
      </c>
      <c r="AK39" s="478" t="s">
        <v>113</v>
      </c>
      <c r="AL39" s="478" t="s">
        <v>113</v>
      </c>
      <c r="AM39" s="478" t="s">
        <v>113</v>
      </c>
      <c r="AN39" s="478" t="s">
        <v>113</v>
      </c>
      <c r="AO39" s="478" t="s">
        <v>113</v>
      </c>
      <c r="AP39" s="478" t="s">
        <v>113</v>
      </c>
      <c r="AQ39" s="478" t="s">
        <v>113</v>
      </c>
      <c r="AR39" s="478" t="s">
        <v>113</v>
      </c>
      <c r="AS39" s="478" t="s">
        <v>113</v>
      </c>
      <c r="AT39" s="478" t="s">
        <v>113</v>
      </c>
      <c r="AU39" s="478" t="s">
        <v>113</v>
      </c>
      <c r="AV39" s="478" t="s">
        <v>113</v>
      </c>
      <c r="AW39" s="478" t="s">
        <v>113</v>
      </c>
      <c r="AX39" s="478" t="s">
        <v>113</v>
      </c>
      <c r="AY39" s="478" t="s">
        <v>113</v>
      </c>
      <c r="AZ39" s="478" t="s">
        <v>113</v>
      </c>
      <c r="BA39" s="478" t="s">
        <v>113</v>
      </c>
      <c r="BB39" s="478" t="s">
        <v>113</v>
      </c>
      <c r="BC39" s="478" t="s">
        <v>113</v>
      </c>
      <c r="BD39" s="478" t="s">
        <v>113</v>
      </c>
      <c r="BE39" s="478" t="s">
        <v>113</v>
      </c>
      <c r="BF39" s="478" t="s">
        <v>113</v>
      </c>
      <c r="BG39" s="478" t="s">
        <v>113</v>
      </c>
      <c r="BH39" s="478" t="s">
        <v>113</v>
      </c>
      <c r="BI39" s="478" t="s">
        <v>113</v>
      </c>
      <c r="BJ39" s="478" t="s">
        <v>113</v>
      </c>
      <c r="BK39" s="478" t="s">
        <v>113</v>
      </c>
      <c r="BL39" s="478" t="s">
        <v>113</v>
      </c>
      <c r="BM39" s="478" t="s">
        <v>113</v>
      </c>
      <c r="BN39" s="478" t="s">
        <v>113</v>
      </c>
      <c r="BO39" s="478" t="s">
        <v>113</v>
      </c>
      <c r="BP39" s="478" t="s">
        <v>113</v>
      </c>
      <c r="BQ39" s="478" t="s">
        <v>113</v>
      </c>
      <c r="BR39" s="478" t="s">
        <v>113</v>
      </c>
      <c r="BS39" s="478" t="s">
        <v>113</v>
      </c>
      <c r="BT39" s="478" t="s">
        <v>113</v>
      </c>
      <c r="BU39" s="478" t="s">
        <v>113</v>
      </c>
      <c r="BV39" s="478" t="s">
        <v>113</v>
      </c>
      <c r="BW39" s="478" t="s">
        <v>113</v>
      </c>
      <c r="BX39" s="478" t="s">
        <v>113</v>
      </c>
      <c r="BY39" s="478" t="s">
        <v>113</v>
      </c>
      <c r="BZ39" s="478" t="s">
        <v>113</v>
      </c>
      <c r="CA39" s="478" t="s">
        <v>113</v>
      </c>
      <c r="CB39" s="478" t="s">
        <v>113</v>
      </c>
      <c r="CC39" s="478" t="s">
        <v>113</v>
      </c>
      <c r="CD39" s="478" t="s">
        <v>113</v>
      </c>
      <c r="CE39" s="478" t="s">
        <v>113</v>
      </c>
      <c r="CF39" s="478" t="s">
        <v>113</v>
      </c>
      <c r="CG39" s="478" t="s">
        <v>113</v>
      </c>
      <c r="CH39" s="466"/>
      <c r="CK39" s="467"/>
      <c r="CL39" s="467"/>
      <c r="CM39" s="467"/>
      <c r="CN39" s="467"/>
    </row>
    <row r="40" spans="1:92" ht="45">
      <c r="A40" s="210"/>
      <c r="B40" s="211"/>
      <c r="C40" s="201"/>
      <c r="D40" s="468" t="s">
        <v>86</v>
      </c>
      <c r="E40" s="475"/>
      <c r="F40" s="474" t="s">
        <v>656</v>
      </c>
      <c r="G40" s="233" t="s">
        <v>660</v>
      </c>
      <c r="H40" s="464" t="s">
        <v>113</v>
      </c>
      <c r="I40" s="464" t="s">
        <v>113</v>
      </c>
      <c r="J40" s="464" t="s">
        <v>113</v>
      </c>
      <c r="K40" s="464" t="s">
        <v>113</v>
      </c>
      <c r="L40" s="464" t="s">
        <v>113</v>
      </c>
      <c r="M40" s="465" t="s">
        <v>103</v>
      </c>
      <c r="N40" s="464" t="s">
        <v>113</v>
      </c>
      <c r="O40" s="464" t="s">
        <v>113</v>
      </c>
      <c r="P40" s="464" t="s">
        <v>113</v>
      </c>
      <c r="Q40" s="464" t="s">
        <v>113</v>
      </c>
      <c r="R40" s="465" t="s">
        <v>103</v>
      </c>
      <c r="S40" s="464" t="s">
        <v>113</v>
      </c>
      <c r="T40" s="465" t="s">
        <v>103</v>
      </c>
      <c r="U40" s="464" t="s">
        <v>113</v>
      </c>
      <c r="V40" s="464" t="s">
        <v>113</v>
      </c>
      <c r="W40" s="464" t="s">
        <v>113</v>
      </c>
      <c r="X40" s="464" t="s">
        <v>113</v>
      </c>
      <c r="Y40" s="464" t="s">
        <v>113</v>
      </c>
      <c r="Z40" s="464" t="s">
        <v>113</v>
      </c>
      <c r="AA40" s="464" t="s">
        <v>113</v>
      </c>
      <c r="AB40" s="464" t="s">
        <v>113</v>
      </c>
      <c r="AC40" s="464" t="s">
        <v>113</v>
      </c>
      <c r="AD40" s="464" t="s">
        <v>113</v>
      </c>
      <c r="AE40" s="464" t="s">
        <v>113</v>
      </c>
      <c r="AF40" s="464" t="s">
        <v>113</v>
      </c>
      <c r="AG40" s="465" t="s">
        <v>103</v>
      </c>
      <c r="AH40" s="465" t="s">
        <v>103</v>
      </c>
      <c r="AI40" s="464" t="s">
        <v>113</v>
      </c>
      <c r="AJ40" s="465" t="s">
        <v>103</v>
      </c>
      <c r="AK40" s="464" t="s">
        <v>113</v>
      </c>
      <c r="AL40" s="464" t="s">
        <v>113</v>
      </c>
      <c r="AM40" s="464" t="s">
        <v>113</v>
      </c>
      <c r="AN40" s="464" t="s">
        <v>113</v>
      </c>
      <c r="AO40" s="464" t="s">
        <v>113</v>
      </c>
      <c r="AP40" s="464" t="s">
        <v>113</v>
      </c>
      <c r="AQ40" s="464" t="s">
        <v>113</v>
      </c>
      <c r="AR40" s="464" t="s">
        <v>113</v>
      </c>
      <c r="AS40" s="464" t="s">
        <v>113</v>
      </c>
      <c r="AT40" s="464" t="s">
        <v>113</v>
      </c>
      <c r="AU40" s="464" t="s">
        <v>113</v>
      </c>
      <c r="AV40" s="464" t="s">
        <v>113</v>
      </c>
      <c r="AW40" s="464" t="s">
        <v>113</v>
      </c>
      <c r="AX40" s="464" t="s">
        <v>113</v>
      </c>
      <c r="AY40" s="464" t="s">
        <v>113</v>
      </c>
      <c r="AZ40" s="464" t="s">
        <v>113</v>
      </c>
      <c r="BA40" s="464" t="s">
        <v>113</v>
      </c>
      <c r="BB40" s="464" t="s">
        <v>113</v>
      </c>
      <c r="BC40" s="464" t="s">
        <v>113</v>
      </c>
      <c r="BD40" s="464" t="s">
        <v>113</v>
      </c>
      <c r="BE40" s="464" t="s">
        <v>113</v>
      </c>
      <c r="BF40" s="464" t="s">
        <v>113</v>
      </c>
      <c r="BG40" s="464" t="s">
        <v>113</v>
      </c>
      <c r="BH40" s="464" t="s">
        <v>113</v>
      </c>
      <c r="BI40" s="464" t="s">
        <v>113</v>
      </c>
      <c r="BJ40" s="464" t="s">
        <v>113</v>
      </c>
      <c r="BK40" s="464" t="s">
        <v>113</v>
      </c>
      <c r="BL40" s="464" t="s">
        <v>113</v>
      </c>
      <c r="BM40" s="464" t="s">
        <v>113</v>
      </c>
      <c r="BN40" s="464" t="s">
        <v>113</v>
      </c>
      <c r="BO40" s="464" t="s">
        <v>113</v>
      </c>
      <c r="BP40" s="464" t="s">
        <v>113</v>
      </c>
      <c r="BQ40" s="464" t="s">
        <v>113</v>
      </c>
      <c r="BR40" s="464" t="s">
        <v>113</v>
      </c>
      <c r="BS40" s="464" t="s">
        <v>113</v>
      </c>
      <c r="BT40" s="464" t="s">
        <v>113</v>
      </c>
      <c r="BU40" s="464" t="s">
        <v>113</v>
      </c>
      <c r="BV40" s="464" t="s">
        <v>113</v>
      </c>
      <c r="BW40" s="464" t="s">
        <v>113</v>
      </c>
      <c r="BX40" s="464" t="s">
        <v>113</v>
      </c>
      <c r="BY40" s="464" t="s">
        <v>113</v>
      </c>
      <c r="BZ40" s="464" t="s">
        <v>113</v>
      </c>
      <c r="CA40" s="464" t="s">
        <v>113</v>
      </c>
      <c r="CB40" s="464" t="s">
        <v>113</v>
      </c>
      <c r="CC40" s="464" t="s">
        <v>113</v>
      </c>
      <c r="CD40" s="464" t="s">
        <v>113</v>
      </c>
      <c r="CE40" s="464" t="s">
        <v>113</v>
      </c>
      <c r="CF40" s="464" t="s">
        <v>113</v>
      </c>
      <c r="CG40" s="464" t="s">
        <v>113</v>
      </c>
      <c r="CH40" s="202"/>
      <c r="CK40" s="467"/>
      <c r="CL40" s="467"/>
      <c r="CM40" s="467"/>
      <c r="CN40" s="467"/>
    </row>
    <row r="41" spans="1:92" ht="45">
      <c r="A41" s="210"/>
      <c r="B41" s="211"/>
      <c r="C41" s="201"/>
      <c r="D41" s="468" t="s">
        <v>87</v>
      </c>
      <c r="E41" s="475" t="s">
        <v>639</v>
      </c>
      <c r="F41" s="34" t="s">
        <v>657</v>
      </c>
      <c r="G41" s="327" t="s">
        <v>661</v>
      </c>
      <c r="H41" s="464" t="s">
        <v>113</v>
      </c>
      <c r="I41" s="464" t="s">
        <v>113</v>
      </c>
      <c r="J41" s="464" t="s">
        <v>113</v>
      </c>
      <c r="K41" s="464" t="s">
        <v>113</v>
      </c>
      <c r="L41" s="464" t="s">
        <v>113</v>
      </c>
      <c r="M41" s="464" t="s">
        <v>113</v>
      </c>
      <c r="N41" s="464" t="s">
        <v>113</v>
      </c>
      <c r="O41" s="464" t="s">
        <v>113</v>
      </c>
      <c r="P41" s="464" t="s">
        <v>113</v>
      </c>
      <c r="Q41" s="464" t="s">
        <v>113</v>
      </c>
      <c r="R41" s="464" t="s">
        <v>113</v>
      </c>
      <c r="S41" s="464" t="s">
        <v>113</v>
      </c>
      <c r="T41" s="464" t="s">
        <v>113</v>
      </c>
      <c r="U41" s="464" t="s">
        <v>113</v>
      </c>
      <c r="V41" s="464" t="s">
        <v>113</v>
      </c>
      <c r="W41" s="464" t="s">
        <v>113</v>
      </c>
      <c r="X41" s="464" t="s">
        <v>113</v>
      </c>
      <c r="Y41" s="464" t="s">
        <v>113</v>
      </c>
      <c r="Z41" s="464" t="s">
        <v>113</v>
      </c>
      <c r="AA41" s="464" t="s">
        <v>113</v>
      </c>
      <c r="AB41" s="464" t="s">
        <v>113</v>
      </c>
      <c r="AC41" s="464" t="s">
        <v>113</v>
      </c>
      <c r="AD41" s="464" t="s">
        <v>113</v>
      </c>
      <c r="AE41" s="464" t="s">
        <v>113</v>
      </c>
      <c r="AF41" s="464" t="s">
        <v>113</v>
      </c>
      <c r="AG41" s="464" t="s">
        <v>113</v>
      </c>
      <c r="AH41" s="464" t="s">
        <v>113</v>
      </c>
      <c r="AI41" s="464" t="s">
        <v>113</v>
      </c>
      <c r="AJ41" s="464" t="s">
        <v>113</v>
      </c>
      <c r="AK41" s="464" t="s">
        <v>113</v>
      </c>
      <c r="AL41" s="464" t="s">
        <v>113</v>
      </c>
      <c r="AM41" s="464" t="s">
        <v>113</v>
      </c>
      <c r="AN41" s="464" t="s">
        <v>113</v>
      </c>
      <c r="AO41" s="464" t="s">
        <v>113</v>
      </c>
      <c r="AP41" s="464" t="s">
        <v>113</v>
      </c>
      <c r="AQ41" s="464" t="s">
        <v>113</v>
      </c>
      <c r="AR41" s="464" t="s">
        <v>113</v>
      </c>
      <c r="AS41" s="464" t="s">
        <v>113</v>
      </c>
      <c r="AT41" s="236" t="s">
        <v>103</v>
      </c>
      <c r="AU41" s="464" t="s">
        <v>113</v>
      </c>
      <c r="AV41" s="464" t="s">
        <v>113</v>
      </c>
      <c r="AW41" s="464" t="s">
        <v>113</v>
      </c>
      <c r="AX41" s="464" t="s">
        <v>113</v>
      </c>
      <c r="AY41" s="464" t="s">
        <v>113</v>
      </c>
      <c r="AZ41" s="464" t="s">
        <v>113</v>
      </c>
      <c r="BA41" s="236" t="s">
        <v>103</v>
      </c>
      <c r="BB41" s="464" t="s">
        <v>113</v>
      </c>
      <c r="BC41" s="464" t="s">
        <v>113</v>
      </c>
      <c r="BD41" s="464" t="s">
        <v>113</v>
      </c>
      <c r="BE41" s="464" t="s">
        <v>113</v>
      </c>
      <c r="BF41" s="464" t="s">
        <v>113</v>
      </c>
      <c r="BG41" s="464" t="s">
        <v>113</v>
      </c>
      <c r="BH41" s="464" t="s">
        <v>113</v>
      </c>
      <c r="BI41" s="464" t="s">
        <v>113</v>
      </c>
      <c r="BJ41" s="464" t="s">
        <v>113</v>
      </c>
      <c r="BK41" s="464" t="s">
        <v>113</v>
      </c>
      <c r="BL41" s="464" t="s">
        <v>113</v>
      </c>
      <c r="BM41" s="464" t="s">
        <v>113</v>
      </c>
      <c r="BN41" s="464" t="s">
        <v>113</v>
      </c>
      <c r="BO41" s="464" t="s">
        <v>113</v>
      </c>
      <c r="BP41" s="464" t="s">
        <v>113</v>
      </c>
      <c r="BQ41" s="464" t="s">
        <v>113</v>
      </c>
      <c r="BR41" s="464" t="s">
        <v>113</v>
      </c>
      <c r="BS41" s="464" t="s">
        <v>113</v>
      </c>
      <c r="BT41" s="464" t="s">
        <v>113</v>
      </c>
      <c r="BU41" s="464" t="s">
        <v>113</v>
      </c>
      <c r="BV41" s="464" t="s">
        <v>113</v>
      </c>
      <c r="BW41" s="464" t="s">
        <v>113</v>
      </c>
      <c r="BX41" s="464" t="s">
        <v>113</v>
      </c>
      <c r="BY41" s="464" t="s">
        <v>113</v>
      </c>
      <c r="BZ41" s="464" t="s">
        <v>113</v>
      </c>
      <c r="CA41" s="464" t="s">
        <v>113</v>
      </c>
      <c r="CB41" s="464" t="s">
        <v>113</v>
      </c>
      <c r="CC41" s="464" t="s">
        <v>113</v>
      </c>
      <c r="CD41" s="464" t="s">
        <v>113</v>
      </c>
      <c r="CE41" s="464" t="s">
        <v>113</v>
      </c>
      <c r="CF41" s="464" t="s">
        <v>113</v>
      </c>
      <c r="CG41" s="464" t="s">
        <v>113</v>
      </c>
      <c r="CH41" s="469"/>
      <c r="CK41" s="467"/>
      <c r="CL41" s="467"/>
      <c r="CM41" s="467"/>
      <c r="CN41" s="467"/>
    </row>
    <row r="42" spans="1:92" ht="45">
      <c r="A42" s="210"/>
      <c r="B42" s="211"/>
      <c r="C42" s="201"/>
      <c r="D42" s="468" t="s">
        <v>88</v>
      </c>
      <c r="E42" s="475"/>
      <c r="F42" s="34" t="s">
        <v>658</v>
      </c>
      <c r="G42" s="327" t="s">
        <v>660</v>
      </c>
      <c r="H42" s="464" t="s">
        <v>113</v>
      </c>
      <c r="I42" s="464" t="s">
        <v>113</v>
      </c>
      <c r="J42" s="464" t="s">
        <v>113</v>
      </c>
      <c r="K42" s="464" t="s">
        <v>113</v>
      </c>
      <c r="L42" s="464" t="s">
        <v>113</v>
      </c>
      <c r="M42" s="464" t="s">
        <v>113</v>
      </c>
      <c r="N42" s="464" t="s">
        <v>113</v>
      </c>
      <c r="O42" s="464" t="s">
        <v>113</v>
      </c>
      <c r="P42" s="464" t="s">
        <v>113</v>
      </c>
      <c r="Q42" s="464" t="s">
        <v>113</v>
      </c>
      <c r="R42" s="464" t="s">
        <v>113</v>
      </c>
      <c r="S42" s="464" t="s">
        <v>113</v>
      </c>
      <c r="T42" s="464" t="s">
        <v>113</v>
      </c>
      <c r="U42" s="464" t="s">
        <v>113</v>
      </c>
      <c r="V42" s="464" t="s">
        <v>113</v>
      </c>
      <c r="W42" s="464" t="s">
        <v>113</v>
      </c>
      <c r="X42" s="464" t="s">
        <v>113</v>
      </c>
      <c r="Y42" s="464" t="s">
        <v>113</v>
      </c>
      <c r="Z42" s="464" t="s">
        <v>113</v>
      </c>
      <c r="AA42" s="464" t="s">
        <v>113</v>
      </c>
      <c r="AB42" s="464" t="s">
        <v>113</v>
      </c>
      <c r="AC42" s="464" t="s">
        <v>113</v>
      </c>
      <c r="AD42" s="464" t="s">
        <v>113</v>
      </c>
      <c r="AE42" s="464" t="s">
        <v>113</v>
      </c>
      <c r="AF42" s="464" t="s">
        <v>113</v>
      </c>
      <c r="AG42" s="464" t="s">
        <v>113</v>
      </c>
      <c r="AH42" s="464" t="s">
        <v>113</v>
      </c>
      <c r="AI42" s="464" t="s">
        <v>113</v>
      </c>
      <c r="AJ42" s="464" t="s">
        <v>113</v>
      </c>
      <c r="AK42" s="464" t="s">
        <v>113</v>
      </c>
      <c r="AL42" s="464" t="s">
        <v>113</v>
      </c>
      <c r="AM42" s="464" t="s">
        <v>113</v>
      </c>
      <c r="AN42" s="464" t="s">
        <v>113</v>
      </c>
      <c r="AO42" s="464" t="s">
        <v>113</v>
      </c>
      <c r="AP42" s="464" t="s">
        <v>113</v>
      </c>
      <c r="AQ42" s="464" t="s">
        <v>113</v>
      </c>
      <c r="AR42" s="464" t="s">
        <v>113</v>
      </c>
      <c r="AS42" s="464" t="s">
        <v>113</v>
      </c>
      <c r="AT42" s="236" t="s">
        <v>103</v>
      </c>
      <c r="AU42" s="464" t="s">
        <v>113</v>
      </c>
      <c r="AV42" s="464" t="s">
        <v>113</v>
      </c>
      <c r="AW42" s="464" t="s">
        <v>113</v>
      </c>
      <c r="AX42" s="464" t="s">
        <v>113</v>
      </c>
      <c r="AY42" s="464" t="s">
        <v>113</v>
      </c>
      <c r="AZ42" s="464" t="s">
        <v>113</v>
      </c>
      <c r="BA42" s="236" t="s">
        <v>103</v>
      </c>
      <c r="BB42" s="464" t="s">
        <v>113</v>
      </c>
      <c r="BC42" s="464" t="s">
        <v>113</v>
      </c>
      <c r="BD42" s="464" t="s">
        <v>113</v>
      </c>
      <c r="BE42" s="464" t="s">
        <v>113</v>
      </c>
      <c r="BF42" s="464" t="s">
        <v>113</v>
      </c>
      <c r="BG42" s="464" t="s">
        <v>113</v>
      </c>
      <c r="BH42" s="464" t="s">
        <v>113</v>
      </c>
      <c r="BI42" s="464" t="s">
        <v>113</v>
      </c>
      <c r="BJ42" s="464" t="s">
        <v>113</v>
      </c>
      <c r="BK42" s="464" t="s">
        <v>113</v>
      </c>
      <c r="BL42" s="464" t="s">
        <v>113</v>
      </c>
      <c r="BM42" s="464" t="s">
        <v>113</v>
      </c>
      <c r="BN42" s="464" t="s">
        <v>113</v>
      </c>
      <c r="BO42" s="464" t="s">
        <v>113</v>
      </c>
      <c r="BP42" s="464" t="s">
        <v>113</v>
      </c>
      <c r="BQ42" s="464" t="s">
        <v>113</v>
      </c>
      <c r="BR42" s="464" t="s">
        <v>113</v>
      </c>
      <c r="BS42" s="464" t="s">
        <v>113</v>
      </c>
      <c r="BT42" s="464" t="s">
        <v>113</v>
      </c>
      <c r="BU42" s="464" t="s">
        <v>113</v>
      </c>
      <c r="BV42" s="464" t="s">
        <v>113</v>
      </c>
      <c r="BW42" s="464" t="s">
        <v>113</v>
      </c>
      <c r="BX42" s="464" t="s">
        <v>113</v>
      </c>
      <c r="BY42" s="464" t="s">
        <v>113</v>
      </c>
      <c r="BZ42" s="464" t="s">
        <v>113</v>
      </c>
      <c r="CA42" s="464" t="s">
        <v>113</v>
      </c>
      <c r="CB42" s="464" t="s">
        <v>113</v>
      </c>
      <c r="CC42" s="464" t="s">
        <v>113</v>
      </c>
      <c r="CD42" s="464" t="s">
        <v>113</v>
      </c>
      <c r="CE42" s="464" t="s">
        <v>113</v>
      </c>
      <c r="CF42" s="464" t="s">
        <v>113</v>
      </c>
      <c r="CG42" s="464" t="s">
        <v>113</v>
      </c>
      <c r="CH42" s="469"/>
      <c r="CK42" s="467"/>
      <c r="CL42" s="467"/>
      <c r="CM42" s="467"/>
      <c r="CN42" s="467"/>
    </row>
    <row r="43" spans="1:92" ht="30">
      <c r="A43" s="210"/>
      <c r="B43" s="211"/>
      <c r="C43" s="201"/>
      <c r="D43" s="468" t="s">
        <v>89</v>
      </c>
      <c r="E43" s="475" t="s">
        <v>640</v>
      </c>
      <c r="F43" s="470"/>
      <c r="G43" s="476" t="s">
        <v>645</v>
      </c>
      <c r="H43" s="464" t="s">
        <v>113</v>
      </c>
      <c r="I43" s="464" t="s">
        <v>113</v>
      </c>
      <c r="J43" s="464" t="s">
        <v>113</v>
      </c>
      <c r="K43" s="464" t="s">
        <v>113</v>
      </c>
      <c r="L43" s="464" t="s">
        <v>113</v>
      </c>
      <c r="M43" s="464" t="s">
        <v>113</v>
      </c>
      <c r="N43" s="464" t="s">
        <v>113</v>
      </c>
      <c r="O43" s="464" t="s">
        <v>113</v>
      </c>
      <c r="P43" s="464" t="s">
        <v>113</v>
      </c>
      <c r="Q43" s="464" t="s">
        <v>113</v>
      </c>
      <c r="R43" s="464" t="s">
        <v>113</v>
      </c>
      <c r="S43" s="464" t="s">
        <v>113</v>
      </c>
      <c r="T43" s="464" t="s">
        <v>113</v>
      </c>
      <c r="U43" s="464" t="s">
        <v>113</v>
      </c>
      <c r="V43" s="464" t="s">
        <v>113</v>
      </c>
      <c r="W43" s="464" t="s">
        <v>113</v>
      </c>
      <c r="X43" s="464" t="s">
        <v>113</v>
      </c>
      <c r="Y43" s="464" t="s">
        <v>113</v>
      </c>
      <c r="Z43" s="464" t="s">
        <v>113</v>
      </c>
      <c r="AA43" s="464" t="s">
        <v>113</v>
      </c>
      <c r="AB43" s="464" t="s">
        <v>113</v>
      </c>
      <c r="AC43" s="464" t="s">
        <v>113</v>
      </c>
      <c r="AD43" s="464" t="s">
        <v>113</v>
      </c>
      <c r="AE43" s="464" t="s">
        <v>113</v>
      </c>
      <c r="AF43" s="464" t="s">
        <v>113</v>
      </c>
      <c r="AG43" s="464" t="s">
        <v>113</v>
      </c>
      <c r="AH43" s="464" t="s">
        <v>113</v>
      </c>
      <c r="AI43" s="464" t="s">
        <v>113</v>
      </c>
      <c r="AJ43" s="464" t="s">
        <v>113</v>
      </c>
      <c r="AK43" s="464" t="s">
        <v>113</v>
      </c>
      <c r="AL43" s="464" t="s">
        <v>113</v>
      </c>
      <c r="AM43" s="236" t="s">
        <v>103</v>
      </c>
      <c r="AN43" s="464" t="s">
        <v>113</v>
      </c>
      <c r="AO43" s="236" t="s">
        <v>103</v>
      </c>
      <c r="AP43" s="464" t="s">
        <v>113</v>
      </c>
      <c r="AQ43" s="464" t="s">
        <v>113</v>
      </c>
      <c r="AR43" s="464" t="s">
        <v>113</v>
      </c>
      <c r="AS43" s="464" t="s">
        <v>113</v>
      </c>
      <c r="AT43" s="464" t="s">
        <v>113</v>
      </c>
      <c r="AU43" s="464" t="s">
        <v>113</v>
      </c>
      <c r="AV43" s="464" t="s">
        <v>113</v>
      </c>
      <c r="AW43" s="464" t="s">
        <v>113</v>
      </c>
      <c r="AX43" s="464" t="s">
        <v>113</v>
      </c>
      <c r="AY43" s="464" t="s">
        <v>113</v>
      </c>
      <c r="AZ43" s="464" t="s">
        <v>113</v>
      </c>
      <c r="BA43" s="464" t="s">
        <v>113</v>
      </c>
      <c r="BB43" s="464" t="s">
        <v>113</v>
      </c>
      <c r="BC43" s="464" t="s">
        <v>113</v>
      </c>
      <c r="BD43" s="464" t="s">
        <v>113</v>
      </c>
      <c r="BE43" s="464" t="s">
        <v>113</v>
      </c>
      <c r="BF43" s="464" t="s">
        <v>113</v>
      </c>
      <c r="BG43" s="464" t="s">
        <v>113</v>
      </c>
      <c r="BH43" s="464" t="s">
        <v>113</v>
      </c>
      <c r="BI43" s="464" t="s">
        <v>113</v>
      </c>
      <c r="BJ43" s="464" t="s">
        <v>113</v>
      </c>
      <c r="BK43" s="464" t="s">
        <v>113</v>
      </c>
      <c r="BL43" s="464" t="s">
        <v>113</v>
      </c>
      <c r="BM43" s="464" t="s">
        <v>113</v>
      </c>
      <c r="BN43" s="464" t="s">
        <v>113</v>
      </c>
      <c r="BO43" s="464" t="s">
        <v>113</v>
      </c>
      <c r="BP43" s="464" t="s">
        <v>113</v>
      </c>
      <c r="BQ43" s="464" t="s">
        <v>113</v>
      </c>
      <c r="BR43" s="464" t="s">
        <v>113</v>
      </c>
      <c r="BS43" s="464" t="s">
        <v>113</v>
      </c>
      <c r="BT43" s="464" t="s">
        <v>113</v>
      </c>
      <c r="BU43" s="464" t="s">
        <v>113</v>
      </c>
      <c r="BV43" s="464" t="s">
        <v>113</v>
      </c>
      <c r="BW43" s="464" t="s">
        <v>113</v>
      </c>
      <c r="BX43" s="464" t="s">
        <v>113</v>
      </c>
      <c r="BY43" s="464" t="s">
        <v>113</v>
      </c>
      <c r="BZ43" s="464" t="s">
        <v>113</v>
      </c>
      <c r="CA43" s="464" t="s">
        <v>113</v>
      </c>
      <c r="CB43" s="464" t="s">
        <v>113</v>
      </c>
      <c r="CC43" s="464" t="s">
        <v>113</v>
      </c>
      <c r="CD43" s="464" t="s">
        <v>113</v>
      </c>
      <c r="CE43" s="464" t="s">
        <v>113</v>
      </c>
      <c r="CF43" s="464" t="s">
        <v>113</v>
      </c>
      <c r="CG43" s="464" t="s">
        <v>113</v>
      </c>
      <c r="CH43" s="469"/>
      <c r="CK43" s="467"/>
      <c r="CL43" s="467"/>
      <c r="CM43" s="467"/>
      <c r="CN43" s="467"/>
    </row>
    <row r="44" spans="1:92">
      <c r="A44" s="210"/>
      <c r="B44" s="211"/>
      <c r="C44" s="201"/>
      <c r="D44" s="465" t="s">
        <v>90</v>
      </c>
      <c r="E44" s="475" t="s">
        <v>268</v>
      </c>
      <c r="F44" s="470"/>
      <c r="G44" s="470" t="s">
        <v>646</v>
      </c>
      <c r="H44" s="464" t="s">
        <v>113</v>
      </c>
      <c r="I44" s="464" t="s">
        <v>113</v>
      </c>
      <c r="J44" s="464" t="s">
        <v>113</v>
      </c>
      <c r="K44" s="464" t="s">
        <v>113</v>
      </c>
      <c r="L44" s="464" t="s">
        <v>113</v>
      </c>
      <c r="M44" s="464" t="s">
        <v>113</v>
      </c>
      <c r="N44" s="464" t="s">
        <v>113</v>
      </c>
      <c r="O44" s="464" t="s">
        <v>113</v>
      </c>
      <c r="P44" s="464" t="s">
        <v>113</v>
      </c>
      <c r="Q44" s="464" t="s">
        <v>113</v>
      </c>
      <c r="R44" s="464" t="s">
        <v>113</v>
      </c>
      <c r="S44" s="464" t="s">
        <v>113</v>
      </c>
      <c r="T44" s="464" t="s">
        <v>113</v>
      </c>
      <c r="U44" s="464" t="s">
        <v>113</v>
      </c>
      <c r="V44" s="464" t="s">
        <v>113</v>
      </c>
      <c r="W44" s="464" t="s">
        <v>113</v>
      </c>
      <c r="X44" s="464" t="s">
        <v>113</v>
      </c>
      <c r="Y44" s="464" t="s">
        <v>113</v>
      </c>
      <c r="Z44" s="464" t="s">
        <v>113</v>
      </c>
      <c r="AA44" s="464" t="s">
        <v>113</v>
      </c>
      <c r="AB44" s="464" t="s">
        <v>113</v>
      </c>
      <c r="AC44" s="464" t="s">
        <v>113</v>
      </c>
      <c r="AD44" s="464" t="s">
        <v>113</v>
      </c>
      <c r="AE44" s="464" t="s">
        <v>113</v>
      </c>
      <c r="AF44" s="464" t="s">
        <v>113</v>
      </c>
      <c r="AG44" s="464" t="s">
        <v>113</v>
      </c>
      <c r="AH44" s="464" t="s">
        <v>113</v>
      </c>
      <c r="AI44" s="464" t="s">
        <v>113</v>
      </c>
      <c r="AJ44" s="464" t="s">
        <v>113</v>
      </c>
      <c r="AK44" s="464" t="s">
        <v>113</v>
      </c>
      <c r="AL44" s="464" t="s">
        <v>113</v>
      </c>
      <c r="AM44" s="464" t="s">
        <v>113</v>
      </c>
      <c r="AN44" s="464" t="s">
        <v>113</v>
      </c>
      <c r="AO44" s="464" t="s">
        <v>113</v>
      </c>
      <c r="AP44" s="464" t="s">
        <v>113</v>
      </c>
      <c r="AQ44" s="464" t="s">
        <v>113</v>
      </c>
      <c r="AR44" s="464" t="s">
        <v>113</v>
      </c>
      <c r="AS44" s="464" t="s">
        <v>113</v>
      </c>
      <c r="AT44" s="464" t="s">
        <v>113</v>
      </c>
      <c r="AU44" s="464" t="s">
        <v>113</v>
      </c>
      <c r="AV44" s="464" t="s">
        <v>113</v>
      </c>
      <c r="AW44" s="464" t="s">
        <v>113</v>
      </c>
      <c r="AX44" s="236" t="s">
        <v>103</v>
      </c>
      <c r="AY44" s="464" t="s">
        <v>113</v>
      </c>
      <c r="AZ44" s="464" t="s">
        <v>113</v>
      </c>
      <c r="BA44" s="464" t="s">
        <v>113</v>
      </c>
      <c r="BB44" s="464" t="s">
        <v>113</v>
      </c>
      <c r="BC44" s="464" t="s">
        <v>113</v>
      </c>
      <c r="BD44" s="464" t="s">
        <v>113</v>
      </c>
      <c r="BE44" s="464" t="s">
        <v>113</v>
      </c>
      <c r="BF44" s="464" t="s">
        <v>113</v>
      </c>
      <c r="BG44" s="464" t="s">
        <v>113</v>
      </c>
      <c r="BH44" s="464" t="s">
        <v>113</v>
      </c>
      <c r="BI44" s="464" t="s">
        <v>113</v>
      </c>
      <c r="BJ44" s="464" t="s">
        <v>113</v>
      </c>
      <c r="BK44" s="464" t="s">
        <v>113</v>
      </c>
      <c r="BL44" s="464" t="s">
        <v>113</v>
      </c>
      <c r="BM44" s="464" t="s">
        <v>113</v>
      </c>
      <c r="BN44" s="464" t="s">
        <v>113</v>
      </c>
      <c r="BO44" s="464" t="s">
        <v>113</v>
      </c>
      <c r="BP44" s="464" t="s">
        <v>113</v>
      </c>
      <c r="BQ44" s="464" t="s">
        <v>113</v>
      </c>
      <c r="BR44" s="464" t="s">
        <v>113</v>
      </c>
      <c r="BS44" s="464" t="s">
        <v>113</v>
      </c>
      <c r="BT44" s="464" t="s">
        <v>113</v>
      </c>
      <c r="BU44" s="464" t="s">
        <v>113</v>
      </c>
      <c r="BV44" s="464" t="s">
        <v>113</v>
      </c>
      <c r="BW44" s="464" t="s">
        <v>113</v>
      </c>
      <c r="BX44" s="464" t="s">
        <v>113</v>
      </c>
      <c r="BY44" s="464" t="s">
        <v>113</v>
      </c>
      <c r="BZ44" s="464" t="s">
        <v>113</v>
      </c>
      <c r="CA44" s="464" t="s">
        <v>113</v>
      </c>
      <c r="CB44" s="464" t="s">
        <v>113</v>
      </c>
      <c r="CC44" s="464" t="s">
        <v>113</v>
      </c>
      <c r="CD44" s="464" t="s">
        <v>113</v>
      </c>
      <c r="CE44" s="464" t="s">
        <v>113</v>
      </c>
      <c r="CF44" s="464" t="s">
        <v>113</v>
      </c>
      <c r="CG44" s="464" t="s">
        <v>113</v>
      </c>
      <c r="CH44" s="469"/>
      <c r="CK44" s="467"/>
      <c r="CL44" s="467"/>
      <c r="CM44" s="467"/>
      <c r="CN44" s="467"/>
    </row>
    <row r="45" spans="1:92" ht="30">
      <c r="A45" s="210"/>
      <c r="B45" s="211"/>
      <c r="C45" s="201"/>
      <c r="D45" s="468" t="s">
        <v>91</v>
      </c>
      <c r="E45" s="475" t="s">
        <v>641</v>
      </c>
      <c r="F45" s="470"/>
      <c r="G45" s="476" t="s">
        <v>647</v>
      </c>
      <c r="H45" s="464" t="s">
        <v>113</v>
      </c>
      <c r="I45" s="464" t="s">
        <v>113</v>
      </c>
      <c r="J45" s="464" t="s">
        <v>113</v>
      </c>
      <c r="K45" s="464" t="s">
        <v>113</v>
      </c>
      <c r="L45" s="464" t="s">
        <v>113</v>
      </c>
      <c r="M45" s="464" t="s">
        <v>113</v>
      </c>
      <c r="N45" s="464" t="s">
        <v>113</v>
      </c>
      <c r="O45" s="464" t="s">
        <v>113</v>
      </c>
      <c r="P45" s="464" t="s">
        <v>113</v>
      </c>
      <c r="Q45" s="464" t="s">
        <v>113</v>
      </c>
      <c r="R45" s="464" t="s">
        <v>113</v>
      </c>
      <c r="S45" s="464" t="s">
        <v>113</v>
      </c>
      <c r="T45" s="464" t="s">
        <v>113</v>
      </c>
      <c r="U45" s="464" t="s">
        <v>113</v>
      </c>
      <c r="V45" s="464" t="s">
        <v>113</v>
      </c>
      <c r="W45" s="464" t="s">
        <v>113</v>
      </c>
      <c r="X45" s="464" t="s">
        <v>113</v>
      </c>
      <c r="Y45" s="464" t="s">
        <v>113</v>
      </c>
      <c r="Z45" s="464" t="s">
        <v>113</v>
      </c>
      <c r="AA45" s="464" t="s">
        <v>113</v>
      </c>
      <c r="AB45" s="464" t="s">
        <v>113</v>
      </c>
      <c r="AC45" s="464" t="s">
        <v>113</v>
      </c>
      <c r="AD45" s="464" t="s">
        <v>113</v>
      </c>
      <c r="AE45" s="464" t="s">
        <v>113</v>
      </c>
      <c r="AF45" s="464" t="s">
        <v>113</v>
      </c>
      <c r="AG45" s="464" t="s">
        <v>113</v>
      </c>
      <c r="AH45" s="464" t="s">
        <v>113</v>
      </c>
      <c r="AI45" s="464" t="s">
        <v>113</v>
      </c>
      <c r="AJ45" s="464" t="s">
        <v>113</v>
      </c>
      <c r="AK45" s="464" t="s">
        <v>113</v>
      </c>
      <c r="AL45" s="464" t="s">
        <v>113</v>
      </c>
      <c r="AM45" s="464" t="s">
        <v>113</v>
      </c>
      <c r="AN45" s="236" t="s">
        <v>103</v>
      </c>
      <c r="AO45" s="464" t="s">
        <v>113</v>
      </c>
      <c r="AP45" s="236" t="s">
        <v>103</v>
      </c>
      <c r="AQ45" s="464" t="s">
        <v>113</v>
      </c>
      <c r="AR45" s="464" t="s">
        <v>113</v>
      </c>
      <c r="AS45" s="464" t="s">
        <v>113</v>
      </c>
      <c r="AT45" s="464" t="s">
        <v>113</v>
      </c>
      <c r="AU45" s="464" t="s">
        <v>113</v>
      </c>
      <c r="AV45" s="464" t="s">
        <v>113</v>
      </c>
      <c r="AW45" s="464" t="s">
        <v>113</v>
      </c>
      <c r="AX45" s="464" t="s">
        <v>113</v>
      </c>
      <c r="AY45" s="464" t="s">
        <v>113</v>
      </c>
      <c r="AZ45" s="464" t="s">
        <v>113</v>
      </c>
      <c r="BA45" s="464" t="s">
        <v>113</v>
      </c>
      <c r="BB45" s="464" t="s">
        <v>113</v>
      </c>
      <c r="BC45" s="464" t="s">
        <v>113</v>
      </c>
      <c r="BD45" s="464" t="s">
        <v>113</v>
      </c>
      <c r="BE45" s="464" t="s">
        <v>113</v>
      </c>
      <c r="BF45" s="464" t="s">
        <v>113</v>
      </c>
      <c r="BG45" s="464" t="s">
        <v>113</v>
      </c>
      <c r="BH45" s="464" t="s">
        <v>113</v>
      </c>
      <c r="BI45" s="464" t="s">
        <v>113</v>
      </c>
      <c r="BJ45" s="464" t="s">
        <v>113</v>
      </c>
      <c r="BK45" s="464" t="s">
        <v>113</v>
      </c>
      <c r="BL45" s="464" t="s">
        <v>113</v>
      </c>
      <c r="BM45" s="464" t="s">
        <v>113</v>
      </c>
      <c r="BN45" s="464" t="s">
        <v>113</v>
      </c>
      <c r="BO45" s="464" t="s">
        <v>113</v>
      </c>
      <c r="BP45" s="464" t="s">
        <v>113</v>
      </c>
      <c r="BQ45" s="464" t="s">
        <v>113</v>
      </c>
      <c r="BR45" s="464" t="s">
        <v>113</v>
      </c>
      <c r="BS45" s="464" t="s">
        <v>113</v>
      </c>
      <c r="BT45" s="464" t="s">
        <v>113</v>
      </c>
      <c r="BU45" s="464" t="s">
        <v>113</v>
      </c>
      <c r="BV45" s="464" t="s">
        <v>113</v>
      </c>
      <c r="BW45" s="464" t="s">
        <v>113</v>
      </c>
      <c r="BX45" s="464" t="s">
        <v>113</v>
      </c>
      <c r="BY45" s="464" t="s">
        <v>113</v>
      </c>
      <c r="BZ45" s="464" t="s">
        <v>113</v>
      </c>
      <c r="CA45" s="464" t="s">
        <v>113</v>
      </c>
      <c r="CB45" s="464" t="s">
        <v>113</v>
      </c>
      <c r="CC45" s="464" t="s">
        <v>113</v>
      </c>
      <c r="CD45" s="464" t="s">
        <v>113</v>
      </c>
      <c r="CE45" s="464" t="s">
        <v>113</v>
      </c>
      <c r="CF45" s="464" t="s">
        <v>113</v>
      </c>
      <c r="CG45" s="464" t="s">
        <v>113</v>
      </c>
      <c r="CH45" s="469"/>
      <c r="CK45" s="467"/>
      <c r="CL45" s="467"/>
      <c r="CM45" s="467"/>
      <c r="CN45" s="467"/>
    </row>
    <row r="46" spans="1:92" ht="30">
      <c r="A46" s="210"/>
      <c r="B46" s="211"/>
      <c r="C46" s="201"/>
      <c r="D46" s="468" t="s">
        <v>92</v>
      </c>
      <c r="E46" s="475" t="s">
        <v>255</v>
      </c>
      <c r="F46" s="470"/>
      <c r="G46" s="476" t="s">
        <v>648</v>
      </c>
      <c r="H46" s="464" t="s">
        <v>113</v>
      </c>
      <c r="I46" s="464" t="s">
        <v>113</v>
      </c>
      <c r="J46" s="464" t="s">
        <v>113</v>
      </c>
      <c r="K46" s="464" t="s">
        <v>113</v>
      </c>
      <c r="L46" s="464" t="s">
        <v>113</v>
      </c>
      <c r="M46" s="464" t="s">
        <v>113</v>
      </c>
      <c r="N46" s="464" t="s">
        <v>113</v>
      </c>
      <c r="O46" s="464" t="s">
        <v>113</v>
      </c>
      <c r="P46" s="464" t="s">
        <v>113</v>
      </c>
      <c r="Q46" s="464" t="s">
        <v>113</v>
      </c>
      <c r="R46" s="464" t="s">
        <v>113</v>
      </c>
      <c r="S46" s="464" t="s">
        <v>113</v>
      </c>
      <c r="T46" s="464" t="s">
        <v>113</v>
      </c>
      <c r="U46" s="464" t="s">
        <v>113</v>
      </c>
      <c r="V46" s="464" t="s">
        <v>113</v>
      </c>
      <c r="W46" s="464" t="s">
        <v>113</v>
      </c>
      <c r="X46" s="464" t="s">
        <v>113</v>
      </c>
      <c r="Y46" s="464" t="s">
        <v>113</v>
      </c>
      <c r="Z46" s="464" t="s">
        <v>113</v>
      </c>
      <c r="AA46" s="464" t="s">
        <v>113</v>
      </c>
      <c r="AB46" s="464" t="s">
        <v>113</v>
      </c>
      <c r="AC46" s="464" t="s">
        <v>113</v>
      </c>
      <c r="AD46" s="464" t="s">
        <v>113</v>
      </c>
      <c r="AE46" s="464" t="s">
        <v>113</v>
      </c>
      <c r="AF46" s="464" t="s">
        <v>113</v>
      </c>
      <c r="AG46" s="464" t="s">
        <v>113</v>
      </c>
      <c r="AH46" s="464" t="s">
        <v>113</v>
      </c>
      <c r="AI46" s="464" t="s">
        <v>113</v>
      </c>
      <c r="AJ46" s="464" t="s">
        <v>113</v>
      </c>
      <c r="AK46" s="464" t="s">
        <v>113</v>
      </c>
      <c r="AL46" s="464" t="s">
        <v>113</v>
      </c>
      <c r="AM46" s="464" t="s">
        <v>113</v>
      </c>
      <c r="AN46" s="464" t="s">
        <v>113</v>
      </c>
      <c r="AO46" s="464" t="s">
        <v>113</v>
      </c>
      <c r="AP46" s="464" t="s">
        <v>113</v>
      </c>
      <c r="AQ46" s="236" t="s">
        <v>103</v>
      </c>
      <c r="AR46" s="464" t="s">
        <v>113</v>
      </c>
      <c r="AS46" s="464" t="s">
        <v>113</v>
      </c>
      <c r="AT46" s="464" t="s">
        <v>113</v>
      </c>
      <c r="AU46" s="464" t="s">
        <v>113</v>
      </c>
      <c r="AV46" s="464" t="s">
        <v>113</v>
      </c>
      <c r="AW46" s="464" t="s">
        <v>113</v>
      </c>
      <c r="AX46" s="464" t="s">
        <v>113</v>
      </c>
      <c r="AY46" s="464" t="s">
        <v>113</v>
      </c>
      <c r="AZ46" s="464" t="s">
        <v>113</v>
      </c>
      <c r="BA46" s="464" t="s">
        <v>113</v>
      </c>
      <c r="BB46" s="464" t="s">
        <v>113</v>
      </c>
      <c r="BC46" s="464" t="s">
        <v>113</v>
      </c>
      <c r="BD46" s="464" t="s">
        <v>113</v>
      </c>
      <c r="BE46" s="464" t="s">
        <v>113</v>
      </c>
      <c r="BF46" s="464" t="s">
        <v>113</v>
      </c>
      <c r="BG46" s="464" t="s">
        <v>113</v>
      </c>
      <c r="BH46" s="464" t="s">
        <v>113</v>
      </c>
      <c r="BI46" s="464" t="s">
        <v>113</v>
      </c>
      <c r="BJ46" s="464" t="s">
        <v>113</v>
      </c>
      <c r="BK46" s="464" t="s">
        <v>113</v>
      </c>
      <c r="BL46" s="464" t="s">
        <v>113</v>
      </c>
      <c r="BM46" s="464" t="s">
        <v>113</v>
      </c>
      <c r="BN46" s="464" t="s">
        <v>113</v>
      </c>
      <c r="BO46" s="464" t="s">
        <v>113</v>
      </c>
      <c r="BP46" s="464" t="s">
        <v>113</v>
      </c>
      <c r="BQ46" s="464" t="s">
        <v>113</v>
      </c>
      <c r="BR46" s="464" t="s">
        <v>113</v>
      </c>
      <c r="BS46" s="464" t="s">
        <v>113</v>
      </c>
      <c r="BT46" s="464" t="s">
        <v>113</v>
      </c>
      <c r="BU46" s="464" t="s">
        <v>113</v>
      </c>
      <c r="BV46" s="464" t="s">
        <v>113</v>
      </c>
      <c r="BW46" s="464" t="s">
        <v>113</v>
      </c>
      <c r="BX46" s="464" t="s">
        <v>113</v>
      </c>
      <c r="BY46" s="464" t="s">
        <v>113</v>
      </c>
      <c r="BZ46" s="464" t="s">
        <v>113</v>
      </c>
      <c r="CA46" s="464" t="s">
        <v>113</v>
      </c>
      <c r="CB46" s="464" t="s">
        <v>113</v>
      </c>
      <c r="CC46" s="464" t="s">
        <v>113</v>
      </c>
      <c r="CD46" s="464" t="s">
        <v>113</v>
      </c>
      <c r="CE46" s="464" t="s">
        <v>113</v>
      </c>
      <c r="CF46" s="464" t="s">
        <v>113</v>
      </c>
      <c r="CG46" s="464" t="s">
        <v>113</v>
      </c>
      <c r="CH46" s="469"/>
      <c r="CK46" s="467"/>
      <c r="CL46" s="467"/>
      <c r="CM46" s="467"/>
      <c r="CN46" s="467"/>
    </row>
    <row r="47" spans="1:92" ht="45">
      <c r="A47" s="210"/>
      <c r="B47" s="211"/>
      <c r="C47" s="201"/>
      <c r="D47" s="465" t="s">
        <v>93</v>
      </c>
      <c r="E47" s="475" t="s">
        <v>642</v>
      </c>
      <c r="F47" s="470"/>
      <c r="G47" s="476" t="s">
        <v>664</v>
      </c>
      <c r="H47" s="464" t="s">
        <v>113</v>
      </c>
      <c r="I47" s="464" t="s">
        <v>113</v>
      </c>
      <c r="J47" s="464" t="s">
        <v>113</v>
      </c>
      <c r="K47" s="464" t="s">
        <v>113</v>
      </c>
      <c r="L47" s="464" t="s">
        <v>113</v>
      </c>
      <c r="M47" s="464" t="s">
        <v>113</v>
      </c>
      <c r="N47" s="464" t="s">
        <v>113</v>
      </c>
      <c r="O47" s="464" t="s">
        <v>113</v>
      </c>
      <c r="P47" s="464" t="s">
        <v>113</v>
      </c>
      <c r="Q47" s="464" t="s">
        <v>113</v>
      </c>
      <c r="R47" s="464" t="s">
        <v>113</v>
      </c>
      <c r="S47" s="464" t="s">
        <v>113</v>
      </c>
      <c r="T47" s="464" t="s">
        <v>113</v>
      </c>
      <c r="U47" s="464" t="s">
        <v>113</v>
      </c>
      <c r="V47" s="464" t="s">
        <v>113</v>
      </c>
      <c r="W47" s="464" t="s">
        <v>113</v>
      </c>
      <c r="X47" s="464" t="s">
        <v>113</v>
      </c>
      <c r="Y47" s="464" t="s">
        <v>113</v>
      </c>
      <c r="Z47" s="464" t="s">
        <v>113</v>
      </c>
      <c r="AA47" s="464" t="s">
        <v>113</v>
      </c>
      <c r="AB47" s="464" t="s">
        <v>113</v>
      </c>
      <c r="AC47" s="464" t="s">
        <v>113</v>
      </c>
      <c r="AD47" s="464" t="s">
        <v>113</v>
      </c>
      <c r="AE47" s="464" t="s">
        <v>113</v>
      </c>
      <c r="AF47" s="464" t="s">
        <v>113</v>
      </c>
      <c r="AG47" s="464" t="s">
        <v>113</v>
      </c>
      <c r="AH47" s="464" t="s">
        <v>113</v>
      </c>
      <c r="AI47" s="464" t="s">
        <v>113</v>
      </c>
      <c r="AJ47" s="464" t="s">
        <v>113</v>
      </c>
      <c r="AK47" s="464" t="s">
        <v>113</v>
      </c>
      <c r="AL47" s="464" t="s">
        <v>113</v>
      </c>
      <c r="AM47" s="464" t="s">
        <v>113</v>
      </c>
      <c r="AN47" s="464" t="s">
        <v>113</v>
      </c>
      <c r="AO47" s="464" t="s">
        <v>113</v>
      </c>
      <c r="AP47" s="464" t="s">
        <v>113</v>
      </c>
      <c r="AQ47" s="464" t="s">
        <v>113</v>
      </c>
      <c r="AR47" s="464" t="s">
        <v>113</v>
      </c>
      <c r="AS47" s="464" t="s">
        <v>113</v>
      </c>
      <c r="AT47" s="464" t="s">
        <v>113</v>
      </c>
      <c r="AU47" s="464" t="s">
        <v>113</v>
      </c>
      <c r="AV47" s="464" t="s">
        <v>113</v>
      </c>
      <c r="AW47" s="464" t="s">
        <v>113</v>
      </c>
      <c r="AX47" s="464" t="s">
        <v>113</v>
      </c>
      <c r="AY47" s="464" t="s">
        <v>113</v>
      </c>
      <c r="AZ47" s="464" t="s">
        <v>113</v>
      </c>
      <c r="BA47" s="464" t="s">
        <v>113</v>
      </c>
      <c r="BB47" s="464" t="s">
        <v>113</v>
      </c>
      <c r="BC47" s="464" t="s">
        <v>113</v>
      </c>
      <c r="BD47" s="464" t="s">
        <v>113</v>
      </c>
      <c r="BE47" s="464" t="s">
        <v>113</v>
      </c>
      <c r="BF47" s="464" t="s">
        <v>113</v>
      </c>
      <c r="BG47" s="464" t="s">
        <v>113</v>
      </c>
      <c r="BH47" s="464" t="s">
        <v>113</v>
      </c>
      <c r="BI47" s="464" t="s">
        <v>113</v>
      </c>
      <c r="BJ47" s="464" t="s">
        <v>113</v>
      </c>
      <c r="BK47" s="464" t="s">
        <v>113</v>
      </c>
      <c r="BL47" s="464" t="s">
        <v>113</v>
      </c>
      <c r="BM47" s="464" t="s">
        <v>113</v>
      </c>
      <c r="BN47" s="464" t="s">
        <v>113</v>
      </c>
      <c r="BO47" s="464" t="s">
        <v>113</v>
      </c>
      <c r="BP47" s="236" t="s">
        <v>103</v>
      </c>
      <c r="BQ47" s="236" t="s">
        <v>103</v>
      </c>
      <c r="BR47" s="464" t="s">
        <v>113</v>
      </c>
      <c r="BS47" s="236" t="s">
        <v>103</v>
      </c>
      <c r="BT47" s="464" t="s">
        <v>113</v>
      </c>
      <c r="BU47" s="236" t="s">
        <v>103</v>
      </c>
      <c r="BV47" s="236" t="s">
        <v>103</v>
      </c>
      <c r="BW47" s="464" t="s">
        <v>113</v>
      </c>
      <c r="BX47" s="464" t="s">
        <v>113</v>
      </c>
      <c r="BY47" s="464" t="s">
        <v>113</v>
      </c>
      <c r="BZ47" s="464" t="s">
        <v>113</v>
      </c>
      <c r="CA47" s="236" t="s">
        <v>103</v>
      </c>
      <c r="CB47" s="464" t="s">
        <v>113</v>
      </c>
      <c r="CC47" s="464" t="s">
        <v>113</v>
      </c>
      <c r="CD47" s="464" t="s">
        <v>113</v>
      </c>
      <c r="CE47" s="464" t="s">
        <v>113</v>
      </c>
      <c r="CF47" s="464" t="s">
        <v>113</v>
      </c>
      <c r="CG47" s="464" t="s">
        <v>113</v>
      </c>
      <c r="CH47" s="469"/>
      <c r="CK47" s="467"/>
      <c r="CL47" s="467"/>
      <c r="CM47" s="467"/>
      <c r="CN47" s="467"/>
    </row>
    <row r="48" spans="1:92">
      <c r="A48" s="210"/>
      <c r="B48" s="211"/>
      <c r="C48" s="201"/>
      <c r="D48" s="468" t="s">
        <v>94</v>
      </c>
      <c r="E48" s="475" t="s">
        <v>345</v>
      </c>
      <c r="F48" s="470"/>
      <c r="G48" s="470" t="s">
        <v>662</v>
      </c>
      <c r="H48" s="236" t="s">
        <v>103</v>
      </c>
      <c r="I48" s="464" t="s">
        <v>113</v>
      </c>
      <c r="J48" s="464" t="s">
        <v>113</v>
      </c>
      <c r="K48" s="464" t="s">
        <v>113</v>
      </c>
      <c r="L48" s="464" t="s">
        <v>113</v>
      </c>
      <c r="M48" s="464" t="s">
        <v>113</v>
      </c>
      <c r="N48" s="464" t="s">
        <v>113</v>
      </c>
      <c r="O48" s="464" t="s">
        <v>113</v>
      </c>
      <c r="P48" s="464" t="s">
        <v>113</v>
      </c>
      <c r="Q48" s="464" t="s">
        <v>113</v>
      </c>
      <c r="R48" s="464" t="s">
        <v>113</v>
      </c>
      <c r="S48" s="464" t="s">
        <v>113</v>
      </c>
      <c r="T48" s="464" t="s">
        <v>113</v>
      </c>
      <c r="U48" s="464" t="s">
        <v>113</v>
      </c>
      <c r="V48" s="464" t="s">
        <v>113</v>
      </c>
      <c r="W48" s="464" t="s">
        <v>113</v>
      </c>
      <c r="X48" s="464" t="s">
        <v>113</v>
      </c>
      <c r="Y48" s="464" t="s">
        <v>113</v>
      </c>
      <c r="Z48" s="464" t="s">
        <v>113</v>
      </c>
      <c r="AA48" s="464" t="s">
        <v>113</v>
      </c>
      <c r="AB48" s="464" t="s">
        <v>113</v>
      </c>
      <c r="AC48" s="464" t="s">
        <v>113</v>
      </c>
      <c r="AD48" s="464" t="s">
        <v>113</v>
      </c>
      <c r="AE48" s="464" t="s">
        <v>113</v>
      </c>
      <c r="AF48" s="464" t="s">
        <v>113</v>
      </c>
      <c r="AG48" s="464" t="s">
        <v>113</v>
      </c>
      <c r="AH48" s="464" t="s">
        <v>113</v>
      </c>
      <c r="AI48" s="464" t="s">
        <v>113</v>
      </c>
      <c r="AJ48" s="464" t="s">
        <v>113</v>
      </c>
      <c r="AK48" s="464" t="s">
        <v>113</v>
      </c>
      <c r="AL48" s="464" t="s">
        <v>113</v>
      </c>
      <c r="AM48" s="464" t="s">
        <v>113</v>
      </c>
      <c r="AN48" s="464" t="s">
        <v>113</v>
      </c>
      <c r="AO48" s="464" t="s">
        <v>113</v>
      </c>
      <c r="AP48" s="464" t="s">
        <v>113</v>
      </c>
      <c r="AQ48" s="464" t="s">
        <v>113</v>
      </c>
      <c r="AR48" s="464" t="s">
        <v>113</v>
      </c>
      <c r="AS48" s="464" t="s">
        <v>113</v>
      </c>
      <c r="AT48" s="464" t="s">
        <v>113</v>
      </c>
      <c r="AU48" s="464" t="s">
        <v>113</v>
      </c>
      <c r="AV48" s="464" t="s">
        <v>113</v>
      </c>
      <c r="AW48" s="464" t="s">
        <v>113</v>
      </c>
      <c r="AX48" s="464" t="s">
        <v>113</v>
      </c>
      <c r="AY48" s="464" t="s">
        <v>113</v>
      </c>
      <c r="AZ48" s="464" t="s">
        <v>113</v>
      </c>
      <c r="BA48" s="464" t="s">
        <v>113</v>
      </c>
      <c r="BB48" s="464" t="s">
        <v>113</v>
      </c>
      <c r="BC48" s="464" t="s">
        <v>113</v>
      </c>
      <c r="BD48" s="464" t="s">
        <v>113</v>
      </c>
      <c r="BE48" s="464" t="s">
        <v>113</v>
      </c>
      <c r="BF48" s="464" t="s">
        <v>113</v>
      </c>
      <c r="BG48" s="464" t="s">
        <v>113</v>
      </c>
      <c r="BH48" s="464" t="s">
        <v>113</v>
      </c>
      <c r="BI48" s="464" t="s">
        <v>113</v>
      </c>
      <c r="BJ48" s="464" t="s">
        <v>113</v>
      </c>
      <c r="BK48" s="464" t="s">
        <v>113</v>
      </c>
      <c r="BL48" s="464" t="s">
        <v>113</v>
      </c>
      <c r="BM48" s="464" t="s">
        <v>113</v>
      </c>
      <c r="BN48" s="464" t="s">
        <v>113</v>
      </c>
      <c r="BO48" s="464" t="s">
        <v>113</v>
      </c>
      <c r="BP48" s="464" t="s">
        <v>113</v>
      </c>
      <c r="BQ48" s="464" t="s">
        <v>113</v>
      </c>
      <c r="BR48" s="464" t="s">
        <v>113</v>
      </c>
      <c r="BS48" s="464" t="s">
        <v>113</v>
      </c>
      <c r="BT48" s="464" t="s">
        <v>113</v>
      </c>
      <c r="BU48" s="464" t="s">
        <v>113</v>
      </c>
      <c r="BV48" s="464" t="s">
        <v>113</v>
      </c>
      <c r="BW48" s="464" t="s">
        <v>113</v>
      </c>
      <c r="BX48" s="464" t="s">
        <v>113</v>
      </c>
      <c r="BY48" s="464" t="s">
        <v>113</v>
      </c>
      <c r="BZ48" s="464" t="s">
        <v>113</v>
      </c>
      <c r="CA48" s="464" t="s">
        <v>113</v>
      </c>
      <c r="CB48" s="464" t="s">
        <v>113</v>
      </c>
      <c r="CC48" s="464" t="s">
        <v>113</v>
      </c>
      <c r="CD48" s="464" t="s">
        <v>113</v>
      </c>
      <c r="CE48" s="464" t="s">
        <v>113</v>
      </c>
      <c r="CF48" s="464" t="s">
        <v>113</v>
      </c>
      <c r="CG48" s="464" t="s">
        <v>113</v>
      </c>
      <c r="CH48" s="469"/>
      <c r="CK48" s="467"/>
      <c r="CL48" s="467"/>
      <c r="CM48" s="467"/>
      <c r="CN48" s="467"/>
    </row>
    <row r="49" spans="1:200" ht="30">
      <c r="A49" s="210"/>
      <c r="B49" s="211"/>
      <c r="C49" s="201"/>
      <c r="D49" s="468" t="s">
        <v>111</v>
      </c>
      <c r="E49" s="475" t="s">
        <v>257</v>
      </c>
      <c r="F49" s="470"/>
      <c r="G49" s="476" t="s">
        <v>649</v>
      </c>
      <c r="H49" s="464" t="s">
        <v>113</v>
      </c>
      <c r="I49" s="464" t="s">
        <v>113</v>
      </c>
      <c r="J49" s="464" t="s">
        <v>113</v>
      </c>
      <c r="K49" s="464" t="s">
        <v>113</v>
      </c>
      <c r="L49" s="464" t="s">
        <v>113</v>
      </c>
      <c r="M49" s="464" t="s">
        <v>113</v>
      </c>
      <c r="N49" s="464" t="s">
        <v>113</v>
      </c>
      <c r="O49" s="464" t="s">
        <v>113</v>
      </c>
      <c r="P49" s="464" t="s">
        <v>113</v>
      </c>
      <c r="Q49" s="464" t="s">
        <v>113</v>
      </c>
      <c r="R49" s="464" t="s">
        <v>113</v>
      </c>
      <c r="S49" s="464" t="s">
        <v>113</v>
      </c>
      <c r="T49" s="464" t="s">
        <v>113</v>
      </c>
      <c r="U49" s="464" t="s">
        <v>113</v>
      </c>
      <c r="V49" s="464" t="s">
        <v>113</v>
      </c>
      <c r="W49" s="464" t="s">
        <v>113</v>
      </c>
      <c r="X49" s="464" t="s">
        <v>113</v>
      </c>
      <c r="Y49" s="464" t="s">
        <v>113</v>
      </c>
      <c r="Z49" s="464" t="s">
        <v>113</v>
      </c>
      <c r="AA49" s="464" t="s">
        <v>113</v>
      </c>
      <c r="AB49" s="464" t="s">
        <v>113</v>
      </c>
      <c r="AC49" s="464" t="s">
        <v>113</v>
      </c>
      <c r="AD49" s="464" t="s">
        <v>113</v>
      </c>
      <c r="AE49" s="464" t="s">
        <v>113</v>
      </c>
      <c r="AF49" s="464" t="s">
        <v>113</v>
      </c>
      <c r="AG49" s="464" t="s">
        <v>113</v>
      </c>
      <c r="AH49" s="464" t="s">
        <v>113</v>
      </c>
      <c r="AI49" s="464" t="s">
        <v>113</v>
      </c>
      <c r="AJ49" s="464" t="s">
        <v>113</v>
      </c>
      <c r="AK49" s="464" t="s">
        <v>113</v>
      </c>
      <c r="AL49" s="464" t="s">
        <v>113</v>
      </c>
      <c r="AM49" s="464" t="s">
        <v>113</v>
      </c>
      <c r="AN49" s="464" t="s">
        <v>113</v>
      </c>
      <c r="AO49" s="464" t="s">
        <v>113</v>
      </c>
      <c r="AP49" s="464" t="s">
        <v>113</v>
      </c>
      <c r="AQ49" s="464" t="s">
        <v>113</v>
      </c>
      <c r="AR49" s="236" t="s">
        <v>103</v>
      </c>
      <c r="AS49" s="464" t="s">
        <v>113</v>
      </c>
      <c r="AT49" s="464" t="s">
        <v>113</v>
      </c>
      <c r="AU49" s="464" t="s">
        <v>113</v>
      </c>
      <c r="AV49" s="464" t="s">
        <v>113</v>
      </c>
      <c r="AW49" s="464" t="s">
        <v>113</v>
      </c>
      <c r="AX49" s="464" t="s">
        <v>113</v>
      </c>
      <c r="AY49" s="464" t="s">
        <v>113</v>
      </c>
      <c r="AZ49" s="464" t="s">
        <v>113</v>
      </c>
      <c r="BA49" s="464" t="s">
        <v>113</v>
      </c>
      <c r="BB49" s="464" t="s">
        <v>113</v>
      </c>
      <c r="BC49" s="464" t="s">
        <v>113</v>
      </c>
      <c r="BD49" s="464" t="s">
        <v>113</v>
      </c>
      <c r="BE49" s="464" t="s">
        <v>113</v>
      </c>
      <c r="BF49" s="464" t="s">
        <v>113</v>
      </c>
      <c r="BG49" s="464" t="s">
        <v>113</v>
      </c>
      <c r="BH49" s="464" t="s">
        <v>113</v>
      </c>
      <c r="BI49" s="464" t="s">
        <v>113</v>
      </c>
      <c r="BJ49" s="464" t="s">
        <v>113</v>
      </c>
      <c r="BK49" s="464" t="s">
        <v>113</v>
      </c>
      <c r="BL49" s="464" t="s">
        <v>113</v>
      </c>
      <c r="BM49" s="464" t="s">
        <v>113</v>
      </c>
      <c r="BN49" s="464" t="s">
        <v>113</v>
      </c>
      <c r="BO49" s="464" t="s">
        <v>113</v>
      </c>
      <c r="BP49" s="464" t="s">
        <v>113</v>
      </c>
      <c r="BQ49" s="464" t="s">
        <v>113</v>
      </c>
      <c r="BR49" s="464" t="s">
        <v>113</v>
      </c>
      <c r="BS49" s="464" t="s">
        <v>113</v>
      </c>
      <c r="BT49" s="464" t="s">
        <v>113</v>
      </c>
      <c r="BU49" s="464" t="s">
        <v>113</v>
      </c>
      <c r="BV49" s="464" t="s">
        <v>113</v>
      </c>
      <c r="BW49" s="464" t="s">
        <v>113</v>
      </c>
      <c r="BX49" s="464" t="s">
        <v>113</v>
      </c>
      <c r="BY49" s="464" t="s">
        <v>113</v>
      </c>
      <c r="BZ49" s="464" t="s">
        <v>113</v>
      </c>
      <c r="CA49" s="464" t="s">
        <v>113</v>
      </c>
      <c r="CB49" s="464" t="s">
        <v>113</v>
      </c>
      <c r="CC49" s="464" t="s">
        <v>113</v>
      </c>
      <c r="CD49" s="464" t="s">
        <v>113</v>
      </c>
      <c r="CE49" s="464" t="s">
        <v>113</v>
      </c>
      <c r="CF49" s="464" t="s">
        <v>113</v>
      </c>
      <c r="CG49" s="464" t="s">
        <v>113</v>
      </c>
      <c r="CH49" s="469"/>
      <c r="CK49" s="467"/>
      <c r="CL49" s="467"/>
      <c r="CM49" s="467"/>
      <c r="CN49" s="467"/>
    </row>
    <row r="50" spans="1:200">
      <c r="A50" s="210"/>
      <c r="B50" s="211"/>
      <c r="C50" s="201"/>
      <c r="D50" s="465" t="s">
        <v>652</v>
      </c>
      <c r="E50" s="475" t="s">
        <v>665</v>
      </c>
      <c r="F50" s="470"/>
      <c r="G50" s="470" t="s">
        <v>663</v>
      </c>
      <c r="H50" s="464" t="s">
        <v>113</v>
      </c>
      <c r="I50" s="464" t="s">
        <v>113</v>
      </c>
      <c r="J50" s="236" t="s">
        <v>103</v>
      </c>
      <c r="K50" s="464" t="s">
        <v>113</v>
      </c>
      <c r="L50" s="464" t="s">
        <v>113</v>
      </c>
      <c r="M50" s="464" t="s">
        <v>113</v>
      </c>
      <c r="N50" s="464" t="s">
        <v>113</v>
      </c>
      <c r="O50" s="464" t="s">
        <v>113</v>
      </c>
      <c r="P50" s="464" t="s">
        <v>113</v>
      </c>
      <c r="Q50" s="464" t="s">
        <v>113</v>
      </c>
      <c r="R50" s="464" t="s">
        <v>113</v>
      </c>
      <c r="S50" s="464" t="s">
        <v>113</v>
      </c>
      <c r="T50" s="464" t="s">
        <v>113</v>
      </c>
      <c r="U50" s="464" t="s">
        <v>113</v>
      </c>
      <c r="V50" s="464" t="s">
        <v>113</v>
      </c>
      <c r="W50" s="464" t="s">
        <v>113</v>
      </c>
      <c r="X50" s="464" t="s">
        <v>113</v>
      </c>
      <c r="Y50" s="464" t="s">
        <v>113</v>
      </c>
      <c r="Z50" s="464" t="s">
        <v>113</v>
      </c>
      <c r="AA50" s="464" t="s">
        <v>113</v>
      </c>
      <c r="AB50" s="464" t="s">
        <v>113</v>
      </c>
      <c r="AC50" s="464" t="s">
        <v>113</v>
      </c>
      <c r="AD50" s="464" t="s">
        <v>113</v>
      </c>
      <c r="AE50" s="464" t="s">
        <v>113</v>
      </c>
      <c r="AF50" s="464" t="s">
        <v>113</v>
      </c>
      <c r="AG50" s="464" t="s">
        <v>113</v>
      </c>
      <c r="AH50" s="464" t="s">
        <v>113</v>
      </c>
      <c r="AI50" s="464" t="s">
        <v>113</v>
      </c>
      <c r="AJ50" s="464" t="s">
        <v>113</v>
      </c>
      <c r="AK50" s="464" t="s">
        <v>113</v>
      </c>
      <c r="AL50" s="464" t="s">
        <v>113</v>
      </c>
      <c r="AM50" s="464" t="s">
        <v>113</v>
      </c>
      <c r="AN50" s="464" t="s">
        <v>113</v>
      </c>
      <c r="AO50" s="464" t="s">
        <v>113</v>
      </c>
      <c r="AP50" s="464" t="s">
        <v>113</v>
      </c>
      <c r="AQ50" s="464" t="s">
        <v>113</v>
      </c>
      <c r="AR50" s="464" t="s">
        <v>113</v>
      </c>
      <c r="AS50" s="464" t="s">
        <v>113</v>
      </c>
      <c r="AT50" s="464" t="s">
        <v>113</v>
      </c>
      <c r="AU50" s="464" t="s">
        <v>113</v>
      </c>
      <c r="AV50" s="464" t="s">
        <v>113</v>
      </c>
      <c r="AW50" s="464" t="s">
        <v>113</v>
      </c>
      <c r="AX50" s="464" t="s">
        <v>113</v>
      </c>
      <c r="AY50" s="236" t="s">
        <v>103</v>
      </c>
      <c r="AZ50" s="464" t="s">
        <v>113</v>
      </c>
      <c r="BA50" s="464" t="s">
        <v>113</v>
      </c>
      <c r="BB50" s="464" t="s">
        <v>113</v>
      </c>
      <c r="BC50" s="464" t="s">
        <v>113</v>
      </c>
      <c r="BD50" s="464" t="s">
        <v>113</v>
      </c>
      <c r="BE50" s="464" t="s">
        <v>113</v>
      </c>
      <c r="BF50" s="464" t="s">
        <v>113</v>
      </c>
      <c r="BG50" s="464" t="s">
        <v>113</v>
      </c>
      <c r="BH50" s="464" t="s">
        <v>113</v>
      </c>
      <c r="BI50" s="464" t="s">
        <v>113</v>
      </c>
      <c r="BJ50" s="464" t="s">
        <v>113</v>
      </c>
      <c r="BK50" s="464" t="s">
        <v>113</v>
      </c>
      <c r="BL50" s="464" t="s">
        <v>113</v>
      </c>
      <c r="BM50" s="464" t="s">
        <v>113</v>
      </c>
      <c r="BN50" s="464" t="s">
        <v>113</v>
      </c>
      <c r="BO50" s="464" t="s">
        <v>113</v>
      </c>
      <c r="BP50" s="464" t="s">
        <v>113</v>
      </c>
      <c r="BQ50" s="464" t="s">
        <v>113</v>
      </c>
      <c r="BR50" s="464" t="s">
        <v>113</v>
      </c>
      <c r="BS50" s="464" t="s">
        <v>113</v>
      </c>
      <c r="BT50" s="464" t="s">
        <v>113</v>
      </c>
      <c r="BU50" s="464" t="s">
        <v>113</v>
      </c>
      <c r="BV50" s="464" t="s">
        <v>113</v>
      </c>
      <c r="BW50" s="464" t="s">
        <v>113</v>
      </c>
      <c r="BX50" s="464" t="s">
        <v>113</v>
      </c>
      <c r="BY50" s="464" t="s">
        <v>113</v>
      </c>
      <c r="BZ50" s="464" t="s">
        <v>113</v>
      </c>
      <c r="CA50" s="464" t="s">
        <v>113</v>
      </c>
      <c r="CB50" s="464" t="s">
        <v>113</v>
      </c>
      <c r="CC50" s="464" t="s">
        <v>113</v>
      </c>
      <c r="CD50" s="464" t="s">
        <v>113</v>
      </c>
      <c r="CE50" s="464" t="s">
        <v>113</v>
      </c>
      <c r="CF50" s="464" t="s">
        <v>113</v>
      </c>
      <c r="CG50" s="464" t="s">
        <v>113</v>
      </c>
      <c r="CH50" s="469"/>
      <c r="CK50" s="467"/>
      <c r="CL50" s="467"/>
      <c r="CM50" s="467"/>
      <c r="CN50" s="467"/>
    </row>
    <row r="51" spans="1:200">
      <c r="A51" s="210"/>
      <c r="B51" s="211"/>
      <c r="C51" s="201"/>
      <c r="D51" s="468" t="s">
        <v>653</v>
      </c>
      <c r="E51" s="475" t="s">
        <v>643</v>
      </c>
      <c r="F51" s="470"/>
      <c r="G51" s="470" t="s">
        <v>650</v>
      </c>
      <c r="H51" s="464" t="s">
        <v>113</v>
      </c>
      <c r="I51" s="464" t="s">
        <v>113</v>
      </c>
      <c r="J51" s="464" t="s">
        <v>113</v>
      </c>
      <c r="K51" s="464" t="s">
        <v>113</v>
      </c>
      <c r="L51" s="464" t="s">
        <v>113</v>
      </c>
      <c r="M51" s="464" t="s">
        <v>113</v>
      </c>
      <c r="N51" s="464" t="s">
        <v>113</v>
      </c>
      <c r="O51" s="464" t="s">
        <v>113</v>
      </c>
      <c r="P51" s="464" t="s">
        <v>113</v>
      </c>
      <c r="Q51" s="464" t="s">
        <v>113</v>
      </c>
      <c r="R51" s="464" t="s">
        <v>113</v>
      </c>
      <c r="S51" s="464" t="s">
        <v>113</v>
      </c>
      <c r="T51" s="464" t="s">
        <v>113</v>
      </c>
      <c r="U51" s="464" t="s">
        <v>113</v>
      </c>
      <c r="V51" s="464" t="s">
        <v>113</v>
      </c>
      <c r="W51" s="464" t="s">
        <v>113</v>
      </c>
      <c r="X51" s="464" t="s">
        <v>113</v>
      </c>
      <c r="Y51" s="464" t="s">
        <v>113</v>
      </c>
      <c r="Z51" s="464" t="s">
        <v>113</v>
      </c>
      <c r="AA51" s="236" t="s">
        <v>103</v>
      </c>
      <c r="AB51" s="464" t="s">
        <v>113</v>
      </c>
      <c r="AC51" s="236" t="s">
        <v>103</v>
      </c>
      <c r="AD51" s="464" t="s">
        <v>113</v>
      </c>
      <c r="AE51" s="464" t="s">
        <v>113</v>
      </c>
      <c r="AF51" s="464" t="s">
        <v>113</v>
      </c>
      <c r="AG51" s="464" t="s">
        <v>113</v>
      </c>
      <c r="AH51" s="464" t="s">
        <v>113</v>
      </c>
      <c r="AI51" s="464" t="s">
        <v>113</v>
      </c>
      <c r="AJ51" s="464" t="s">
        <v>113</v>
      </c>
      <c r="AK51" s="464" t="s">
        <v>113</v>
      </c>
      <c r="AL51" s="464" t="s">
        <v>113</v>
      </c>
      <c r="AM51" s="464" t="s">
        <v>113</v>
      </c>
      <c r="AN51" s="464" t="s">
        <v>113</v>
      </c>
      <c r="AO51" s="464" t="s">
        <v>113</v>
      </c>
      <c r="AP51" s="464" t="s">
        <v>113</v>
      </c>
      <c r="AQ51" s="464" t="s">
        <v>113</v>
      </c>
      <c r="AR51" s="464" t="s">
        <v>113</v>
      </c>
      <c r="AS51" s="464" t="s">
        <v>113</v>
      </c>
      <c r="AT51" s="464" t="s">
        <v>113</v>
      </c>
      <c r="AU51" s="464" t="s">
        <v>113</v>
      </c>
      <c r="AV51" s="464" t="s">
        <v>113</v>
      </c>
      <c r="AW51" s="464" t="s">
        <v>113</v>
      </c>
      <c r="AX51" s="464" t="s">
        <v>113</v>
      </c>
      <c r="AY51" s="464" t="s">
        <v>113</v>
      </c>
      <c r="AZ51" s="464" t="s">
        <v>113</v>
      </c>
      <c r="BA51" s="464" t="s">
        <v>113</v>
      </c>
      <c r="BB51" s="464" t="s">
        <v>113</v>
      </c>
      <c r="BC51" s="464" t="s">
        <v>113</v>
      </c>
      <c r="BD51" s="464" t="s">
        <v>113</v>
      </c>
      <c r="BE51" s="464" t="s">
        <v>113</v>
      </c>
      <c r="BF51" s="464" t="s">
        <v>113</v>
      </c>
      <c r="BG51" s="464" t="s">
        <v>113</v>
      </c>
      <c r="BH51" s="464" t="s">
        <v>113</v>
      </c>
      <c r="BI51" s="464" t="s">
        <v>113</v>
      </c>
      <c r="BJ51" s="464" t="s">
        <v>113</v>
      </c>
      <c r="BK51" s="464" t="s">
        <v>113</v>
      </c>
      <c r="BL51" s="464" t="s">
        <v>113</v>
      </c>
      <c r="BM51" s="464" t="s">
        <v>113</v>
      </c>
      <c r="BN51" s="464" t="s">
        <v>113</v>
      </c>
      <c r="BO51" s="464" t="s">
        <v>113</v>
      </c>
      <c r="BP51" s="464" t="s">
        <v>113</v>
      </c>
      <c r="BQ51" s="464" t="s">
        <v>113</v>
      </c>
      <c r="BR51" s="464" t="s">
        <v>113</v>
      </c>
      <c r="BS51" s="464" t="s">
        <v>113</v>
      </c>
      <c r="BT51" s="464" t="s">
        <v>113</v>
      </c>
      <c r="BU51" s="464" t="s">
        <v>113</v>
      </c>
      <c r="BV51" s="464" t="s">
        <v>113</v>
      </c>
      <c r="BW51" s="464" t="s">
        <v>113</v>
      </c>
      <c r="BX51" s="464" t="s">
        <v>113</v>
      </c>
      <c r="BY51" s="464" t="s">
        <v>113</v>
      </c>
      <c r="BZ51" s="464" t="s">
        <v>113</v>
      </c>
      <c r="CA51" s="464" t="s">
        <v>113</v>
      </c>
      <c r="CB51" s="464" t="s">
        <v>113</v>
      </c>
      <c r="CC51" s="464" t="s">
        <v>113</v>
      </c>
      <c r="CD51" s="464" t="s">
        <v>113</v>
      </c>
      <c r="CE51" s="464" t="s">
        <v>113</v>
      </c>
      <c r="CF51" s="464" t="s">
        <v>113</v>
      </c>
      <c r="CG51" s="464" t="s">
        <v>113</v>
      </c>
      <c r="CH51" s="469"/>
      <c r="CK51" s="467"/>
      <c r="CL51" s="467"/>
      <c r="CM51" s="467"/>
      <c r="CN51" s="467"/>
    </row>
    <row r="52" spans="1:200">
      <c r="A52" s="210"/>
      <c r="B52" s="211"/>
      <c r="C52" s="201"/>
      <c r="D52" s="468" t="s">
        <v>654</v>
      </c>
      <c r="E52" s="477" t="s">
        <v>644</v>
      </c>
      <c r="F52" s="31"/>
      <c r="G52" s="31" t="s">
        <v>651</v>
      </c>
      <c r="H52" s="464" t="s">
        <v>113</v>
      </c>
      <c r="I52" s="464" t="s">
        <v>113</v>
      </c>
      <c r="J52" s="464" t="s">
        <v>113</v>
      </c>
      <c r="K52" s="464" t="s">
        <v>113</v>
      </c>
      <c r="L52" s="464" t="s">
        <v>113</v>
      </c>
      <c r="M52" s="464" t="s">
        <v>113</v>
      </c>
      <c r="N52" s="464" t="s">
        <v>113</v>
      </c>
      <c r="O52" s="464" t="s">
        <v>113</v>
      </c>
      <c r="P52" s="464" t="s">
        <v>113</v>
      </c>
      <c r="Q52" s="464" t="s">
        <v>113</v>
      </c>
      <c r="R52" s="464" t="s">
        <v>113</v>
      </c>
      <c r="S52" s="464" t="s">
        <v>113</v>
      </c>
      <c r="T52" s="464" t="s">
        <v>113</v>
      </c>
      <c r="U52" s="464" t="s">
        <v>113</v>
      </c>
      <c r="V52" s="464" t="s">
        <v>113</v>
      </c>
      <c r="W52" s="464" t="s">
        <v>113</v>
      </c>
      <c r="X52" s="464" t="s">
        <v>113</v>
      </c>
      <c r="Y52" s="464" t="s">
        <v>113</v>
      </c>
      <c r="Z52" s="464" t="s">
        <v>113</v>
      </c>
      <c r="AA52" s="464" t="s">
        <v>113</v>
      </c>
      <c r="AB52" s="464" t="s">
        <v>113</v>
      </c>
      <c r="AC52" s="464" t="s">
        <v>113</v>
      </c>
      <c r="AD52" s="464" t="s">
        <v>113</v>
      </c>
      <c r="AE52" s="236" t="s">
        <v>103</v>
      </c>
      <c r="AF52" s="464" t="s">
        <v>113</v>
      </c>
      <c r="AG52" s="464" t="s">
        <v>113</v>
      </c>
      <c r="AH52" s="464" t="s">
        <v>113</v>
      </c>
      <c r="AI52" s="464" t="s">
        <v>113</v>
      </c>
      <c r="AJ52" s="464" t="s">
        <v>113</v>
      </c>
      <c r="AK52" s="464" t="s">
        <v>113</v>
      </c>
      <c r="AL52" s="464" t="s">
        <v>113</v>
      </c>
      <c r="AM52" s="464" t="s">
        <v>113</v>
      </c>
      <c r="AN52" s="464" t="s">
        <v>113</v>
      </c>
      <c r="AO52" s="464" t="s">
        <v>113</v>
      </c>
      <c r="AP52" s="464" t="s">
        <v>113</v>
      </c>
      <c r="AQ52" s="464" t="s">
        <v>113</v>
      </c>
      <c r="AR52" s="464" t="s">
        <v>113</v>
      </c>
      <c r="AS52" s="464" t="s">
        <v>113</v>
      </c>
      <c r="AT52" s="464" t="s">
        <v>113</v>
      </c>
      <c r="AU52" s="464" t="s">
        <v>113</v>
      </c>
      <c r="AV52" s="464" t="s">
        <v>113</v>
      </c>
      <c r="AW52" s="236" t="s">
        <v>103</v>
      </c>
      <c r="AX52" s="464" t="s">
        <v>113</v>
      </c>
      <c r="AY52" s="464" t="s">
        <v>113</v>
      </c>
      <c r="AZ52" s="464" t="s">
        <v>113</v>
      </c>
      <c r="BA52" s="464" t="s">
        <v>113</v>
      </c>
      <c r="BB52" s="464" t="s">
        <v>113</v>
      </c>
      <c r="BC52" s="464" t="s">
        <v>113</v>
      </c>
      <c r="BD52" s="464" t="s">
        <v>113</v>
      </c>
      <c r="BE52" s="464" t="s">
        <v>113</v>
      </c>
      <c r="BF52" s="464" t="s">
        <v>113</v>
      </c>
      <c r="BG52" s="464" t="s">
        <v>113</v>
      </c>
      <c r="BH52" s="464" t="s">
        <v>113</v>
      </c>
      <c r="BI52" s="464" t="s">
        <v>113</v>
      </c>
      <c r="BJ52" s="464" t="s">
        <v>113</v>
      </c>
      <c r="BK52" s="464" t="s">
        <v>113</v>
      </c>
      <c r="BL52" s="464" t="s">
        <v>113</v>
      </c>
      <c r="BM52" s="464" t="s">
        <v>113</v>
      </c>
      <c r="BN52" s="464" t="s">
        <v>113</v>
      </c>
      <c r="BO52" s="464" t="s">
        <v>113</v>
      </c>
      <c r="BP52" s="464" t="s">
        <v>113</v>
      </c>
      <c r="BQ52" s="464" t="s">
        <v>113</v>
      </c>
      <c r="BR52" s="464" t="s">
        <v>113</v>
      </c>
      <c r="BS52" s="464" t="s">
        <v>113</v>
      </c>
      <c r="BT52" s="464" t="s">
        <v>113</v>
      </c>
      <c r="BU52" s="464" t="s">
        <v>113</v>
      </c>
      <c r="BV52" s="464" t="s">
        <v>113</v>
      </c>
      <c r="BW52" s="464" t="s">
        <v>113</v>
      </c>
      <c r="BX52" s="464" t="s">
        <v>113</v>
      </c>
      <c r="BY52" s="464" t="s">
        <v>113</v>
      </c>
      <c r="BZ52" s="464" t="s">
        <v>113</v>
      </c>
      <c r="CA52" s="464" t="s">
        <v>113</v>
      </c>
      <c r="CB52" s="464" t="s">
        <v>113</v>
      </c>
      <c r="CC52" s="464" t="s">
        <v>113</v>
      </c>
      <c r="CD52" s="464" t="s">
        <v>113</v>
      </c>
      <c r="CE52" s="464" t="s">
        <v>113</v>
      </c>
      <c r="CF52" s="464" t="s">
        <v>113</v>
      </c>
      <c r="CG52" s="464" t="s">
        <v>113</v>
      </c>
      <c r="CH52" s="471"/>
      <c r="CK52" s="467"/>
      <c r="CL52" s="467"/>
      <c r="CM52" s="467"/>
      <c r="CN52" s="467"/>
    </row>
    <row r="53" spans="1:200">
      <c r="A53" s="210"/>
      <c r="B53" s="229" t="s">
        <v>87</v>
      </c>
      <c r="C53" s="227"/>
      <c r="D53" s="228"/>
      <c r="E53" s="227" t="s">
        <v>116</v>
      </c>
      <c r="F53" s="227"/>
      <c r="G53" s="227"/>
      <c r="H53" s="226"/>
      <c r="I53" s="226"/>
      <c r="J53" s="226"/>
      <c r="K53" s="226"/>
      <c r="L53" s="226"/>
      <c r="M53" s="226"/>
      <c r="N53" s="226"/>
      <c r="O53" s="226"/>
      <c r="P53" s="226"/>
      <c r="Q53" s="226"/>
      <c r="R53" s="226"/>
      <c r="S53" s="226"/>
      <c r="T53" s="226"/>
      <c r="U53" s="226"/>
      <c r="V53" s="226"/>
      <c r="W53" s="226"/>
      <c r="X53" s="226"/>
      <c r="Y53" s="226"/>
      <c r="Z53" s="226"/>
      <c r="AA53" s="226"/>
      <c r="AB53" s="226"/>
      <c r="AC53" s="226"/>
      <c r="AD53" s="226"/>
      <c r="AE53" s="226"/>
      <c r="AF53" s="226"/>
      <c r="AG53" s="226"/>
      <c r="AH53" s="226"/>
      <c r="AI53" s="226"/>
      <c r="AJ53" s="226"/>
      <c r="AK53" s="226"/>
      <c r="AL53" s="226"/>
      <c r="AM53" s="226"/>
      <c r="AN53" s="226"/>
      <c r="AO53" s="226"/>
      <c r="AP53" s="226"/>
      <c r="AQ53" s="226"/>
      <c r="AR53" s="226"/>
      <c r="AS53" s="226"/>
      <c r="AT53" s="226"/>
      <c r="AU53" s="226"/>
      <c r="AV53" s="226"/>
      <c r="AW53" s="226"/>
      <c r="AX53" s="226"/>
      <c r="AY53" s="226"/>
      <c r="AZ53" s="226"/>
      <c r="BA53" s="226"/>
      <c r="BB53" s="226"/>
      <c r="BC53" s="226"/>
      <c r="BD53" s="226"/>
      <c r="BE53" s="226"/>
      <c r="BF53" s="226"/>
      <c r="BG53" s="226"/>
      <c r="BH53" s="226"/>
      <c r="BI53" s="226"/>
      <c r="BJ53" s="226"/>
      <c r="BK53" s="226"/>
      <c r="BL53" s="226"/>
      <c r="BM53" s="226"/>
      <c r="BN53" s="226"/>
      <c r="BO53" s="226"/>
      <c r="BP53" s="226"/>
      <c r="BQ53" s="226"/>
      <c r="BR53" s="226"/>
      <c r="BS53" s="226"/>
      <c r="BT53" s="226"/>
      <c r="BU53" s="226"/>
      <c r="BV53" s="226"/>
      <c r="BW53" s="226"/>
      <c r="BX53" s="226"/>
      <c r="BY53" s="226"/>
      <c r="BZ53" s="226"/>
      <c r="CA53" s="226"/>
      <c r="CB53" s="226"/>
      <c r="CC53" s="226"/>
      <c r="CD53" s="226"/>
      <c r="CE53" s="226"/>
      <c r="CF53" s="226"/>
      <c r="CG53" s="226"/>
      <c r="CH53" s="225"/>
    </row>
    <row r="54" spans="1:200">
      <c r="B54" s="200"/>
      <c r="C54" s="224" t="s">
        <v>85</v>
      </c>
      <c r="D54" s="223"/>
      <c r="E54" s="222" t="s">
        <v>29</v>
      </c>
      <c r="F54" s="222"/>
      <c r="G54" s="222"/>
      <c r="H54" s="215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Y54" s="215"/>
      <c r="Z54" s="215"/>
      <c r="AA54" s="215"/>
      <c r="AB54" s="215"/>
      <c r="AC54" s="215"/>
      <c r="AD54" s="215"/>
      <c r="AE54" s="215"/>
      <c r="AF54" s="215"/>
      <c r="AG54" s="215"/>
      <c r="AH54" s="215"/>
      <c r="AI54" s="215"/>
      <c r="AJ54" s="215"/>
      <c r="AK54" s="215"/>
      <c r="AL54" s="215"/>
      <c r="AM54" s="215"/>
      <c r="AN54" s="215"/>
      <c r="AO54" s="215"/>
      <c r="AP54" s="215"/>
      <c r="AQ54" s="215"/>
      <c r="AR54" s="215"/>
      <c r="AS54" s="215"/>
      <c r="AT54" s="215"/>
      <c r="AU54" s="215"/>
      <c r="AV54" s="215"/>
      <c r="AW54" s="215"/>
      <c r="AX54" s="215"/>
      <c r="AY54" s="215"/>
      <c r="AZ54" s="215"/>
      <c r="BA54" s="215"/>
      <c r="BB54" s="215"/>
      <c r="BC54" s="215"/>
      <c r="BD54" s="215"/>
      <c r="BE54" s="215"/>
      <c r="BF54" s="215"/>
      <c r="BG54" s="215"/>
      <c r="BH54" s="215"/>
      <c r="BI54" s="215"/>
      <c r="BJ54" s="215"/>
      <c r="BK54" s="215"/>
      <c r="BL54" s="215"/>
      <c r="BM54" s="215"/>
      <c r="BN54" s="215"/>
      <c r="BO54" s="215"/>
      <c r="BP54" s="215"/>
      <c r="BQ54" s="215"/>
      <c r="BR54" s="215"/>
      <c r="BS54" s="215"/>
      <c r="BT54" s="215"/>
      <c r="BU54" s="215"/>
      <c r="BV54" s="215"/>
      <c r="BW54" s="215"/>
      <c r="BX54" s="215"/>
      <c r="BY54" s="215"/>
      <c r="BZ54" s="215"/>
      <c r="CA54" s="215"/>
      <c r="CB54" s="215"/>
      <c r="CC54" s="215"/>
      <c r="CD54" s="215"/>
      <c r="CE54" s="215"/>
      <c r="CF54" s="215"/>
      <c r="CG54" s="215"/>
      <c r="CH54" s="221"/>
    </row>
    <row r="55" spans="1:200" ht="15.75" thickBot="1">
      <c r="B55" s="195"/>
      <c r="C55" s="193"/>
      <c r="D55" s="205" t="s">
        <v>85</v>
      </c>
      <c r="E55" s="206"/>
      <c r="F55" s="207" t="s">
        <v>139</v>
      </c>
      <c r="G55" s="208" t="s">
        <v>117</v>
      </c>
      <c r="H55" s="462" t="s">
        <v>635</v>
      </c>
      <c r="I55" s="462" t="s">
        <v>635</v>
      </c>
      <c r="J55" s="462" t="s">
        <v>635</v>
      </c>
      <c r="K55" s="462" t="s">
        <v>635</v>
      </c>
      <c r="L55" s="462" t="s">
        <v>635</v>
      </c>
      <c r="M55" s="462" t="s">
        <v>635</v>
      </c>
      <c r="N55" s="462" t="s">
        <v>635</v>
      </c>
      <c r="O55" s="462" t="s">
        <v>635</v>
      </c>
      <c r="P55" s="462" t="s">
        <v>635</v>
      </c>
      <c r="Q55" s="462" t="s">
        <v>635</v>
      </c>
      <c r="R55" s="462" t="s">
        <v>635</v>
      </c>
      <c r="S55" s="462" t="s">
        <v>635</v>
      </c>
      <c r="T55" s="462" t="s">
        <v>635</v>
      </c>
      <c r="U55" s="462" t="s">
        <v>635</v>
      </c>
      <c r="V55" s="462" t="s">
        <v>635</v>
      </c>
      <c r="W55" s="462" t="s">
        <v>635</v>
      </c>
      <c r="X55" s="462" t="s">
        <v>635</v>
      </c>
      <c r="Y55" s="462" t="s">
        <v>635</v>
      </c>
      <c r="Z55" s="462" t="s">
        <v>635</v>
      </c>
      <c r="AA55" s="462" t="s">
        <v>635</v>
      </c>
      <c r="AB55" s="462" t="s">
        <v>635</v>
      </c>
      <c r="AC55" s="462" t="s">
        <v>635</v>
      </c>
      <c r="AD55" s="462" t="s">
        <v>635</v>
      </c>
      <c r="AE55" s="462" t="s">
        <v>635</v>
      </c>
      <c r="AF55" s="462" t="s">
        <v>635</v>
      </c>
      <c r="AG55" s="462" t="s">
        <v>635</v>
      </c>
      <c r="AH55" s="462" t="s">
        <v>635</v>
      </c>
      <c r="AI55" s="462" t="s">
        <v>635</v>
      </c>
      <c r="AJ55" s="462" t="s">
        <v>635</v>
      </c>
      <c r="AK55" s="462" t="s">
        <v>635</v>
      </c>
      <c r="AL55" s="462" t="s">
        <v>635</v>
      </c>
      <c r="AM55" s="462" t="s">
        <v>635</v>
      </c>
      <c r="AN55" s="462" t="s">
        <v>635</v>
      </c>
      <c r="AO55" s="462" t="s">
        <v>635</v>
      </c>
      <c r="AP55" s="462" t="s">
        <v>635</v>
      </c>
      <c r="AQ55" s="462" t="s">
        <v>635</v>
      </c>
      <c r="AR55" s="462" t="s">
        <v>635</v>
      </c>
      <c r="AS55" s="462" t="s">
        <v>635</v>
      </c>
      <c r="AT55" s="462" t="s">
        <v>635</v>
      </c>
      <c r="AU55" s="462" t="s">
        <v>635</v>
      </c>
      <c r="AV55" s="462" t="s">
        <v>635</v>
      </c>
      <c r="AW55" s="462" t="s">
        <v>635</v>
      </c>
      <c r="AX55" s="462" t="s">
        <v>635</v>
      </c>
      <c r="AY55" s="462" t="s">
        <v>635</v>
      </c>
      <c r="AZ55" s="462" t="s">
        <v>635</v>
      </c>
      <c r="BA55" s="462" t="s">
        <v>635</v>
      </c>
      <c r="BB55" s="462" t="s">
        <v>635</v>
      </c>
      <c r="BC55" s="462" t="s">
        <v>635</v>
      </c>
      <c r="BD55" s="462" t="s">
        <v>635</v>
      </c>
      <c r="BE55" s="462" t="s">
        <v>635</v>
      </c>
      <c r="BF55" s="462" t="s">
        <v>635</v>
      </c>
      <c r="BG55" s="462" t="s">
        <v>635</v>
      </c>
      <c r="BH55" s="462" t="s">
        <v>635</v>
      </c>
      <c r="BI55" s="462" t="s">
        <v>635</v>
      </c>
      <c r="BJ55" s="462" t="s">
        <v>635</v>
      </c>
      <c r="BK55" s="462" t="s">
        <v>635</v>
      </c>
      <c r="BL55" s="462" t="s">
        <v>635</v>
      </c>
      <c r="BM55" s="462" t="s">
        <v>635</v>
      </c>
      <c r="BN55" s="462" t="s">
        <v>635</v>
      </c>
      <c r="BO55" s="462" t="s">
        <v>635</v>
      </c>
      <c r="BP55" s="462" t="s">
        <v>635</v>
      </c>
      <c r="BQ55" s="462" t="s">
        <v>635</v>
      </c>
      <c r="BR55" s="462" t="s">
        <v>635</v>
      </c>
      <c r="BS55" s="462" t="s">
        <v>635</v>
      </c>
      <c r="BT55" s="462" t="s">
        <v>635</v>
      </c>
      <c r="BU55" s="462" t="s">
        <v>635</v>
      </c>
      <c r="BV55" s="462" t="s">
        <v>635</v>
      </c>
      <c r="BW55" s="462" t="s">
        <v>635</v>
      </c>
      <c r="BX55" s="462" t="s">
        <v>635</v>
      </c>
      <c r="BY55" s="462" t="s">
        <v>635</v>
      </c>
      <c r="BZ55" s="462" t="s">
        <v>635</v>
      </c>
      <c r="CA55" s="462" t="s">
        <v>635</v>
      </c>
      <c r="CB55" s="462" t="s">
        <v>635</v>
      </c>
      <c r="CC55" s="462" t="s">
        <v>635</v>
      </c>
      <c r="CD55" s="462" t="s">
        <v>635</v>
      </c>
      <c r="CE55" s="462" t="s">
        <v>635</v>
      </c>
      <c r="CF55" s="462" t="s">
        <v>635</v>
      </c>
      <c r="CG55" s="462" t="s">
        <v>635</v>
      </c>
      <c r="CH55" s="220"/>
      <c r="CK55" s="231"/>
      <c r="CL55" s="219"/>
      <c r="CM55" s="218"/>
      <c r="CN55" s="218"/>
    </row>
    <row r="57" spans="1:200">
      <c r="F57"/>
      <c r="G57"/>
      <c r="CH57" s="214"/>
    </row>
    <row r="58" spans="1:200">
      <c r="F58"/>
      <c r="G58"/>
    </row>
    <row r="59" spans="1:200">
      <c r="E59" s="275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</row>
    <row r="60" spans="1:200">
      <c r="F60"/>
      <c r="G60" s="273"/>
      <c r="H60" s="273"/>
      <c r="I60" s="273"/>
      <c r="J60" s="273"/>
      <c r="K60" s="273"/>
      <c r="L60" s="273"/>
      <c r="M60" s="273"/>
      <c r="N60" s="273"/>
      <c r="O60" s="273"/>
      <c r="P60" s="273"/>
      <c r="Q60" s="273"/>
      <c r="R60" s="273"/>
      <c r="S60" s="273"/>
      <c r="T60" s="273"/>
      <c r="U60" s="273"/>
      <c r="V60" s="273"/>
      <c r="W60" s="273"/>
      <c r="X60" s="273"/>
      <c r="Y60" s="273"/>
      <c r="Z60" s="273"/>
      <c r="AA60" s="273"/>
      <c r="AB60" s="273"/>
      <c r="AC60" s="273"/>
      <c r="AD60" s="273"/>
      <c r="AE60" s="273"/>
      <c r="AF60" s="273"/>
      <c r="AG60" s="273"/>
      <c r="AH60" s="273"/>
      <c r="AI60" s="273"/>
      <c r="AJ60" s="273"/>
      <c r="AK60" s="273"/>
      <c r="AL60" s="273"/>
      <c r="AM60" s="273"/>
      <c r="AN60" s="273"/>
      <c r="AO60" s="273"/>
      <c r="AP60" s="273"/>
      <c r="AQ60" s="273"/>
      <c r="AR60" s="273"/>
      <c r="AS60" s="273"/>
      <c r="AT60" s="273"/>
      <c r="AU60" s="273"/>
      <c r="AV60" s="273"/>
      <c r="AW60" s="273"/>
      <c r="AX60" s="273"/>
      <c r="AY60" s="273"/>
      <c r="AZ60" s="273"/>
      <c r="BA60" s="273"/>
      <c r="BB60" s="273"/>
      <c r="BC60" s="273"/>
      <c r="BD60" s="273"/>
      <c r="BE60" s="273"/>
      <c r="BF60" s="273"/>
      <c r="BG60" s="273"/>
      <c r="BH60" s="273"/>
      <c r="BI60" s="273"/>
      <c r="BJ60" s="273"/>
      <c r="BK60" s="273"/>
      <c r="BL60" s="273"/>
      <c r="BM60" s="273"/>
      <c r="BN60" s="273"/>
      <c r="BO60" s="273"/>
      <c r="BP60" s="273"/>
      <c r="BQ60" s="273"/>
      <c r="BR60" s="273"/>
      <c r="BS60" s="273"/>
      <c r="BT60" s="273"/>
      <c r="BU60" s="273"/>
      <c r="BV60" s="273"/>
      <c r="BW60" s="273"/>
      <c r="BX60" s="273"/>
      <c r="BY60" s="273"/>
      <c r="BZ60" s="273"/>
      <c r="CA60" s="273"/>
      <c r="CB60" s="273"/>
      <c r="CC60" s="273"/>
      <c r="CD60" s="273"/>
      <c r="CE60" s="273"/>
      <c r="CF60" s="273"/>
      <c r="CG60" s="273"/>
      <c r="CH60" s="273"/>
      <c r="CI60" s="273"/>
      <c r="CJ60" s="273"/>
      <c r="CK60" s="273"/>
      <c r="CL60" s="273"/>
      <c r="CM60" s="273"/>
      <c r="CN60" s="273"/>
      <c r="CO60" s="273"/>
      <c r="CP60" s="273"/>
      <c r="CQ60" s="273"/>
      <c r="CR60" s="273"/>
      <c r="CS60" s="273"/>
      <c r="CT60" s="273"/>
      <c r="CU60" s="273"/>
      <c r="CV60" s="273"/>
      <c r="CW60" s="273"/>
      <c r="CX60" s="273"/>
      <c r="CY60" s="273"/>
      <c r="CZ60" s="273"/>
      <c r="DA60" s="273"/>
      <c r="DB60" s="273"/>
      <c r="DC60" s="273"/>
      <c r="DD60" s="273"/>
      <c r="DE60" s="273"/>
      <c r="DF60" s="273"/>
      <c r="DG60" s="273"/>
      <c r="DH60" s="273"/>
      <c r="DI60" s="273"/>
      <c r="DJ60" s="273"/>
      <c r="DK60" s="273"/>
      <c r="DL60" s="273"/>
      <c r="DM60" s="273"/>
      <c r="DN60" s="273"/>
      <c r="DO60" s="273"/>
      <c r="DP60" s="273"/>
      <c r="DQ60" s="273"/>
      <c r="DR60" s="273"/>
      <c r="DS60" s="273"/>
      <c r="DT60" s="273"/>
      <c r="DU60" s="273"/>
      <c r="DV60" s="273"/>
      <c r="DW60" s="273"/>
      <c r="DX60" s="273"/>
      <c r="DY60" s="273"/>
      <c r="DZ60" s="273"/>
      <c r="EA60" s="273"/>
      <c r="EB60" s="273"/>
      <c r="EC60" s="273"/>
      <c r="ED60" s="273"/>
      <c r="EE60" s="273"/>
      <c r="EF60" s="273"/>
      <c r="EG60" s="273"/>
      <c r="EH60" s="273"/>
      <c r="EI60" s="273"/>
      <c r="EJ60" s="273"/>
      <c r="EK60" s="273"/>
      <c r="EL60" s="273"/>
      <c r="EM60" s="273"/>
      <c r="EN60" s="273"/>
      <c r="EO60" s="273"/>
      <c r="EP60" s="273"/>
      <c r="EQ60" s="273"/>
      <c r="ER60" s="273"/>
      <c r="ES60" s="273"/>
      <c r="ET60" s="273"/>
      <c r="EU60" s="273"/>
      <c r="EV60" s="273"/>
      <c r="EW60" s="273"/>
      <c r="EX60" s="273"/>
      <c r="EY60" s="273"/>
      <c r="EZ60" s="273"/>
      <c r="FA60" s="273"/>
      <c r="FB60" s="273"/>
      <c r="FC60" s="273"/>
      <c r="FD60" s="273"/>
      <c r="FE60" s="273"/>
      <c r="FF60" s="273"/>
      <c r="FG60" s="273"/>
      <c r="FH60" s="273"/>
      <c r="FI60" s="273"/>
      <c r="FJ60" s="273"/>
      <c r="FK60" s="273"/>
      <c r="FL60" s="273"/>
      <c r="FM60" s="273"/>
      <c r="FN60" s="273"/>
      <c r="FO60" s="273"/>
      <c r="FP60" s="273"/>
      <c r="FQ60" s="273"/>
      <c r="FR60" s="273"/>
      <c r="FS60" s="273"/>
      <c r="FT60" s="273"/>
      <c r="FU60" s="273"/>
      <c r="FV60" s="273"/>
      <c r="FW60" s="273"/>
      <c r="FX60" s="273"/>
      <c r="FY60" s="273"/>
      <c r="FZ60" s="273"/>
      <c r="GA60" s="273"/>
      <c r="GB60" s="273"/>
      <c r="GC60" s="273"/>
      <c r="GD60" s="273"/>
      <c r="GE60" s="273"/>
      <c r="GF60" s="273"/>
      <c r="GG60" s="273"/>
      <c r="GH60" s="273"/>
      <c r="GI60" s="273"/>
      <c r="GJ60" s="273"/>
      <c r="GK60" s="273"/>
      <c r="GL60" s="273"/>
      <c r="GM60" s="273"/>
      <c r="GN60" s="273"/>
      <c r="GO60" s="273"/>
      <c r="GP60" s="273"/>
      <c r="GQ60" s="273"/>
      <c r="GR60" s="273"/>
    </row>
    <row r="61" spans="1:200">
      <c r="F61"/>
      <c r="G61" s="273"/>
      <c r="H61" s="273"/>
      <c r="I61" s="273"/>
      <c r="J61" s="273"/>
      <c r="K61" s="273"/>
      <c r="L61" s="273"/>
      <c r="M61" s="273"/>
      <c r="N61" s="273"/>
      <c r="O61" s="273"/>
      <c r="P61" s="273"/>
      <c r="Q61" s="273"/>
      <c r="R61" s="273"/>
      <c r="S61" s="273"/>
      <c r="T61" s="273"/>
      <c r="U61" s="273"/>
      <c r="V61" s="273"/>
      <c r="W61" s="273"/>
      <c r="X61" s="273"/>
      <c r="Y61" s="273"/>
      <c r="Z61" s="273"/>
      <c r="AA61" s="273"/>
      <c r="AB61" s="273"/>
      <c r="AC61" s="273"/>
      <c r="AD61" s="273"/>
      <c r="AE61" s="273"/>
      <c r="AF61" s="273"/>
      <c r="AG61" s="273"/>
      <c r="AH61" s="273"/>
      <c r="AI61" s="273"/>
      <c r="AJ61" s="273"/>
      <c r="AK61" s="273"/>
      <c r="AL61" s="273"/>
      <c r="AM61" s="273"/>
      <c r="AN61" s="273"/>
      <c r="AO61" s="273"/>
      <c r="AP61" s="273"/>
      <c r="AQ61" s="273"/>
      <c r="AR61" s="273"/>
      <c r="AS61" s="273"/>
      <c r="AT61" s="273"/>
      <c r="AU61" s="273"/>
      <c r="AV61" s="273"/>
      <c r="AW61" s="273"/>
      <c r="AX61" s="273"/>
      <c r="AY61" s="273"/>
      <c r="AZ61" s="273"/>
      <c r="BA61" s="273"/>
      <c r="BB61" s="273"/>
      <c r="BC61" s="273"/>
      <c r="BD61" s="273"/>
      <c r="BE61" s="273"/>
      <c r="BF61" s="273"/>
      <c r="BG61" s="273"/>
      <c r="BH61" s="273"/>
      <c r="BI61" s="273"/>
      <c r="BJ61" s="273"/>
      <c r="BK61" s="273"/>
      <c r="BL61" s="273"/>
      <c r="BM61" s="273"/>
      <c r="BN61" s="273"/>
      <c r="BO61" s="273"/>
      <c r="BP61" s="273"/>
      <c r="BQ61" s="273"/>
      <c r="BR61" s="273"/>
      <c r="BS61" s="273"/>
      <c r="BT61" s="273"/>
      <c r="BU61" s="273"/>
      <c r="BV61" s="273"/>
      <c r="BW61" s="273"/>
      <c r="BX61" s="273"/>
      <c r="BY61" s="273"/>
      <c r="BZ61" s="273"/>
      <c r="CA61" s="273"/>
      <c r="CB61" s="273"/>
      <c r="CC61" s="273"/>
      <c r="CD61" s="273"/>
      <c r="CE61" s="273"/>
      <c r="CF61" s="273"/>
      <c r="CG61" s="273"/>
      <c r="CH61" s="273"/>
      <c r="CI61" s="273"/>
      <c r="CJ61" s="273"/>
      <c r="CK61" s="273"/>
      <c r="CL61" s="273"/>
      <c r="CM61" s="273"/>
      <c r="CN61" s="273"/>
      <c r="CO61" s="273"/>
      <c r="CP61" s="273"/>
      <c r="CQ61" s="273"/>
      <c r="CR61" s="273"/>
      <c r="CS61" s="273"/>
      <c r="CT61" s="273"/>
      <c r="CU61" s="273"/>
      <c r="CV61" s="273"/>
      <c r="CW61" s="273"/>
      <c r="CX61" s="273"/>
      <c r="CY61" s="273"/>
      <c r="CZ61" s="273"/>
      <c r="DA61" s="273"/>
      <c r="DB61" s="273"/>
      <c r="DC61" s="273"/>
      <c r="DD61" s="273"/>
      <c r="DE61" s="273"/>
      <c r="DF61" s="273"/>
      <c r="DG61" s="273"/>
      <c r="DH61" s="273"/>
      <c r="DI61" s="273"/>
      <c r="DJ61" s="273"/>
      <c r="DK61" s="273"/>
      <c r="DL61" s="273"/>
      <c r="DM61" s="273"/>
      <c r="DN61" s="273"/>
      <c r="DO61" s="273"/>
      <c r="DP61" s="273"/>
      <c r="DQ61" s="273"/>
      <c r="DR61" s="273"/>
      <c r="DS61" s="273"/>
      <c r="DT61" s="273"/>
      <c r="DU61" s="273"/>
      <c r="DV61" s="273"/>
      <c r="DW61" s="273"/>
      <c r="DX61" s="273"/>
      <c r="DY61" s="273"/>
      <c r="DZ61" s="273"/>
      <c r="EA61" s="273"/>
      <c r="EB61" s="273"/>
      <c r="EC61" s="273"/>
      <c r="ED61" s="273"/>
      <c r="EE61" s="273"/>
      <c r="EF61" s="273"/>
      <c r="EG61" s="273"/>
      <c r="EH61" s="273"/>
      <c r="EI61" s="273"/>
      <c r="EJ61" s="273"/>
      <c r="EK61" s="273"/>
      <c r="EL61" s="273"/>
      <c r="EM61" s="273"/>
      <c r="EN61" s="273"/>
      <c r="EO61" s="273"/>
      <c r="EP61" s="273"/>
      <c r="EQ61" s="273"/>
      <c r="ER61" s="273"/>
      <c r="ES61" s="273"/>
      <c r="ET61" s="273"/>
      <c r="EU61" s="273"/>
      <c r="EV61" s="273"/>
      <c r="EW61" s="273"/>
      <c r="EX61" s="273"/>
      <c r="EY61" s="273"/>
      <c r="EZ61" s="273"/>
      <c r="FA61" s="273"/>
      <c r="FB61" s="273"/>
      <c r="FC61" s="273"/>
      <c r="FD61" s="273"/>
      <c r="FE61" s="273"/>
      <c r="FF61" s="273"/>
      <c r="FG61" s="273"/>
      <c r="FH61" s="273"/>
      <c r="FI61" s="273"/>
      <c r="FJ61" s="273"/>
      <c r="FK61" s="273"/>
      <c r="FL61" s="273"/>
      <c r="FM61" s="273"/>
      <c r="FN61" s="273"/>
      <c r="FO61" s="273"/>
      <c r="FP61" s="273"/>
      <c r="FQ61" s="273"/>
      <c r="FR61" s="273"/>
      <c r="FS61" s="273"/>
      <c r="FT61" s="273"/>
      <c r="FU61" s="273"/>
      <c r="FV61" s="273"/>
      <c r="FW61" s="273"/>
      <c r="FX61" s="273"/>
      <c r="FY61" s="273"/>
      <c r="FZ61" s="273"/>
      <c r="GA61" s="273"/>
      <c r="GB61" s="273"/>
      <c r="GC61" s="273"/>
      <c r="GD61" s="273"/>
      <c r="GE61" s="273"/>
      <c r="GF61" s="273"/>
      <c r="GG61" s="273"/>
      <c r="GH61" s="273"/>
      <c r="GI61" s="273"/>
      <c r="GJ61" s="273"/>
      <c r="GK61" s="273"/>
      <c r="GL61" s="273"/>
      <c r="GM61" s="273"/>
      <c r="GN61" s="273"/>
      <c r="GO61" s="273"/>
      <c r="GP61" s="273"/>
      <c r="GQ61" s="273"/>
      <c r="GR61" s="273"/>
    </row>
    <row r="62" spans="1:200"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</row>
    <row r="63" spans="1:200"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</row>
    <row r="64" spans="1:200"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</row>
    <row r="65" spans="6:200">
      <c r="F65"/>
      <c r="G65" s="263"/>
      <c r="H65" s="263"/>
      <c r="I65" s="263"/>
      <c r="J65" s="263"/>
      <c r="K65" s="263"/>
      <c r="L65" s="263"/>
      <c r="M65" s="263"/>
      <c r="N65" s="263"/>
      <c r="O65" s="263"/>
      <c r="P65" s="263"/>
      <c r="Q65" s="263"/>
      <c r="R65" s="263"/>
      <c r="S65" s="263"/>
      <c r="T65" s="263"/>
      <c r="U65" s="263"/>
      <c r="V65" s="263"/>
      <c r="W65" s="263"/>
      <c r="X65" s="263"/>
      <c r="Y65" s="263"/>
      <c r="Z65" s="263"/>
      <c r="AA65" s="263"/>
      <c r="AB65" s="263"/>
      <c r="AC65" s="263"/>
      <c r="AD65" s="263"/>
      <c r="AE65" s="263"/>
      <c r="AF65" s="263"/>
      <c r="AG65" s="263"/>
      <c r="AH65" s="263"/>
      <c r="AI65" s="263"/>
      <c r="AJ65" s="263"/>
      <c r="AK65" s="263"/>
      <c r="AL65" s="263"/>
      <c r="AM65" s="263"/>
      <c r="AN65" s="263"/>
      <c r="AO65" s="263"/>
      <c r="AP65" s="263"/>
      <c r="AQ65" s="263"/>
      <c r="AR65" s="263"/>
      <c r="AS65" s="263"/>
      <c r="AT65" s="263"/>
      <c r="AU65" s="263"/>
      <c r="AV65" s="263"/>
      <c r="AW65" s="263"/>
      <c r="AX65" s="263"/>
      <c r="AY65" s="263"/>
      <c r="AZ65" s="263"/>
      <c r="BA65" s="263"/>
      <c r="BB65" s="263"/>
      <c r="BC65" s="263"/>
      <c r="BD65" s="263"/>
      <c r="BE65" s="263"/>
      <c r="BF65" s="263"/>
      <c r="BG65" s="263"/>
      <c r="BH65" s="263"/>
      <c r="BI65" s="263"/>
      <c r="BJ65" s="263"/>
      <c r="BK65" s="263"/>
      <c r="BL65" s="263"/>
      <c r="BM65" s="263"/>
      <c r="BN65" s="263"/>
      <c r="BO65" s="263"/>
      <c r="BP65" s="263"/>
      <c r="BQ65" s="263"/>
      <c r="BR65" s="263"/>
      <c r="BS65" s="263"/>
      <c r="BT65" s="263"/>
      <c r="BU65" s="263"/>
      <c r="BV65" s="263"/>
      <c r="BW65" s="263"/>
      <c r="BX65" s="263"/>
      <c r="BY65" s="263"/>
      <c r="BZ65" s="263"/>
      <c r="CA65" s="263"/>
      <c r="CB65" s="263"/>
      <c r="CC65" s="263"/>
      <c r="CD65" s="263"/>
      <c r="CE65" s="263"/>
      <c r="CF65" s="263"/>
      <c r="CG65" s="263"/>
      <c r="CH65" s="263"/>
      <c r="CI65" s="263"/>
      <c r="CJ65" s="263"/>
      <c r="CK65" s="263"/>
      <c r="CL65" s="263"/>
      <c r="CM65" s="263"/>
      <c r="CN65" s="263"/>
      <c r="CO65" s="263"/>
      <c r="CP65" s="263"/>
      <c r="CQ65" s="263"/>
      <c r="CR65" s="263"/>
      <c r="CS65" s="263"/>
      <c r="CT65" s="263"/>
      <c r="CU65" s="263"/>
      <c r="CV65" s="263"/>
      <c r="CW65" s="263"/>
      <c r="CX65" s="263"/>
      <c r="CY65" s="263"/>
      <c r="CZ65" s="263"/>
      <c r="DA65" s="263"/>
      <c r="DB65" s="263"/>
      <c r="DC65" s="263"/>
      <c r="DD65" s="263"/>
      <c r="DE65" s="263"/>
      <c r="DF65" s="263"/>
      <c r="DG65" s="263"/>
      <c r="DH65" s="263"/>
      <c r="DI65" s="263"/>
      <c r="DJ65" s="263"/>
      <c r="DK65" s="263"/>
      <c r="DL65" s="263"/>
      <c r="DM65" s="263"/>
      <c r="DN65" s="263"/>
      <c r="DO65" s="263"/>
      <c r="DP65" s="263"/>
      <c r="DQ65" s="263"/>
      <c r="DR65" s="263"/>
      <c r="DS65" s="263"/>
      <c r="DT65" s="263"/>
      <c r="DU65" s="263"/>
      <c r="DV65" s="263"/>
      <c r="DW65" s="263"/>
      <c r="DX65" s="263"/>
      <c r="DY65" s="263"/>
      <c r="DZ65" s="263"/>
      <c r="EA65" s="263"/>
      <c r="EB65" s="263"/>
      <c r="EC65" s="263"/>
      <c r="ED65" s="263"/>
      <c r="EE65" s="263"/>
      <c r="EF65" s="263"/>
      <c r="EG65" s="263"/>
      <c r="EH65" s="263"/>
      <c r="EI65" s="263"/>
      <c r="EJ65" s="263"/>
      <c r="EK65" s="263"/>
      <c r="EL65" s="263"/>
      <c r="EM65" s="263"/>
      <c r="EN65" s="263"/>
      <c r="EO65" s="263"/>
      <c r="EP65" s="263"/>
      <c r="EQ65" s="263"/>
      <c r="ER65" s="263"/>
      <c r="ES65" s="263"/>
      <c r="ET65" s="263"/>
      <c r="EU65" s="263"/>
      <c r="EV65" s="263"/>
      <c r="EW65" s="263"/>
      <c r="EX65" s="263"/>
      <c r="EY65" s="263"/>
      <c r="EZ65" s="263"/>
      <c r="FA65" s="263"/>
      <c r="FB65" s="263"/>
      <c r="FC65" s="263"/>
      <c r="FD65" s="263"/>
      <c r="FE65" s="263"/>
      <c r="FF65" s="263"/>
      <c r="FG65" s="263"/>
      <c r="FH65" s="263"/>
      <c r="FI65" s="263"/>
      <c r="FJ65" s="263"/>
      <c r="FK65" s="263"/>
      <c r="FL65" s="263"/>
      <c r="FM65" s="263"/>
      <c r="FN65" s="263"/>
      <c r="FO65" s="263"/>
      <c r="FP65" s="263"/>
      <c r="FQ65" s="263"/>
      <c r="FR65" s="263"/>
      <c r="FS65" s="263"/>
      <c r="FT65" s="263"/>
      <c r="FU65" s="263"/>
      <c r="FV65" s="263"/>
      <c r="FW65" s="263"/>
      <c r="FX65" s="263"/>
      <c r="FY65" s="263"/>
      <c r="FZ65" s="263"/>
      <c r="GA65" s="263"/>
      <c r="GB65" s="263"/>
      <c r="GC65" s="263"/>
      <c r="GD65" s="263"/>
      <c r="GE65" s="263"/>
      <c r="GF65" s="263"/>
      <c r="GG65" s="263"/>
      <c r="GH65" s="263"/>
      <c r="GI65" s="263"/>
      <c r="GJ65" s="263"/>
      <c r="GK65" s="263"/>
      <c r="GL65" s="263"/>
      <c r="GM65" s="263"/>
      <c r="GN65" s="263"/>
      <c r="GO65" s="263"/>
      <c r="GP65" s="263"/>
      <c r="GQ65" s="263"/>
      <c r="GR65" s="263"/>
    </row>
    <row r="66" spans="6:200">
      <c r="F66"/>
      <c r="G66" s="263"/>
      <c r="H66" s="263"/>
      <c r="I66" s="263"/>
      <c r="J66" s="263"/>
      <c r="K66" s="263"/>
      <c r="L66" s="263"/>
      <c r="M66" s="263"/>
      <c r="N66" s="263"/>
      <c r="O66" s="263"/>
      <c r="P66" s="263"/>
      <c r="Q66" s="263"/>
      <c r="R66" s="263"/>
      <c r="S66" s="263"/>
      <c r="T66" s="263"/>
      <c r="U66" s="263"/>
      <c r="V66" s="263"/>
      <c r="W66" s="263"/>
      <c r="X66" s="263"/>
      <c r="Y66" s="263"/>
      <c r="Z66" s="263"/>
      <c r="AA66" s="263"/>
      <c r="AB66" s="263"/>
      <c r="AC66" s="263"/>
      <c r="AD66" s="263"/>
      <c r="AE66" s="263"/>
      <c r="AF66" s="263"/>
      <c r="AG66" s="263"/>
      <c r="AH66" s="263"/>
      <c r="AI66" s="263"/>
      <c r="AJ66" s="263"/>
      <c r="AK66" s="263"/>
      <c r="AL66" s="263"/>
      <c r="AM66" s="263"/>
      <c r="AN66" s="263"/>
      <c r="AO66" s="263"/>
      <c r="AP66" s="263"/>
      <c r="AQ66" s="263"/>
      <c r="AR66" s="263"/>
      <c r="AS66" s="263"/>
      <c r="AT66" s="263"/>
      <c r="AU66" s="263"/>
      <c r="AV66" s="263"/>
      <c r="AW66" s="263"/>
      <c r="AX66" s="263"/>
      <c r="AY66" s="263"/>
      <c r="AZ66" s="263"/>
      <c r="BA66" s="263"/>
      <c r="BB66" s="263"/>
      <c r="BC66" s="263"/>
      <c r="BD66" s="263"/>
      <c r="BE66" s="263"/>
      <c r="BF66" s="263"/>
      <c r="BG66" s="263"/>
      <c r="BH66" s="263"/>
      <c r="BI66" s="263"/>
      <c r="BJ66" s="263"/>
      <c r="BK66" s="263"/>
      <c r="BL66" s="263"/>
      <c r="BM66" s="263"/>
      <c r="BN66" s="263"/>
      <c r="BO66" s="263"/>
      <c r="BP66" s="263"/>
      <c r="BQ66" s="263"/>
      <c r="BR66" s="263"/>
      <c r="BS66" s="263"/>
      <c r="BT66" s="263"/>
      <c r="BU66" s="263"/>
      <c r="BV66" s="263"/>
      <c r="BW66" s="263"/>
      <c r="BX66" s="263"/>
      <c r="BY66" s="263"/>
      <c r="BZ66" s="263"/>
      <c r="CA66" s="263"/>
      <c r="CB66" s="263"/>
      <c r="CC66" s="263"/>
      <c r="CD66" s="263"/>
      <c r="CE66" s="263"/>
      <c r="CF66" s="263"/>
      <c r="CG66" s="263"/>
      <c r="CH66" s="263"/>
      <c r="CI66" s="263"/>
      <c r="CJ66" s="263"/>
      <c r="CK66" s="263"/>
      <c r="CL66" s="263"/>
      <c r="CM66" s="263"/>
      <c r="CN66" s="263"/>
      <c r="CO66" s="263"/>
      <c r="CP66" s="263"/>
      <c r="CQ66" s="263"/>
      <c r="CR66" s="263"/>
      <c r="CS66" s="263"/>
      <c r="CT66" s="263"/>
      <c r="CU66" s="263"/>
      <c r="CV66" s="263"/>
      <c r="CW66" s="263"/>
      <c r="CX66" s="263"/>
      <c r="CY66" s="263"/>
      <c r="CZ66" s="263"/>
      <c r="DA66" s="263"/>
      <c r="DB66" s="263"/>
      <c r="DC66" s="263"/>
      <c r="DD66" s="263"/>
      <c r="DE66" s="263"/>
      <c r="DF66" s="263"/>
      <c r="DG66" s="263"/>
      <c r="DH66" s="263"/>
      <c r="DI66" s="263"/>
      <c r="DJ66" s="263"/>
      <c r="DK66" s="263"/>
      <c r="DL66" s="263"/>
      <c r="DM66" s="263"/>
      <c r="DN66" s="263"/>
      <c r="DO66" s="263"/>
      <c r="DP66" s="263"/>
      <c r="DQ66" s="263"/>
      <c r="DR66" s="263"/>
      <c r="DS66" s="263"/>
      <c r="DT66" s="263"/>
      <c r="DU66" s="263"/>
      <c r="DV66" s="263"/>
      <c r="DW66" s="263"/>
      <c r="DX66" s="263"/>
      <c r="DY66" s="263"/>
      <c r="DZ66" s="263"/>
      <c r="EA66" s="263"/>
      <c r="EB66" s="263"/>
      <c r="EC66" s="263"/>
      <c r="ED66" s="263"/>
      <c r="EE66" s="263"/>
      <c r="EF66" s="263"/>
      <c r="EG66" s="263"/>
      <c r="EH66" s="263"/>
      <c r="EI66" s="263"/>
      <c r="EJ66" s="263"/>
      <c r="EK66" s="263"/>
      <c r="EL66" s="263"/>
      <c r="EM66" s="263"/>
      <c r="EN66" s="263"/>
      <c r="EO66" s="263"/>
      <c r="EP66" s="263"/>
      <c r="EQ66" s="263"/>
      <c r="ER66" s="263"/>
      <c r="ES66" s="263"/>
      <c r="ET66" s="263"/>
      <c r="EU66" s="263"/>
      <c r="EV66" s="263"/>
      <c r="EW66" s="263"/>
      <c r="EX66" s="263"/>
      <c r="EY66" s="263"/>
      <c r="EZ66" s="263"/>
      <c r="FA66" s="263"/>
      <c r="FB66" s="263"/>
      <c r="FC66" s="263"/>
      <c r="FD66" s="263"/>
      <c r="FE66" s="263"/>
      <c r="FF66" s="263"/>
      <c r="FG66" s="263"/>
      <c r="FH66" s="263"/>
      <c r="FI66" s="263"/>
      <c r="FJ66" s="263"/>
      <c r="FK66" s="263"/>
      <c r="FL66" s="263"/>
      <c r="FM66" s="263"/>
      <c r="FN66" s="263"/>
      <c r="FO66" s="263"/>
      <c r="FP66" s="263"/>
      <c r="FQ66" s="263"/>
      <c r="FR66" s="263"/>
      <c r="FS66" s="263"/>
      <c r="FT66" s="263"/>
      <c r="FU66" s="263"/>
      <c r="FV66" s="263"/>
      <c r="FW66" s="263"/>
      <c r="FX66" s="263"/>
      <c r="FY66" s="263"/>
      <c r="FZ66" s="263"/>
      <c r="GA66" s="263"/>
      <c r="GB66" s="263"/>
      <c r="GC66" s="263"/>
      <c r="GD66" s="263"/>
      <c r="GE66" s="263"/>
      <c r="GF66" s="263"/>
      <c r="GG66" s="263"/>
      <c r="GH66" s="263"/>
      <c r="GI66" s="263"/>
      <c r="GJ66" s="263"/>
      <c r="GK66" s="263"/>
      <c r="GL66" s="263"/>
      <c r="GM66" s="263"/>
      <c r="GN66" s="263"/>
      <c r="GO66" s="263"/>
      <c r="GP66" s="263"/>
      <c r="GQ66" s="263"/>
      <c r="GR66" s="263"/>
    </row>
    <row r="67" spans="6:200" s="217" customFormat="1">
      <c r="G67" s="263"/>
      <c r="H67" s="263"/>
      <c r="I67" s="263"/>
      <c r="J67" s="263"/>
      <c r="K67" s="263"/>
      <c r="L67" s="263"/>
      <c r="M67" s="263"/>
      <c r="N67" s="263"/>
      <c r="O67" s="263"/>
      <c r="P67" s="263"/>
      <c r="Q67" s="263"/>
      <c r="R67" s="263"/>
      <c r="S67" s="263"/>
      <c r="T67" s="263"/>
      <c r="U67" s="263"/>
      <c r="V67" s="263"/>
      <c r="W67" s="263"/>
      <c r="X67" s="263"/>
      <c r="Y67" s="263"/>
      <c r="Z67" s="263"/>
      <c r="AA67" s="263"/>
      <c r="AB67" s="263"/>
      <c r="AC67" s="263"/>
      <c r="AD67" s="263"/>
      <c r="AE67" s="263"/>
      <c r="AF67" s="263"/>
      <c r="AG67" s="263"/>
      <c r="AH67" s="263"/>
      <c r="AI67" s="263"/>
      <c r="AJ67" s="263"/>
      <c r="AK67" s="263"/>
      <c r="AL67" s="263"/>
      <c r="AM67" s="263"/>
      <c r="AN67" s="263"/>
      <c r="AO67" s="263"/>
      <c r="AP67" s="263"/>
      <c r="AQ67" s="263"/>
      <c r="AR67" s="263"/>
      <c r="AS67" s="263"/>
      <c r="AT67" s="263"/>
      <c r="AU67" s="263"/>
      <c r="AV67" s="263"/>
      <c r="AW67" s="263"/>
      <c r="AX67" s="263"/>
      <c r="AY67" s="263"/>
      <c r="AZ67" s="263"/>
      <c r="BA67" s="263"/>
      <c r="BB67" s="263"/>
      <c r="BC67" s="263"/>
      <c r="BD67" s="263"/>
      <c r="BE67" s="263"/>
      <c r="BF67" s="263"/>
      <c r="BG67" s="263"/>
      <c r="BH67" s="263"/>
      <c r="BI67" s="263"/>
      <c r="BJ67" s="263"/>
      <c r="BK67" s="263"/>
      <c r="BL67" s="263"/>
      <c r="BM67" s="263"/>
      <c r="BN67" s="263"/>
      <c r="BO67" s="263"/>
      <c r="BP67" s="263"/>
      <c r="BQ67" s="263"/>
      <c r="BR67" s="263"/>
      <c r="BS67" s="263"/>
      <c r="BT67" s="263"/>
      <c r="BU67" s="263"/>
      <c r="BV67" s="263"/>
      <c r="BW67" s="263"/>
      <c r="BX67" s="263"/>
      <c r="BY67" s="263"/>
      <c r="BZ67" s="263"/>
      <c r="CA67" s="263"/>
      <c r="CB67" s="263"/>
      <c r="CC67" s="263"/>
      <c r="CD67" s="263"/>
      <c r="CE67" s="263"/>
      <c r="CF67" s="263"/>
      <c r="CG67" s="263"/>
      <c r="CH67" s="263"/>
      <c r="CI67" s="263"/>
      <c r="CJ67" s="263"/>
      <c r="CK67" s="263"/>
      <c r="CL67" s="263"/>
      <c r="CM67" s="263"/>
      <c r="CN67" s="263"/>
      <c r="CO67" s="263"/>
      <c r="CP67" s="263"/>
      <c r="CQ67" s="263"/>
      <c r="CR67" s="263"/>
      <c r="CS67" s="263"/>
      <c r="CT67" s="263"/>
      <c r="CU67" s="263"/>
      <c r="CV67" s="263"/>
      <c r="CW67" s="263"/>
      <c r="CX67" s="263"/>
      <c r="CY67" s="263"/>
      <c r="CZ67" s="263"/>
      <c r="DA67" s="263"/>
      <c r="DB67" s="263"/>
      <c r="DC67" s="263"/>
      <c r="DD67" s="263"/>
      <c r="DE67" s="263"/>
      <c r="DF67" s="263"/>
      <c r="DG67" s="263"/>
      <c r="DH67" s="263"/>
      <c r="DI67" s="263"/>
      <c r="DJ67" s="263"/>
      <c r="DK67" s="263"/>
      <c r="DL67" s="263"/>
      <c r="DM67" s="263"/>
      <c r="DN67" s="263"/>
      <c r="DO67" s="263"/>
      <c r="DP67" s="263"/>
      <c r="DQ67" s="263"/>
      <c r="DR67" s="263"/>
      <c r="DS67" s="263"/>
      <c r="DT67" s="263"/>
      <c r="DU67" s="263"/>
      <c r="DV67" s="263"/>
      <c r="DW67" s="263"/>
      <c r="DX67" s="263"/>
      <c r="DY67" s="263"/>
      <c r="DZ67" s="263"/>
      <c r="EA67" s="263"/>
      <c r="EB67" s="263"/>
      <c r="EC67" s="263"/>
      <c r="ED67" s="263"/>
      <c r="EE67" s="263"/>
      <c r="EF67" s="263"/>
      <c r="EG67" s="263"/>
      <c r="EH67" s="263"/>
      <c r="EI67" s="263"/>
      <c r="EJ67" s="263"/>
      <c r="EK67" s="263"/>
      <c r="EL67" s="263"/>
      <c r="EM67" s="263"/>
      <c r="EN67" s="263"/>
      <c r="EO67" s="263"/>
      <c r="EP67" s="263"/>
      <c r="EQ67" s="263"/>
      <c r="ER67" s="263"/>
      <c r="ES67" s="263"/>
      <c r="ET67" s="263"/>
      <c r="EU67" s="263"/>
      <c r="EV67" s="263"/>
      <c r="EW67" s="263"/>
      <c r="EX67" s="263"/>
      <c r="EY67" s="263"/>
      <c r="EZ67" s="263"/>
      <c r="FA67" s="263"/>
      <c r="FB67" s="263"/>
      <c r="FC67" s="263"/>
      <c r="FD67" s="263"/>
      <c r="FE67" s="263"/>
      <c r="FF67" s="263"/>
      <c r="FG67" s="263"/>
      <c r="FH67" s="263"/>
      <c r="FI67" s="263"/>
      <c r="FJ67" s="263"/>
      <c r="FK67" s="263"/>
      <c r="FL67" s="263"/>
      <c r="FM67" s="263"/>
      <c r="FN67" s="263"/>
      <c r="FO67" s="263"/>
      <c r="FP67" s="263"/>
      <c r="FQ67" s="263"/>
      <c r="FR67" s="263"/>
      <c r="FS67" s="263"/>
      <c r="FT67" s="263"/>
      <c r="FU67" s="263"/>
      <c r="FV67" s="263"/>
      <c r="FW67" s="263"/>
      <c r="FX67" s="263"/>
      <c r="FY67" s="263"/>
      <c r="FZ67" s="263"/>
      <c r="GA67" s="263"/>
      <c r="GB67" s="263"/>
      <c r="GC67" s="263"/>
      <c r="GD67" s="263"/>
      <c r="GE67" s="263"/>
      <c r="GF67" s="263"/>
      <c r="GG67" s="263"/>
      <c r="GH67" s="263"/>
      <c r="GI67" s="263"/>
      <c r="GJ67" s="263"/>
      <c r="GK67" s="263"/>
      <c r="GL67" s="263"/>
      <c r="GM67" s="263"/>
      <c r="GN67" s="263"/>
      <c r="GO67" s="263"/>
      <c r="GP67" s="263"/>
      <c r="GQ67" s="263"/>
      <c r="GR67" s="263"/>
    </row>
    <row r="68" spans="6:200" s="217" customFormat="1">
      <c r="G68" s="263"/>
      <c r="H68" s="263"/>
      <c r="I68" s="263"/>
      <c r="J68" s="263"/>
      <c r="K68" s="263"/>
      <c r="L68" s="263"/>
      <c r="M68" s="263"/>
      <c r="N68" s="263"/>
      <c r="O68" s="263"/>
      <c r="P68" s="263"/>
      <c r="Q68" s="263"/>
      <c r="R68" s="263"/>
      <c r="S68" s="263"/>
      <c r="T68" s="263"/>
      <c r="U68" s="263"/>
      <c r="V68" s="263"/>
      <c r="W68" s="263"/>
      <c r="X68" s="263"/>
      <c r="Y68" s="263"/>
      <c r="Z68" s="263"/>
      <c r="AA68" s="263"/>
      <c r="AB68" s="263"/>
      <c r="AC68" s="263"/>
      <c r="AD68" s="263"/>
      <c r="AE68" s="263"/>
      <c r="AF68" s="263"/>
      <c r="AG68" s="263"/>
      <c r="AH68" s="263"/>
      <c r="AI68" s="263"/>
      <c r="AJ68" s="263"/>
      <c r="AK68" s="263"/>
      <c r="AL68" s="263"/>
      <c r="AM68" s="263"/>
      <c r="AN68" s="263"/>
      <c r="AO68" s="263"/>
      <c r="AP68" s="263"/>
      <c r="AQ68" s="263"/>
      <c r="AR68" s="263"/>
      <c r="AS68" s="263"/>
      <c r="AT68" s="263"/>
      <c r="AU68" s="263"/>
      <c r="AV68" s="263"/>
      <c r="AW68" s="263"/>
      <c r="AX68" s="263"/>
      <c r="AY68" s="263"/>
      <c r="AZ68" s="263"/>
      <c r="BA68" s="263"/>
      <c r="BB68" s="263"/>
      <c r="BC68" s="263"/>
      <c r="BD68" s="263"/>
      <c r="BE68" s="263"/>
      <c r="BF68" s="263"/>
      <c r="BG68" s="263"/>
      <c r="BH68" s="263"/>
      <c r="BI68" s="263"/>
      <c r="BJ68" s="263"/>
      <c r="BK68" s="263"/>
      <c r="BL68" s="263"/>
      <c r="BM68" s="263"/>
      <c r="BN68" s="263"/>
      <c r="BO68" s="263"/>
      <c r="BP68" s="263"/>
      <c r="BQ68" s="263"/>
      <c r="BR68" s="263"/>
      <c r="BS68" s="263"/>
      <c r="BT68" s="263"/>
      <c r="BU68" s="263"/>
      <c r="BV68" s="263"/>
      <c r="BW68" s="263"/>
      <c r="BX68" s="263"/>
      <c r="BY68" s="263"/>
      <c r="BZ68" s="263"/>
      <c r="CA68" s="263"/>
      <c r="CB68" s="263"/>
      <c r="CC68" s="263"/>
      <c r="CD68" s="263"/>
      <c r="CE68" s="263"/>
      <c r="CF68" s="263"/>
      <c r="CG68" s="263"/>
      <c r="CH68" s="263"/>
      <c r="CI68" s="263"/>
      <c r="CJ68" s="263"/>
      <c r="CK68" s="263"/>
      <c r="CL68" s="263"/>
      <c r="CM68" s="263"/>
      <c r="CN68" s="263"/>
      <c r="CO68" s="263"/>
      <c r="CP68" s="263"/>
      <c r="CQ68" s="263"/>
      <c r="CR68" s="263"/>
      <c r="CS68" s="263"/>
      <c r="CT68" s="263"/>
      <c r="CU68" s="263"/>
      <c r="CV68" s="263"/>
      <c r="CW68" s="263"/>
      <c r="CX68" s="263"/>
      <c r="CY68" s="263"/>
      <c r="CZ68" s="263"/>
      <c r="DA68" s="263"/>
      <c r="DB68" s="263"/>
      <c r="DC68" s="263"/>
      <c r="DD68" s="263"/>
      <c r="DE68" s="263"/>
      <c r="DF68" s="263"/>
      <c r="DG68" s="263"/>
      <c r="DH68" s="263"/>
      <c r="DI68" s="263"/>
      <c r="DJ68" s="263"/>
      <c r="DK68" s="263"/>
      <c r="DL68" s="263"/>
      <c r="DM68" s="263"/>
      <c r="DN68" s="263"/>
      <c r="DO68" s="263"/>
      <c r="DP68" s="263"/>
      <c r="DQ68" s="263"/>
      <c r="DR68" s="263"/>
      <c r="DS68" s="263"/>
      <c r="DT68" s="263"/>
      <c r="DU68" s="263"/>
      <c r="DV68" s="263"/>
      <c r="DW68" s="263"/>
      <c r="DX68" s="263"/>
      <c r="DY68" s="263"/>
      <c r="DZ68" s="263"/>
      <c r="EA68" s="263"/>
      <c r="EB68" s="263"/>
      <c r="EC68" s="263"/>
      <c r="ED68" s="263"/>
      <c r="EE68" s="263"/>
      <c r="EF68" s="263"/>
      <c r="EG68" s="263"/>
      <c r="EH68" s="263"/>
      <c r="EI68" s="263"/>
      <c r="EJ68" s="263"/>
      <c r="EK68" s="263"/>
      <c r="EL68" s="263"/>
      <c r="EM68" s="263"/>
      <c r="EN68" s="263"/>
      <c r="EO68" s="263"/>
      <c r="EP68" s="263"/>
      <c r="EQ68" s="263"/>
      <c r="ER68" s="263"/>
      <c r="ES68" s="263"/>
      <c r="ET68" s="263"/>
      <c r="EU68" s="263"/>
      <c r="EV68" s="263"/>
      <c r="EW68" s="263"/>
      <c r="EX68" s="263"/>
      <c r="EY68" s="263"/>
      <c r="EZ68" s="263"/>
      <c r="FA68" s="263"/>
      <c r="FB68" s="263"/>
      <c r="FC68" s="263"/>
      <c r="FD68" s="263"/>
      <c r="FE68" s="263"/>
      <c r="FF68" s="263"/>
      <c r="FG68" s="263"/>
      <c r="FH68" s="263"/>
      <c r="FI68" s="263"/>
      <c r="FJ68" s="263"/>
      <c r="FK68" s="263"/>
      <c r="FL68" s="263"/>
      <c r="FM68" s="263"/>
      <c r="FN68" s="263"/>
      <c r="FO68" s="263"/>
      <c r="FP68" s="263"/>
      <c r="FQ68" s="263"/>
      <c r="FR68" s="263"/>
      <c r="FS68" s="263"/>
      <c r="FT68" s="263"/>
      <c r="FU68" s="263"/>
      <c r="FV68" s="263"/>
      <c r="FW68" s="263"/>
      <c r="FX68" s="263"/>
      <c r="FY68" s="263"/>
      <c r="FZ68" s="263"/>
      <c r="GA68" s="263"/>
      <c r="GB68" s="263"/>
      <c r="GC68" s="263"/>
      <c r="GD68" s="263"/>
      <c r="GE68" s="263"/>
      <c r="GF68" s="263"/>
      <c r="GG68" s="263"/>
      <c r="GH68" s="263"/>
      <c r="GI68" s="263"/>
      <c r="GJ68" s="263"/>
      <c r="GK68" s="263"/>
      <c r="GL68" s="263"/>
      <c r="GM68" s="263"/>
      <c r="GN68" s="263"/>
      <c r="GO68" s="263"/>
      <c r="GP68" s="263"/>
      <c r="GQ68" s="263"/>
      <c r="GR68" s="263"/>
    </row>
    <row r="69" spans="6:200" s="217" customFormat="1">
      <c r="G69" s="263"/>
      <c r="H69" s="263"/>
      <c r="I69" s="263"/>
      <c r="J69" s="263"/>
      <c r="K69" s="263"/>
      <c r="L69" s="263"/>
      <c r="M69" s="263"/>
      <c r="N69" s="263"/>
      <c r="O69" s="263"/>
      <c r="P69" s="263"/>
      <c r="Q69" s="263"/>
      <c r="R69" s="263"/>
      <c r="S69" s="263"/>
      <c r="T69" s="263"/>
      <c r="U69" s="263"/>
      <c r="V69" s="263"/>
      <c r="W69" s="263"/>
      <c r="X69" s="263"/>
      <c r="Y69" s="263"/>
      <c r="Z69" s="263"/>
      <c r="AA69" s="263"/>
      <c r="AB69" s="263"/>
      <c r="AC69" s="263"/>
      <c r="AD69" s="263"/>
      <c r="AE69" s="263"/>
      <c r="AF69" s="263"/>
      <c r="AG69" s="263"/>
      <c r="AH69" s="263"/>
      <c r="AI69" s="263"/>
      <c r="AJ69" s="263"/>
      <c r="AK69" s="263"/>
      <c r="AL69" s="263"/>
      <c r="AM69" s="263"/>
      <c r="AN69" s="263"/>
      <c r="AO69" s="263"/>
      <c r="AP69" s="263"/>
      <c r="AQ69" s="263"/>
      <c r="AR69" s="263"/>
      <c r="AS69" s="263"/>
      <c r="AT69" s="263"/>
      <c r="AU69" s="263"/>
      <c r="AV69" s="263"/>
      <c r="AW69" s="263"/>
      <c r="AX69" s="263"/>
      <c r="AY69" s="263"/>
      <c r="AZ69" s="263"/>
      <c r="BA69" s="263"/>
      <c r="BB69" s="263"/>
      <c r="BC69" s="263"/>
      <c r="BD69" s="263"/>
      <c r="BE69" s="263"/>
      <c r="BF69" s="263"/>
      <c r="BG69" s="263"/>
      <c r="BH69" s="263"/>
      <c r="BI69" s="263"/>
      <c r="BJ69" s="263"/>
      <c r="BK69" s="263"/>
      <c r="BL69" s="263"/>
      <c r="BM69" s="263"/>
      <c r="BN69" s="263"/>
      <c r="BO69" s="263"/>
      <c r="BP69" s="263"/>
      <c r="BQ69" s="263"/>
      <c r="BR69" s="263"/>
      <c r="BS69" s="263"/>
      <c r="BT69" s="263"/>
      <c r="BU69" s="263"/>
      <c r="BV69" s="263"/>
      <c r="BW69" s="263"/>
      <c r="BX69" s="263"/>
      <c r="BY69" s="263"/>
      <c r="BZ69" s="263"/>
      <c r="CA69" s="263"/>
      <c r="CB69" s="263"/>
      <c r="CC69" s="263"/>
      <c r="CD69" s="263"/>
      <c r="CE69" s="263"/>
      <c r="CF69" s="263"/>
      <c r="CG69" s="263"/>
      <c r="CH69" s="263"/>
      <c r="CI69" s="263"/>
      <c r="CJ69" s="263"/>
      <c r="CK69" s="263"/>
      <c r="CL69" s="263"/>
      <c r="CM69" s="263"/>
      <c r="CN69" s="263"/>
      <c r="CO69" s="263"/>
      <c r="CP69" s="263"/>
      <c r="CQ69" s="263"/>
      <c r="CR69" s="263"/>
      <c r="CS69" s="263"/>
      <c r="CT69" s="263"/>
      <c r="CU69" s="263"/>
      <c r="CV69" s="263"/>
      <c r="CW69" s="263"/>
      <c r="CX69" s="263"/>
      <c r="CY69" s="263"/>
      <c r="CZ69" s="263"/>
      <c r="DA69" s="263"/>
      <c r="DB69" s="263"/>
      <c r="DC69" s="263"/>
      <c r="DD69" s="263"/>
      <c r="DE69" s="263"/>
      <c r="DF69" s="263"/>
      <c r="DG69" s="263"/>
      <c r="DH69" s="263"/>
      <c r="DI69" s="263"/>
      <c r="DJ69" s="263"/>
      <c r="DK69" s="263"/>
      <c r="DL69" s="263"/>
      <c r="DM69" s="263"/>
      <c r="DN69" s="263"/>
      <c r="DO69" s="263"/>
      <c r="DP69" s="263"/>
      <c r="DQ69" s="263"/>
      <c r="DR69" s="263"/>
      <c r="DS69" s="263"/>
      <c r="DT69" s="263"/>
      <c r="DU69" s="263"/>
      <c r="DV69" s="263"/>
      <c r="DW69" s="263"/>
      <c r="DX69" s="263"/>
      <c r="DY69" s="263"/>
      <c r="DZ69" s="263"/>
      <c r="EA69" s="263"/>
      <c r="EB69" s="263"/>
      <c r="EC69" s="263"/>
      <c r="ED69" s="263"/>
      <c r="EE69" s="263"/>
      <c r="EF69" s="263"/>
      <c r="EG69" s="263"/>
      <c r="EH69" s="263"/>
      <c r="EI69" s="263"/>
      <c r="EJ69" s="263"/>
      <c r="EK69" s="263"/>
      <c r="EL69" s="263"/>
      <c r="EM69" s="263"/>
      <c r="EN69" s="263"/>
      <c r="EO69" s="263"/>
      <c r="EP69" s="263"/>
      <c r="EQ69" s="263"/>
      <c r="ER69" s="263"/>
      <c r="ES69" s="263"/>
      <c r="ET69" s="263"/>
      <c r="EU69" s="263"/>
      <c r="EV69" s="263"/>
      <c r="EW69" s="263"/>
      <c r="EX69" s="263"/>
      <c r="EY69" s="263"/>
      <c r="EZ69" s="263"/>
      <c r="FA69" s="263"/>
      <c r="FB69" s="263"/>
      <c r="FC69" s="263"/>
      <c r="FD69" s="263"/>
      <c r="FE69" s="263"/>
      <c r="FF69" s="263"/>
      <c r="FG69" s="263"/>
      <c r="FH69" s="263"/>
      <c r="FI69" s="263"/>
      <c r="FJ69" s="263"/>
      <c r="FK69" s="263"/>
      <c r="FL69" s="263"/>
      <c r="FM69" s="263"/>
      <c r="FN69" s="263"/>
      <c r="FO69" s="263"/>
      <c r="FP69" s="263"/>
      <c r="FQ69" s="263"/>
      <c r="FR69" s="263"/>
      <c r="FS69" s="263"/>
      <c r="FT69" s="263"/>
      <c r="FU69" s="263"/>
      <c r="FV69" s="263"/>
      <c r="FW69" s="263"/>
      <c r="FX69" s="263"/>
      <c r="FY69" s="263"/>
      <c r="FZ69" s="263"/>
      <c r="GA69" s="263"/>
      <c r="GB69" s="263"/>
      <c r="GC69" s="263"/>
      <c r="GD69" s="263"/>
      <c r="GE69" s="263"/>
      <c r="GF69" s="263"/>
      <c r="GG69" s="263"/>
      <c r="GH69" s="263"/>
      <c r="GI69" s="263"/>
      <c r="GJ69" s="263"/>
      <c r="GK69" s="263"/>
      <c r="GL69" s="263"/>
      <c r="GM69" s="263"/>
      <c r="GN69" s="263"/>
      <c r="GO69" s="263"/>
      <c r="GP69" s="263"/>
      <c r="GQ69" s="263"/>
      <c r="GR69" s="263"/>
    </row>
    <row r="70" spans="6:200" s="217" customFormat="1">
      <c r="G70" s="263"/>
      <c r="H70" s="263"/>
      <c r="I70" s="263"/>
      <c r="J70" s="263"/>
      <c r="K70" s="263"/>
      <c r="L70" s="263"/>
      <c r="M70" s="263"/>
      <c r="N70" s="263"/>
      <c r="O70" s="263"/>
      <c r="P70" s="263"/>
      <c r="Q70" s="263"/>
      <c r="R70" s="263"/>
      <c r="S70" s="263"/>
      <c r="T70" s="263"/>
      <c r="U70" s="263"/>
      <c r="V70" s="263"/>
      <c r="W70" s="263"/>
      <c r="X70" s="263"/>
      <c r="Y70" s="263"/>
      <c r="Z70" s="263"/>
      <c r="AA70" s="263"/>
      <c r="AB70" s="263"/>
      <c r="AC70" s="263"/>
      <c r="AD70" s="263"/>
      <c r="AE70" s="263"/>
      <c r="AF70" s="263"/>
      <c r="AG70" s="263"/>
      <c r="AH70" s="263"/>
      <c r="AI70" s="263"/>
      <c r="AJ70" s="263"/>
      <c r="AK70" s="263"/>
      <c r="AL70" s="263"/>
      <c r="AM70" s="263"/>
      <c r="AN70" s="263"/>
      <c r="AO70" s="263"/>
      <c r="AP70" s="263"/>
      <c r="AQ70" s="263"/>
      <c r="AR70" s="263"/>
      <c r="AS70" s="263"/>
      <c r="AT70" s="263"/>
      <c r="AU70" s="263"/>
      <c r="AV70" s="263"/>
      <c r="AW70" s="263"/>
      <c r="AX70" s="263"/>
      <c r="AY70" s="263"/>
      <c r="AZ70" s="263"/>
      <c r="BA70" s="263"/>
      <c r="BB70" s="263"/>
      <c r="BC70" s="263"/>
      <c r="BD70" s="263"/>
      <c r="BE70" s="263"/>
      <c r="BF70" s="263"/>
      <c r="BG70" s="263"/>
      <c r="BH70" s="263"/>
      <c r="BI70" s="263"/>
      <c r="BJ70" s="263"/>
      <c r="BK70" s="263"/>
      <c r="BL70" s="263"/>
      <c r="BM70" s="263"/>
      <c r="BN70" s="263"/>
      <c r="BO70" s="263"/>
      <c r="BP70" s="263"/>
      <c r="BQ70" s="263"/>
      <c r="BR70" s="263"/>
      <c r="BS70" s="263"/>
      <c r="BT70" s="263"/>
      <c r="BU70" s="263"/>
      <c r="BV70" s="263"/>
      <c r="BW70" s="263"/>
      <c r="BX70" s="263"/>
      <c r="BY70" s="263"/>
      <c r="BZ70" s="263"/>
      <c r="CA70" s="263"/>
      <c r="CB70" s="263"/>
      <c r="CC70" s="263"/>
      <c r="CD70" s="263"/>
      <c r="CE70" s="263"/>
      <c r="CF70" s="263"/>
      <c r="CG70" s="263"/>
      <c r="CH70" s="263"/>
      <c r="CI70" s="263"/>
      <c r="CJ70" s="263"/>
      <c r="CK70" s="263"/>
      <c r="CL70" s="263"/>
      <c r="CM70" s="263"/>
      <c r="CN70" s="263"/>
      <c r="CO70" s="263"/>
      <c r="CP70" s="263"/>
      <c r="CQ70" s="263"/>
      <c r="CR70" s="263"/>
      <c r="CS70" s="263"/>
      <c r="CT70" s="263"/>
      <c r="CU70" s="263"/>
      <c r="CV70" s="263"/>
      <c r="CW70" s="263"/>
      <c r="CX70" s="263"/>
      <c r="CY70" s="263"/>
      <c r="CZ70" s="263"/>
      <c r="DA70" s="263"/>
      <c r="DB70" s="263"/>
      <c r="DC70" s="263"/>
      <c r="DD70" s="263"/>
      <c r="DE70" s="263"/>
      <c r="DF70" s="263"/>
      <c r="DG70" s="263"/>
      <c r="DH70" s="263"/>
      <c r="DI70" s="263"/>
      <c r="DJ70" s="263"/>
      <c r="DK70" s="263"/>
      <c r="DL70" s="263"/>
      <c r="DM70" s="263"/>
      <c r="DN70" s="263"/>
      <c r="DO70" s="263"/>
      <c r="DP70" s="263"/>
      <c r="DQ70" s="263"/>
      <c r="DR70" s="263"/>
      <c r="DS70" s="263"/>
      <c r="DT70" s="263"/>
      <c r="DU70" s="263"/>
      <c r="DV70" s="263"/>
      <c r="DW70" s="263"/>
      <c r="DX70" s="263"/>
      <c r="DY70" s="263"/>
      <c r="DZ70" s="263"/>
      <c r="EA70" s="263"/>
      <c r="EB70" s="263"/>
      <c r="EC70" s="263"/>
      <c r="ED70" s="263"/>
      <c r="EE70" s="263"/>
      <c r="EF70" s="263"/>
      <c r="EG70" s="263"/>
      <c r="EH70" s="263"/>
      <c r="EI70" s="263"/>
      <c r="EJ70" s="263"/>
      <c r="EK70" s="263"/>
      <c r="EL70" s="263"/>
      <c r="EM70" s="263"/>
      <c r="EN70" s="263"/>
      <c r="EO70" s="263"/>
      <c r="EP70" s="263"/>
      <c r="EQ70" s="263"/>
      <c r="ER70" s="263"/>
      <c r="ES70" s="263"/>
      <c r="ET70" s="263"/>
      <c r="EU70" s="263"/>
      <c r="EV70" s="263"/>
      <c r="EW70" s="263"/>
      <c r="EX70" s="263"/>
      <c r="EY70" s="263"/>
      <c r="EZ70" s="263"/>
      <c r="FA70" s="263"/>
      <c r="FB70" s="263"/>
      <c r="FC70" s="263"/>
      <c r="FD70" s="263"/>
      <c r="FE70" s="263"/>
      <c r="FF70" s="263"/>
      <c r="FG70" s="263"/>
      <c r="FH70" s="263"/>
      <c r="FI70" s="263"/>
      <c r="FJ70" s="263"/>
      <c r="FK70" s="263"/>
      <c r="FL70" s="263"/>
      <c r="FM70" s="263"/>
      <c r="FN70" s="263"/>
      <c r="FO70" s="263"/>
      <c r="FP70" s="263"/>
      <c r="FQ70" s="263"/>
      <c r="FR70" s="263"/>
      <c r="FS70" s="263"/>
      <c r="FT70" s="263"/>
      <c r="FU70" s="263"/>
      <c r="FV70" s="263"/>
      <c r="FW70" s="263"/>
      <c r="FX70" s="263"/>
      <c r="FY70" s="263"/>
      <c r="FZ70" s="263"/>
      <c r="GA70" s="263"/>
      <c r="GB70" s="263"/>
      <c r="GC70" s="263"/>
      <c r="GD70" s="263"/>
      <c r="GE70" s="263"/>
      <c r="GF70" s="263"/>
      <c r="GG70" s="263"/>
      <c r="GH70" s="263"/>
      <c r="GI70" s="263"/>
      <c r="GJ70" s="263"/>
      <c r="GK70" s="263"/>
      <c r="GL70" s="263"/>
      <c r="GM70" s="263"/>
      <c r="GN70" s="263"/>
      <c r="GO70" s="263"/>
      <c r="GP70" s="263"/>
      <c r="GQ70" s="263"/>
      <c r="GR70" s="263"/>
    </row>
    <row r="71" spans="6:200" s="217" customFormat="1">
      <c r="G71" s="263"/>
      <c r="H71" s="263"/>
      <c r="I71" s="263"/>
      <c r="J71" s="263"/>
      <c r="K71" s="263"/>
      <c r="L71" s="263"/>
      <c r="M71" s="263"/>
      <c r="N71" s="263"/>
      <c r="O71" s="263"/>
      <c r="P71" s="263"/>
      <c r="Q71" s="263"/>
      <c r="R71" s="263"/>
      <c r="S71" s="263"/>
      <c r="T71" s="263"/>
      <c r="U71" s="263"/>
      <c r="V71" s="263"/>
      <c r="W71" s="263"/>
      <c r="X71" s="263"/>
      <c r="Y71" s="263"/>
      <c r="Z71" s="263"/>
      <c r="AA71" s="263"/>
      <c r="AB71" s="263"/>
      <c r="AC71" s="263"/>
      <c r="AD71" s="263"/>
      <c r="AE71" s="263"/>
      <c r="AF71" s="263"/>
      <c r="AG71" s="263"/>
      <c r="AH71" s="263"/>
      <c r="AI71" s="263"/>
      <c r="AJ71" s="263"/>
      <c r="AK71" s="263"/>
      <c r="AL71" s="263"/>
      <c r="AM71" s="263"/>
      <c r="AN71" s="263"/>
      <c r="AO71" s="263"/>
      <c r="AP71" s="263"/>
      <c r="AQ71" s="263"/>
      <c r="AR71" s="263"/>
      <c r="AS71" s="263"/>
      <c r="AT71" s="263"/>
      <c r="AU71" s="263"/>
      <c r="AV71" s="263"/>
      <c r="AW71" s="263"/>
      <c r="AX71" s="263"/>
      <c r="AY71" s="263"/>
      <c r="AZ71" s="263"/>
      <c r="BA71" s="263"/>
      <c r="BB71" s="263"/>
      <c r="BC71" s="263"/>
      <c r="BD71" s="263"/>
      <c r="BE71" s="263"/>
      <c r="BF71" s="263"/>
      <c r="BG71" s="263"/>
      <c r="BH71" s="263"/>
      <c r="BI71" s="263"/>
      <c r="BJ71" s="263"/>
      <c r="BK71" s="263"/>
      <c r="BL71" s="263"/>
      <c r="BM71" s="263"/>
      <c r="BN71" s="263"/>
      <c r="BO71" s="263"/>
      <c r="BP71" s="263"/>
      <c r="BQ71" s="263"/>
      <c r="BR71" s="263"/>
      <c r="BS71" s="263"/>
      <c r="BT71" s="263"/>
      <c r="BU71" s="263"/>
      <c r="BV71" s="263"/>
      <c r="BW71" s="263"/>
      <c r="BX71" s="263"/>
      <c r="BY71" s="263"/>
      <c r="BZ71" s="263"/>
      <c r="CA71" s="263"/>
      <c r="CB71" s="263"/>
      <c r="CC71" s="263"/>
      <c r="CD71" s="263"/>
      <c r="CE71" s="263"/>
      <c r="CF71" s="263"/>
      <c r="CG71" s="263"/>
      <c r="CH71" s="263"/>
      <c r="CI71" s="263"/>
      <c r="CJ71" s="263"/>
      <c r="CK71" s="263"/>
      <c r="CL71" s="263"/>
      <c r="CM71" s="263"/>
      <c r="CN71" s="263"/>
      <c r="CO71" s="263"/>
      <c r="CP71" s="263"/>
      <c r="CQ71" s="263"/>
      <c r="CR71" s="263"/>
      <c r="CS71" s="263"/>
      <c r="CT71" s="263"/>
      <c r="CU71" s="263"/>
      <c r="CV71" s="263"/>
      <c r="CW71" s="263"/>
      <c r="CX71" s="263"/>
      <c r="CY71" s="263"/>
      <c r="CZ71" s="263"/>
      <c r="DA71" s="263"/>
      <c r="DB71" s="263"/>
      <c r="DC71" s="263"/>
      <c r="DD71" s="263"/>
      <c r="DE71" s="263"/>
      <c r="DF71" s="263"/>
      <c r="DG71" s="263"/>
      <c r="DH71" s="263"/>
      <c r="DI71" s="263"/>
      <c r="DJ71" s="263"/>
      <c r="DK71" s="263"/>
      <c r="DL71" s="263"/>
      <c r="DM71" s="263"/>
      <c r="DN71" s="263"/>
      <c r="DO71" s="263"/>
      <c r="DP71" s="263"/>
      <c r="DQ71" s="263"/>
      <c r="DR71" s="263"/>
      <c r="DS71" s="263"/>
      <c r="DT71" s="263"/>
      <c r="DU71" s="263"/>
      <c r="DV71" s="263"/>
      <c r="DW71" s="263"/>
      <c r="DX71" s="263"/>
      <c r="DY71" s="263"/>
      <c r="DZ71" s="263"/>
      <c r="EA71" s="263"/>
      <c r="EB71" s="263"/>
      <c r="EC71" s="263"/>
      <c r="ED71" s="263"/>
      <c r="EE71" s="263"/>
      <c r="EF71" s="263"/>
      <c r="EG71" s="263"/>
      <c r="EH71" s="263"/>
      <c r="EI71" s="263"/>
      <c r="EJ71" s="263"/>
      <c r="EK71" s="263"/>
      <c r="EL71" s="263"/>
      <c r="EM71" s="263"/>
      <c r="EN71" s="263"/>
      <c r="EO71" s="263"/>
      <c r="EP71" s="263"/>
      <c r="EQ71" s="263"/>
      <c r="ER71" s="263"/>
      <c r="ES71" s="263"/>
      <c r="ET71" s="263"/>
      <c r="EU71" s="263"/>
      <c r="EV71" s="263"/>
      <c r="EW71" s="263"/>
      <c r="EX71" s="263"/>
      <c r="EY71" s="263"/>
      <c r="EZ71" s="263"/>
      <c r="FA71" s="263"/>
      <c r="FB71" s="263"/>
      <c r="FC71" s="263"/>
      <c r="FD71" s="263"/>
      <c r="FE71" s="263"/>
      <c r="FF71" s="263"/>
      <c r="FG71" s="263"/>
      <c r="FH71" s="263"/>
      <c r="FI71" s="263"/>
      <c r="FJ71" s="263"/>
      <c r="FK71" s="263"/>
      <c r="FL71" s="263"/>
      <c r="FM71" s="263"/>
      <c r="FN71" s="263"/>
      <c r="FO71" s="263"/>
      <c r="FP71" s="263"/>
      <c r="FQ71" s="263"/>
      <c r="FR71" s="263"/>
      <c r="FS71" s="263"/>
      <c r="FT71" s="263"/>
      <c r="FU71" s="263"/>
      <c r="FV71" s="263"/>
      <c r="FW71" s="263"/>
      <c r="FX71" s="263"/>
      <c r="FY71" s="263"/>
      <c r="FZ71" s="263"/>
      <c r="GA71" s="263"/>
      <c r="GB71" s="263"/>
      <c r="GC71" s="263"/>
      <c r="GD71" s="263"/>
      <c r="GE71" s="263"/>
      <c r="GF71" s="263"/>
      <c r="GG71" s="263"/>
      <c r="GH71" s="263"/>
      <c r="GI71" s="263"/>
      <c r="GJ71" s="263"/>
      <c r="GK71" s="263"/>
      <c r="GL71" s="263"/>
      <c r="GM71" s="263"/>
      <c r="GN71" s="263"/>
      <c r="GO71" s="263"/>
      <c r="GP71" s="263"/>
      <c r="GQ71" s="263"/>
      <c r="GR71" s="263"/>
    </row>
    <row r="72" spans="6:200" s="217" customFormat="1">
      <c r="G72" s="263"/>
      <c r="H72" s="263"/>
      <c r="I72" s="263"/>
      <c r="J72" s="263"/>
      <c r="K72" s="263"/>
      <c r="L72" s="263"/>
      <c r="M72" s="263"/>
      <c r="N72" s="263"/>
      <c r="O72" s="263"/>
      <c r="P72" s="263"/>
      <c r="Q72" s="263"/>
      <c r="R72" s="263"/>
      <c r="S72" s="263"/>
      <c r="T72" s="263"/>
      <c r="U72" s="263"/>
      <c r="V72" s="263"/>
      <c r="W72" s="263"/>
      <c r="X72" s="263"/>
      <c r="Y72" s="263"/>
      <c r="Z72" s="263"/>
      <c r="AA72" s="263"/>
      <c r="AB72" s="263"/>
      <c r="AC72" s="263"/>
      <c r="AD72" s="263"/>
      <c r="AE72" s="263"/>
      <c r="AF72" s="263"/>
      <c r="AG72" s="263"/>
      <c r="AH72" s="263"/>
      <c r="AI72" s="263"/>
      <c r="AJ72" s="263"/>
      <c r="AK72" s="263"/>
      <c r="AL72" s="263"/>
      <c r="AM72" s="263"/>
      <c r="AN72" s="263"/>
      <c r="AO72" s="263"/>
      <c r="AP72" s="263"/>
      <c r="AQ72" s="263"/>
      <c r="AR72" s="263"/>
      <c r="AS72" s="263"/>
      <c r="AT72" s="263"/>
      <c r="AU72" s="263"/>
      <c r="AV72" s="263"/>
      <c r="AW72" s="263"/>
      <c r="AX72" s="263"/>
      <c r="AY72" s="263"/>
      <c r="AZ72" s="263"/>
      <c r="BA72" s="263"/>
      <c r="BB72" s="263"/>
      <c r="BC72" s="263"/>
      <c r="BD72" s="263"/>
      <c r="BE72" s="263"/>
      <c r="BF72" s="263"/>
      <c r="BG72" s="263"/>
      <c r="BH72" s="263"/>
      <c r="BI72" s="263"/>
      <c r="BJ72" s="263"/>
      <c r="BK72" s="263"/>
      <c r="BL72" s="263"/>
      <c r="BM72" s="263"/>
      <c r="BN72" s="263"/>
      <c r="BO72" s="263"/>
      <c r="BP72" s="263"/>
      <c r="BQ72" s="263"/>
      <c r="BR72" s="263"/>
      <c r="BS72" s="263"/>
      <c r="BT72" s="263"/>
      <c r="BU72" s="263"/>
      <c r="BV72" s="263"/>
      <c r="BW72" s="263"/>
      <c r="BX72" s="263"/>
      <c r="BY72" s="263"/>
      <c r="BZ72" s="263"/>
      <c r="CA72" s="263"/>
      <c r="CB72" s="263"/>
      <c r="CC72" s="263"/>
      <c r="CD72" s="263"/>
      <c r="CE72" s="263"/>
      <c r="CF72" s="263"/>
      <c r="CG72" s="263"/>
      <c r="CH72" s="263"/>
      <c r="CI72" s="263"/>
      <c r="CJ72" s="263"/>
      <c r="CK72" s="263"/>
      <c r="CL72" s="263"/>
      <c r="CM72" s="263"/>
      <c r="CN72" s="263"/>
      <c r="CO72" s="263"/>
      <c r="CP72" s="263"/>
      <c r="CQ72" s="263"/>
      <c r="CR72" s="263"/>
      <c r="CS72" s="263"/>
      <c r="CT72" s="263"/>
      <c r="CU72" s="263"/>
      <c r="CV72" s="263"/>
      <c r="CW72" s="263"/>
      <c r="CX72" s="263"/>
      <c r="CY72" s="263"/>
      <c r="CZ72" s="263"/>
      <c r="DA72" s="263"/>
      <c r="DB72" s="263"/>
      <c r="DC72" s="263"/>
      <c r="DD72" s="263"/>
      <c r="DE72" s="263"/>
      <c r="DF72" s="263"/>
      <c r="DG72" s="263"/>
      <c r="DH72" s="263"/>
      <c r="DI72" s="263"/>
      <c r="DJ72" s="263"/>
      <c r="DK72" s="263"/>
      <c r="DL72" s="263"/>
      <c r="DM72" s="263"/>
      <c r="DN72" s="263"/>
      <c r="DO72" s="263"/>
      <c r="DP72" s="263"/>
      <c r="DQ72" s="263"/>
      <c r="DR72" s="263"/>
      <c r="DS72" s="263"/>
      <c r="DT72" s="263"/>
      <c r="DU72" s="263"/>
      <c r="DV72" s="263"/>
      <c r="DW72" s="263"/>
      <c r="DX72" s="263"/>
      <c r="DY72" s="263"/>
      <c r="DZ72" s="263"/>
      <c r="EA72" s="263"/>
      <c r="EB72" s="263"/>
      <c r="EC72" s="263"/>
      <c r="ED72" s="263"/>
      <c r="EE72" s="263"/>
      <c r="EF72" s="263"/>
      <c r="EG72" s="263"/>
      <c r="EH72" s="263"/>
      <c r="EI72" s="263"/>
      <c r="EJ72" s="263"/>
      <c r="EK72" s="263"/>
      <c r="EL72" s="263"/>
      <c r="EM72" s="263"/>
      <c r="EN72" s="263"/>
      <c r="EO72" s="263"/>
      <c r="EP72" s="263"/>
      <c r="EQ72" s="263"/>
      <c r="ER72" s="263"/>
      <c r="ES72" s="263"/>
      <c r="ET72" s="263"/>
      <c r="EU72" s="263"/>
      <c r="EV72" s="263"/>
      <c r="EW72" s="263"/>
      <c r="EX72" s="263"/>
      <c r="EY72" s="263"/>
      <c r="EZ72" s="263"/>
      <c r="FA72" s="263"/>
      <c r="FB72" s="263"/>
      <c r="FC72" s="263"/>
      <c r="FD72" s="263"/>
      <c r="FE72" s="263"/>
      <c r="FF72" s="263"/>
      <c r="FG72" s="263"/>
      <c r="FH72" s="263"/>
      <c r="FI72" s="263"/>
      <c r="FJ72" s="263"/>
      <c r="FK72" s="263"/>
      <c r="FL72" s="263"/>
      <c r="FM72" s="263"/>
      <c r="FN72" s="263"/>
      <c r="FO72" s="263"/>
      <c r="FP72" s="263"/>
      <c r="FQ72" s="263"/>
      <c r="FR72" s="263"/>
      <c r="FS72" s="263"/>
      <c r="FT72" s="263"/>
      <c r="FU72" s="263"/>
      <c r="FV72" s="263"/>
      <c r="FW72" s="263"/>
      <c r="FX72" s="263"/>
      <c r="FY72" s="263"/>
      <c r="FZ72" s="263"/>
      <c r="GA72" s="263"/>
      <c r="GB72" s="263"/>
      <c r="GC72" s="263"/>
      <c r="GD72" s="263"/>
      <c r="GE72" s="263"/>
      <c r="GF72" s="263"/>
      <c r="GG72" s="263"/>
      <c r="GH72" s="263"/>
      <c r="GI72" s="263"/>
      <c r="GJ72" s="263"/>
      <c r="GK72" s="263"/>
      <c r="GL72" s="263"/>
      <c r="GM72" s="263"/>
      <c r="GN72" s="263"/>
      <c r="GO72" s="263"/>
      <c r="GP72" s="263"/>
      <c r="GQ72" s="263"/>
      <c r="GR72" s="263"/>
    </row>
    <row r="73" spans="6:200" s="217" customFormat="1">
      <c r="G73" s="263"/>
      <c r="H73" s="263"/>
      <c r="I73" s="263"/>
      <c r="J73" s="263"/>
      <c r="K73" s="263"/>
      <c r="L73" s="263"/>
      <c r="M73" s="263"/>
      <c r="N73" s="263"/>
      <c r="O73" s="263"/>
      <c r="P73" s="263"/>
      <c r="Q73" s="263"/>
      <c r="R73" s="263"/>
      <c r="S73" s="263"/>
      <c r="T73" s="263"/>
      <c r="U73" s="263"/>
      <c r="V73" s="263"/>
      <c r="W73" s="263"/>
      <c r="X73" s="263"/>
      <c r="Y73" s="263"/>
      <c r="Z73" s="263"/>
      <c r="AA73" s="263"/>
      <c r="AB73" s="263"/>
      <c r="AC73" s="263"/>
      <c r="AD73" s="263"/>
      <c r="AE73" s="263"/>
      <c r="AF73" s="263"/>
      <c r="AG73" s="263"/>
      <c r="AH73" s="263"/>
      <c r="AI73" s="263"/>
      <c r="AJ73" s="263"/>
      <c r="AK73" s="263"/>
      <c r="AL73" s="263"/>
      <c r="AM73" s="263"/>
      <c r="AN73" s="263"/>
      <c r="AO73" s="263"/>
      <c r="AP73" s="263"/>
      <c r="AQ73" s="263"/>
      <c r="AR73" s="263"/>
      <c r="AS73" s="263"/>
      <c r="AT73" s="263"/>
      <c r="AU73" s="263"/>
      <c r="AV73" s="263"/>
      <c r="AW73" s="263"/>
      <c r="AX73" s="263"/>
      <c r="AY73" s="263"/>
      <c r="AZ73" s="263"/>
      <c r="BA73" s="263"/>
      <c r="BB73" s="263"/>
      <c r="BC73" s="263"/>
      <c r="BD73" s="263"/>
      <c r="BE73" s="263"/>
      <c r="BF73" s="263"/>
      <c r="BG73" s="263"/>
      <c r="BH73" s="263"/>
      <c r="BI73" s="263"/>
      <c r="BJ73" s="263"/>
      <c r="BK73" s="263"/>
      <c r="BL73" s="263"/>
      <c r="BM73" s="263"/>
      <c r="BN73" s="263"/>
      <c r="BO73" s="263"/>
      <c r="BP73" s="263"/>
      <c r="BQ73" s="263"/>
      <c r="BR73" s="263"/>
      <c r="BS73" s="263"/>
      <c r="BT73" s="263"/>
      <c r="BU73" s="263"/>
      <c r="BV73" s="263"/>
      <c r="BW73" s="263"/>
      <c r="BX73" s="263"/>
      <c r="BY73" s="263"/>
      <c r="BZ73" s="263"/>
      <c r="CA73" s="263"/>
      <c r="CB73" s="263"/>
      <c r="CC73" s="263"/>
      <c r="CD73" s="263"/>
      <c r="CE73" s="263"/>
      <c r="CF73" s="263"/>
      <c r="CG73" s="263"/>
      <c r="CH73" s="263"/>
      <c r="CI73" s="263"/>
      <c r="CJ73" s="263"/>
      <c r="CK73" s="263"/>
      <c r="CL73" s="263"/>
      <c r="CM73" s="263"/>
      <c r="CN73" s="263"/>
      <c r="CO73" s="263"/>
      <c r="CP73" s="263"/>
      <c r="CQ73" s="263"/>
      <c r="CR73" s="263"/>
      <c r="CS73" s="263"/>
      <c r="CT73" s="263"/>
      <c r="CU73" s="263"/>
      <c r="CV73" s="263"/>
      <c r="CW73" s="263"/>
      <c r="CX73" s="263"/>
      <c r="CY73" s="263"/>
      <c r="CZ73" s="263"/>
      <c r="DA73" s="263"/>
      <c r="DB73" s="263"/>
      <c r="DC73" s="263"/>
      <c r="DD73" s="263"/>
      <c r="DE73" s="263"/>
      <c r="DF73" s="263"/>
      <c r="DG73" s="263"/>
      <c r="DH73" s="263"/>
      <c r="DI73" s="263"/>
      <c r="DJ73" s="263"/>
      <c r="DK73" s="263"/>
      <c r="DL73" s="263"/>
      <c r="DM73" s="263"/>
      <c r="DN73" s="263"/>
      <c r="DO73" s="263"/>
      <c r="DP73" s="263"/>
      <c r="DQ73" s="263"/>
      <c r="DR73" s="263"/>
      <c r="DS73" s="263"/>
      <c r="DT73" s="263"/>
      <c r="DU73" s="263"/>
      <c r="DV73" s="263"/>
      <c r="DW73" s="263"/>
      <c r="DX73" s="263"/>
      <c r="DY73" s="263"/>
      <c r="DZ73" s="263"/>
      <c r="EA73" s="263"/>
      <c r="EB73" s="263"/>
      <c r="EC73" s="263"/>
      <c r="ED73" s="263"/>
      <c r="EE73" s="263"/>
      <c r="EF73" s="263"/>
      <c r="EG73" s="263"/>
      <c r="EH73" s="263"/>
      <c r="EI73" s="263"/>
      <c r="EJ73" s="263"/>
      <c r="EK73" s="263"/>
      <c r="EL73" s="263"/>
      <c r="EM73" s="263"/>
      <c r="EN73" s="263"/>
      <c r="EO73" s="263"/>
      <c r="EP73" s="263"/>
      <c r="EQ73" s="263"/>
      <c r="ER73" s="263"/>
      <c r="ES73" s="263"/>
      <c r="ET73" s="263"/>
      <c r="EU73" s="263"/>
      <c r="EV73" s="263"/>
      <c r="EW73" s="263"/>
      <c r="EX73" s="263"/>
      <c r="EY73" s="263"/>
      <c r="EZ73" s="263"/>
      <c r="FA73" s="263"/>
      <c r="FB73" s="263"/>
      <c r="FC73" s="263"/>
      <c r="FD73" s="263"/>
      <c r="FE73" s="263"/>
      <c r="FF73" s="263"/>
      <c r="FG73" s="263"/>
      <c r="FH73" s="263"/>
      <c r="FI73" s="263"/>
      <c r="FJ73" s="263"/>
      <c r="FK73" s="263"/>
      <c r="FL73" s="263"/>
      <c r="FM73" s="263"/>
      <c r="FN73" s="263"/>
      <c r="FO73" s="263"/>
      <c r="FP73" s="263"/>
      <c r="FQ73" s="263"/>
      <c r="FR73" s="263"/>
      <c r="FS73" s="263"/>
      <c r="FT73" s="263"/>
      <c r="FU73" s="263"/>
      <c r="FV73" s="263"/>
      <c r="FW73" s="263"/>
      <c r="FX73" s="263"/>
      <c r="FY73" s="263"/>
      <c r="FZ73" s="263"/>
      <c r="GA73" s="263"/>
      <c r="GB73" s="263"/>
      <c r="GC73" s="263"/>
      <c r="GD73" s="263"/>
      <c r="GE73" s="263"/>
      <c r="GF73" s="263"/>
      <c r="GG73" s="263"/>
      <c r="GH73" s="263"/>
      <c r="GI73" s="263"/>
      <c r="GJ73" s="263"/>
      <c r="GK73" s="263"/>
      <c r="GL73" s="263"/>
      <c r="GM73" s="263"/>
      <c r="GN73" s="263"/>
      <c r="GO73" s="263"/>
      <c r="GP73" s="263"/>
      <c r="GQ73" s="263"/>
      <c r="GR73" s="263"/>
    </row>
    <row r="74" spans="6:200" s="217" customFormat="1">
      <c r="G74" s="263"/>
      <c r="H74" s="263"/>
      <c r="I74" s="263"/>
      <c r="J74" s="263"/>
      <c r="K74" s="263"/>
      <c r="L74" s="263"/>
      <c r="M74" s="263"/>
      <c r="N74" s="263"/>
      <c r="O74" s="263"/>
      <c r="P74" s="263"/>
      <c r="Q74" s="263"/>
      <c r="R74" s="263"/>
      <c r="S74" s="263"/>
      <c r="T74" s="263"/>
      <c r="U74" s="263"/>
      <c r="V74" s="263"/>
      <c r="W74" s="263"/>
      <c r="X74" s="263"/>
      <c r="Y74" s="263"/>
      <c r="Z74" s="263"/>
      <c r="AA74" s="263"/>
      <c r="AB74" s="263"/>
      <c r="AC74" s="263"/>
      <c r="AD74" s="263"/>
      <c r="AE74" s="263"/>
      <c r="AF74" s="263"/>
      <c r="AG74" s="263"/>
      <c r="AH74" s="263"/>
      <c r="AI74" s="263"/>
      <c r="AJ74" s="263"/>
      <c r="AK74" s="263"/>
      <c r="AL74" s="263"/>
      <c r="AM74" s="263"/>
      <c r="AN74" s="263"/>
      <c r="AO74" s="263"/>
      <c r="AP74" s="263"/>
      <c r="AQ74" s="263"/>
      <c r="AR74" s="263"/>
      <c r="AS74" s="263"/>
      <c r="AT74" s="263"/>
      <c r="AU74" s="263"/>
      <c r="AV74" s="263"/>
      <c r="AW74" s="263"/>
      <c r="AX74" s="263"/>
      <c r="AY74" s="263"/>
      <c r="AZ74" s="263"/>
      <c r="BA74" s="263"/>
      <c r="BB74" s="263"/>
      <c r="BC74" s="263"/>
      <c r="BD74" s="263"/>
      <c r="BE74" s="263"/>
      <c r="BF74" s="263"/>
      <c r="BG74" s="263"/>
      <c r="BH74" s="263"/>
      <c r="BI74" s="263"/>
      <c r="BJ74" s="263"/>
      <c r="BK74" s="263"/>
      <c r="BL74" s="263"/>
      <c r="BM74" s="263"/>
      <c r="BN74" s="263"/>
      <c r="BO74" s="263"/>
      <c r="BP74" s="263"/>
      <c r="BQ74" s="263"/>
      <c r="BR74" s="263"/>
      <c r="BS74" s="263"/>
      <c r="BT74" s="263"/>
      <c r="BU74" s="263"/>
      <c r="BV74" s="263"/>
      <c r="BW74" s="263"/>
      <c r="BX74" s="263"/>
      <c r="BY74" s="263"/>
      <c r="BZ74" s="263"/>
      <c r="CA74" s="263"/>
      <c r="CB74" s="263"/>
      <c r="CC74" s="263"/>
      <c r="CD74" s="263"/>
      <c r="CE74" s="263"/>
      <c r="CF74" s="263"/>
      <c r="CG74" s="263"/>
      <c r="CH74" s="263"/>
      <c r="CI74" s="263"/>
      <c r="CJ74" s="263"/>
      <c r="CK74" s="263"/>
      <c r="CL74" s="263"/>
      <c r="CM74" s="263"/>
      <c r="CN74" s="263"/>
      <c r="CO74" s="263"/>
      <c r="CP74" s="263"/>
      <c r="CQ74" s="263"/>
      <c r="CR74" s="263"/>
      <c r="CS74" s="263"/>
      <c r="CT74" s="263"/>
      <c r="CU74" s="263"/>
      <c r="CV74" s="263"/>
      <c r="CW74" s="263"/>
      <c r="CX74" s="263"/>
      <c r="CY74" s="263"/>
      <c r="CZ74" s="263"/>
      <c r="DA74" s="263"/>
      <c r="DB74" s="263"/>
      <c r="DC74" s="263"/>
      <c r="DD74" s="263"/>
      <c r="DE74" s="263"/>
      <c r="DF74" s="263"/>
      <c r="DG74" s="263"/>
      <c r="DH74" s="263"/>
      <c r="DI74" s="263"/>
      <c r="DJ74" s="263"/>
      <c r="DK74" s="263"/>
      <c r="DL74" s="263"/>
      <c r="DM74" s="263"/>
      <c r="DN74" s="263"/>
      <c r="DO74" s="263"/>
      <c r="DP74" s="263"/>
      <c r="DQ74" s="263"/>
      <c r="DR74" s="263"/>
      <c r="DS74" s="263"/>
      <c r="DT74" s="263"/>
      <c r="DU74" s="263"/>
      <c r="DV74" s="263"/>
      <c r="DW74" s="263"/>
      <c r="DX74" s="263"/>
      <c r="DY74" s="263"/>
      <c r="DZ74" s="263"/>
      <c r="EA74" s="263"/>
      <c r="EB74" s="263"/>
      <c r="EC74" s="263"/>
      <c r="ED74" s="263"/>
      <c r="EE74" s="263"/>
      <c r="EF74" s="263"/>
      <c r="EG74" s="263"/>
      <c r="EH74" s="263"/>
      <c r="EI74" s="263"/>
      <c r="EJ74" s="263"/>
      <c r="EK74" s="263"/>
      <c r="EL74" s="263"/>
      <c r="EM74" s="263"/>
      <c r="EN74" s="263"/>
      <c r="EO74" s="263"/>
      <c r="EP74" s="263"/>
      <c r="EQ74" s="263"/>
      <c r="ER74" s="263"/>
      <c r="ES74" s="263"/>
      <c r="ET74" s="263"/>
      <c r="EU74" s="263"/>
      <c r="EV74" s="263"/>
      <c r="EW74" s="263"/>
      <c r="EX74" s="263"/>
      <c r="EY74" s="263"/>
      <c r="EZ74" s="263"/>
      <c r="FA74" s="263"/>
      <c r="FB74" s="263"/>
      <c r="FC74" s="263"/>
      <c r="FD74" s="263"/>
      <c r="FE74" s="263"/>
      <c r="FF74" s="263"/>
      <c r="FG74" s="263"/>
      <c r="FH74" s="263"/>
      <c r="FI74" s="263"/>
      <c r="FJ74" s="263"/>
      <c r="FK74" s="263"/>
      <c r="FL74" s="263"/>
      <c r="FM74" s="263"/>
      <c r="FN74" s="263"/>
      <c r="FO74" s="263"/>
      <c r="FP74" s="263"/>
      <c r="FQ74" s="263"/>
      <c r="FR74" s="263"/>
      <c r="FS74" s="263"/>
      <c r="FT74" s="263"/>
      <c r="FU74" s="263"/>
      <c r="FV74" s="263"/>
      <c r="FW74" s="263"/>
      <c r="FX74" s="263"/>
      <c r="FY74" s="263"/>
      <c r="FZ74" s="263"/>
      <c r="GA74" s="263"/>
      <c r="GB74" s="263"/>
      <c r="GC74" s="263"/>
      <c r="GD74" s="263"/>
      <c r="GE74" s="263"/>
      <c r="GF74" s="263"/>
      <c r="GG74" s="263"/>
      <c r="GH74" s="263"/>
      <c r="GI74" s="263"/>
      <c r="GJ74" s="263"/>
      <c r="GK74" s="263"/>
      <c r="GL74" s="263"/>
      <c r="GM74" s="263"/>
      <c r="GN74" s="263"/>
      <c r="GO74" s="263"/>
      <c r="GP74" s="263"/>
      <c r="GQ74" s="263"/>
      <c r="GR74" s="263"/>
    </row>
    <row r="75" spans="6:200" s="217" customFormat="1">
      <c r="G75" s="263"/>
      <c r="H75" s="263"/>
      <c r="I75" s="263"/>
      <c r="J75" s="263"/>
      <c r="K75" s="263"/>
      <c r="L75" s="263"/>
      <c r="M75" s="263"/>
      <c r="N75" s="263"/>
      <c r="O75" s="263"/>
      <c r="P75" s="263"/>
      <c r="Q75" s="263"/>
      <c r="R75" s="263"/>
      <c r="S75" s="263"/>
      <c r="T75" s="263"/>
      <c r="U75" s="263"/>
      <c r="V75" s="263"/>
      <c r="W75" s="263"/>
      <c r="X75" s="263"/>
      <c r="Y75" s="263"/>
      <c r="Z75" s="263"/>
      <c r="AA75" s="263"/>
      <c r="AB75" s="263"/>
      <c r="AC75" s="263"/>
      <c r="AD75" s="263"/>
      <c r="AE75" s="263"/>
      <c r="AF75" s="263"/>
      <c r="AG75" s="263"/>
      <c r="AH75" s="263"/>
      <c r="AI75" s="263"/>
      <c r="AJ75" s="263"/>
      <c r="AK75" s="263"/>
      <c r="AL75" s="263"/>
      <c r="AM75" s="263"/>
      <c r="AN75" s="263"/>
      <c r="AO75" s="263"/>
      <c r="AP75" s="263"/>
      <c r="AQ75" s="263"/>
      <c r="AR75" s="263"/>
      <c r="AS75" s="263"/>
      <c r="AT75" s="263"/>
      <c r="AU75" s="263"/>
      <c r="AV75" s="263"/>
      <c r="AW75" s="263"/>
      <c r="AX75" s="263"/>
      <c r="AY75" s="263"/>
      <c r="AZ75" s="263"/>
      <c r="BA75" s="263"/>
      <c r="BB75" s="263"/>
      <c r="BC75" s="263"/>
      <c r="BD75" s="263"/>
      <c r="BE75" s="263"/>
      <c r="BF75" s="263"/>
      <c r="BG75" s="263"/>
      <c r="BH75" s="263"/>
      <c r="BI75" s="263"/>
      <c r="BJ75" s="263"/>
      <c r="BK75" s="263"/>
      <c r="BL75" s="263"/>
      <c r="BM75" s="263"/>
      <c r="BN75" s="263"/>
      <c r="BO75" s="263"/>
      <c r="BP75" s="263"/>
      <c r="BQ75" s="263"/>
      <c r="BR75" s="263"/>
      <c r="BS75" s="263"/>
      <c r="BT75" s="263"/>
      <c r="BU75" s="263"/>
      <c r="BV75" s="263"/>
      <c r="BW75" s="263"/>
      <c r="BX75" s="263"/>
      <c r="BY75" s="263"/>
      <c r="BZ75" s="263"/>
      <c r="CA75" s="263"/>
      <c r="CB75" s="263"/>
      <c r="CC75" s="263"/>
      <c r="CD75" s="263"/>
      <c r="CE75" s="263"/>
      <c r="CF75" s="263"/>
      <c r="CG75" s="263"/>
      <c r="CH75" s="263"/>
      <c r="CI75" s="263"/>
      <c r="CJ75" s="263"/>
      <c r="CK75" s="263"/>
      <c r="CL75" s="263"/>
      <c r="CM75" s="263"/>
      <c r="CN75" s="263"/>
      <c r="CO75" s="263"/>
      <c r="CP75" s="263"/>
      <c r="CQ75" s="263"/>
      <c r="CR75" s="263"/>
      <c r="CS75" s="263"/>
      <c r="CT75" s="263"/>
      <c r="CU75" s="263"/>
      <c r="CV75" s="263"/>
      <c r="CW75" s="263"/>
      <c r="CX75" s="263"/>
      <c r="CY75" s="263"/>
      <c r="CZ75" s="263"/>
      <c r="DA75" s="263"/>
      <c r="DB75" s="263"/>
      <c r="DC75" s="263"/>
      <c r="DD75" s="263"/>
      <c r="DE75" s="263"/>
      <c r="DF75" s="263"/>
      <c r="DG75" s="263"/>
      <c r="DH75" s="263"/>
      <c r="DI75" s="263"/>
      <c r="DJ75" s="263"/>
      <c r="DK75" s="263"/>
      <c r="DL75" s="263"/>
      <c r="DM75" s="263"/>
      <c r="DN75" s="263"/>
      <c r="DO75" s="263"/>
      <c r="DP75" s="263"/>
      <c r="DQ75" s="263"/>
      <c r="DR75" s="263"/>
      <c r="DS75" s="263"/>
      <c r="DT75" s="263"/>
      <c r="DU75" s="263"/>
      <c r="DV75" s="263"/>
      <c r="DW75" s="263"/>
      <c r="DX75" s="263"/>
      <c r="DY75" s="263"/>
      <c r="DZ75" s="263"/>
      <c r="EA75" s="263"/>
      <c r="EB75" s="263"/>
      <c r="EC75" s="263"/>
      <c r="ED75" s="263"/>
      <c r="EE75" s="263"/>
      <c r="EF75" s="263"/>
      <c r="EG75" s="263"/>
      <c r="EH75" s="263"/>
      <c r="EI75" s="263"/>
      <c r="EJ75" s="263"/>
      <c r="EK75" s="263"/>
      <c r="EL75" s="263"/>
      <c r="EM75" s="263"/>
      <c r="EN75" s="263"/>
      <c r="EO75" s="263"/>
      <c r="EP75" s="263"/>
      <c r="EQ75" s="263"/>
      <c r="ER75" s="263"/>
      <c r="ES75" s="263"/>
      <c r="ET75" s="263"/>
      <c r="EU75" s="263"/>
      <c r="EV75" s="263"/>
      <c r="EW75" s="263"/>
      <c r="EX75" s="263"/>
      <c r="EY75" s="263"/>
      <c r="EZ75" s="263"/>
      <c r="FA75" s="263"/>
      <c r="FB75" s="263"/>
      <c r="FC75" s="263"/>
      <c r="FD75" s="263"/>
      <c r="FE75" s="263"/>
      <c r="FF75" s="263"/>
      <c r="FG75" s="263"/>
      <c r="FH75" s="263"/>
      <c r="FI75" s="263"/>
      <c r="FJ75" s="263"/>
      <c r="FK75" s="263"/>
      <c r="FL75" s="263"/>
      <c r="FM75" s="263"/>
      <c r="FN75" s="263"/>
      <c r="FO75" s="263"/>
      <c r="FP75" s="263"/>
      <c r="FQ75" s="263"/>
      <c r="FR75" s="263"/>
      <c r="FS75" s="263"/>
      <c r="FT75" s="263"/>
      <c r="FU75" s="263"/>
      <c r="FV75" s="263"/>
      <c r="FW75" s="263"/>
      <c r="FX75" s="263"/>
      <c r="FY75" s="263"/>
      <c r="FZ75" s="263"/>
      <c r="GA75" s="263"/>
      <c r="GB75" s="263"/>
      <c r="GC75" s="263"/>
      <c r="GD75" s="263"/>
      <c r="GE75" s="263"/>
      <c r="GF75" s="263"/>
      <c r="GG75" s="263"/>
      <c r="GH75" s="263"/>
      <c r="GI75" s="263"/>
      <c r="GJ75" s="263"/>
      <c r="GK75" s="263"/>
      <c r="GL75" s="263"/>
      <c r="GM75" s="263"/>
      <c r="GN75" s="263"/>
      <c r="GO75" s="263"/>
      <c r="GP75" s="263"/>
      <c r="GQ75" s="263"/>
      <c r="GR75" s="263"/>
    </row>
    <row r="76" spans="6:200" s="217" customFormat="1"/>
    <row r="77" spans="6:200" s="217" customFormat="1"/>
    <row r="78" spans="6:200">
      <c r="CK78" s="213"/>
      <c r="CL78" s="213"/>
    </row>
    <row r="79" spans="6:200">
      <c r="CK79" s="213"/>
      <c r="CL79" s="213"/>
    </row>
    <row r="80" spans="6:200">
      <c r="CK80" s="213"/>
      <c r="CL80" s="213"/>
    </row>
    <row r="81" spans="6:200">
      <c r="CK81" s="213"/>
      <c r="CL81" s="213"/>
    </row>
    <row r="82" spans="6:200">
      <c r="CK82" s="213"/>
      <c r="CL82" s="213"/>
    </row>
    <row r="83" spans="6:200">
      <c r="CK83" s="213"/>
      <c r="CL83" s="213"/>
    </row>
    <row r="84" spans="6:200"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</row>
    <row r="85" spans="6:200"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</row>
    <row r="86" spans="6:200"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</row>
    <row r="87" spans="6:200"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</row>
    <row r="88" spans="6:200"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</row>
    <row r="89" spans="6:200"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</row>
    <row r="90" spans="6:200"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</row>
    <row r="91" spans="6:200"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</row>
    <row r="92" spans="6:200"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</row>
    <row r="93" spans="6:200"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</row>
    <row r="94" spans="6:200"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</row>
    <row r="95" spans="6:200"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</row>
    <row r="96" spans="6:200">
      <c r="CK96" s="213"/>
      <c r="CL96" s="213"/>
    </row>
    <row r="97" spans="89:90">
      <c r="CK97" s="213"/>
      <c r="CL97" s="213"/>
    </row>
    <row r="98" spans="89:90">
      <c r="CK98" s="213"/>
      <c r="CL98" s="213"/>
    </row>
    <row r="99" spans="89:90">
      <c r="CK99" s="213"/>
      <c r="CL99" s="213"/>
    </row>
    <row r="100" spans="89:90">
      <c r="CK100" s="213"/>
      <c r="CL100" s="213"/>
    </row>
    <row r="101" spans="89:90">
      <c r="CK101" s="213"/>
      <c r="CL101" s="213"/>
    </row>
    <row r="102" spans="89:90">
      <c r="CK102" s="213"/>
      <c r="CL102" s="213"/>
    </row>
    <row r="103" spans="89:90">
      <c r="CK103" s="213"/>
      <c r="CL103" s="213"/>
    </row>
    <row r="104" spans="89:90">
      <c r="CK104" s="213"/>
      <c r="CL104" s="213"/>
    </row>
    <row r="105" spans="89:90">
      <c r="CK105" s="213"/>
      <c r="CL105" s="213"/>
    </row>
    <row r="106" spans="89:90">
      <c r="CK106" s="213"/>
      <c r="CL106" s="213"/>
    </row>
    <row r="107" spans="89:90">
      <c r="CK107" s="213"/>
      <c r="CL107" s="213"/>
    </row>
    <row r="108" spans="89:90">
      <c r="CK108" s="213"/>
      <c r="CL108" s="213"/>
    </row>
    <row r="109" spans="89:90">
      <c r="CK109" s="213"/>
      <c r="CL109" s="213"/>
    </row>
    <row r="110" spans="89:90">
      <c r="CK110" s="213"/>
      <c r="CL110" s="213"/>
    </row>
    <row r="111" spans="89:90">
      <c r="CK111" s="213"/>
      <c r="CL111" s="213"/>
    </row>
    <row r="112" spans="89:90">
      <c r="CK112" s="213"/>
      <c r="CL112" s="213"/>
    </row>
    <row r="113" spans="89:90">
      <c r="CK113" s="213"/>
      <c r="CL113" s="213"/>
    </row>
    <row r="114" spans="89:90">
      <c r="CK114" s="213"/>
      <c r="CL114" s="213"/>
    </row>
    <row r="115" spans="89:90">
      <c r="CK115" s="213"/>
      <c r="CL115" s="213"/>
    </row>
    <row r="116" spans="89:90">
      <c r="CK116" s="213"/>
      <c r="CL116" s="213"/>
    </row>
    <row r="117" spans="89:90">
      <c r="CK117" s="213"/>
      <c r="CL117" s="213"/>
    </row>
    <row r="118" spans="89:90">
      <c r="CK118" s="213"/>
      <c r="CL118" s="213"/>
    </row>
    <row r="119" spans="89:90">
      <c r="CK119" s="213"/>
      <c r="CL119" s="213"/>
    </row>
    <row r="120" spans="89:90">
      <c r="CK120" s="213"/>
      <c r="CL120" s="213"/>
    </row>
    <row r="121" spans="89:90">
      <c r="CK121" s="213"/>
      <c r="CL121" s="213"/>
    </row>
    <row r="122" spans="89:90">
      <c r="CK122" s="213"/>
      <c r="CL122" s="213"/>
    </row>
    <row r="123" spans="89:90">
      <c r="CK123" s="213"/>
      <c r="CL123" s="213"/>
    </row>
    <row r="124" spans="89:90">
      <c r="CK124" s="213"/>
      <c r="CL124" s="213"/>
    </row>
    <row r="125" spans="89:90">
      <c r="CK125" s="213"/>
      <c r="CL125" s="213"/>
    </row>
    <row r="126" spans="89:90">
      <c r="CK126" s="213"/>
      <c r="CL126" s="213"/>
    </row>
    <row r="127" spans="89:90">
      <c r="CK127" s="213"/>
      <c r="CL127" s="213"/>
    </row>
    <row r="128" spans="89:90">
      <c r="CK128" s="213"/>
      <c r="CL128" s="213"/>
    </row>
    <row r="129" spans="89:90">
      <c r="CK129" s="213"/>
      <c r="CL129" s="213"/>
    </row>
    <row r="130" spans="89:90">
      <c r="CK130" s="213"/>
      <c r="CL130" s="213"/>
    </row>
    <row r="131" spans="89:90">
      <c r="CK131" s="213"/>
      <c r="CL131" s="213"/>
    </row>
    <row r="132" spans="89:90">
      <c r="CK132" s="213"/>
      <c r="CL132" s="213"/>
    </row>
    <row r="133" spans="89:90">
      <c r="CK133" s="213"/>
      <c r="CL133" s="213"/>
    </row>
    <row r="134" spans="89:90">
      <c r="CK134" s="213"/>
      <c r="CL134" s="213"/>
    </row>
    <row r="135" spans="89:90">
      <c r="CK135" s="213"/>
      <c r="CL135" s="213"/>
    </row>
    <row r="136" spans="89:90">
      <c r="CK136" s="213"/>
      <c r="CL136" s="213"/>
    </row>
    <row r="137" spans="89:90">
      <c r="CK137" s="213"/>
      <c r="CL137" s="213"/>
    </row>
    <row r="138" spans="89:90">
      <c r="CK138" s="213"/>
      <c r="CL138" s="213"/>
    </row>
    <row r="139" spans="89:90">
      <c r="CK139" s="213"/>
      <c r="CL139" s="213"/>
    </row>
    <row r="140" spans="89:90">
      <c r="CK140" s="213"/>
      <c r="CL140" s="213"/>
    </row>
    <row r="141" spans="89:90">
      <c r="CK141" s="213"/>
      <c r="CL141" s="213"/>
    </row>
    <row r="142" spans="89:90">
      <c r="CK142" s="213"/>
      <c r="CL142" s="213"/>
    </row>
    <row r="143" spans="89:90">
      <c r="CK143" s="213"/>
      <c r="CL143" s="213"/>
    </row>
    <row r="144" spans="89:90">
      <c r="CK144" s="213"/>
      <c r="CL144" s="213"/>
    </row>
    <row r="145" spans="89:90">
      <c r="CK145" s="213"/>
      <c r="CL145" s="213"/>
    </row>
    <row r="146" spans="89:90">
      <c r="CK146" s="213"/>
      <c r="CL146" s="213"/>
    </row>
    <row r="147" spans="89:90">
      <c r="CK147" s="213"/>
      <c r="CL147" s="213"/>
    </row>
    <row r="148" spans="89:90">
      <c r="CK148" s="213"/>
      <c r="CL148" s="213"/>
    </row>
    <row r="149" spans="89:90">
      <c r="CK149" s="213"/>
      <c r="CL149" s="213"/>
    </row>
    <row r="150" spans="89:90">
      <c r="CK150" s="213"/>
      <c r="CL150" s="213"/>
    </row>
    <row r="151" spans="89:90">
      <c r="CK151" s="213"/>
      <c r="CL151" s="213"/>
    </row>
    <row r="152" spans="89:90">
      <c r="CK152" s="213"/>
      <c r="CL152" s="213"/>
    </row>
    <row r="153" spans="89:90">
      <c r="CK153" s="213"/>
      <c r="CL153" s="213"/>
    </row>
    <row r="154" spans="89:90">
      <c r="CK154" s="213"/>
      <c r="CL154" s="213"/>
    </row>
    <row r="155" spans="89:90">
      <c r="CK155" s="213"/>
      <c r="CL155" s="213"/>
    </row>
    <row r="156" spans="89:90">
      <c r="CK156" s="213"/>
      <c r="CL156" s="213"/>
    </row>
    <row r="157" spans="89:90">
      <c r="CK157" s="213"/>
      <c r="CL157" s="213"/>
    </row>
    <row r="158" spans="89:90">
      <c r="CK158" s="213"/>
      <c r="CL158" s="213"/>
    </row>
    <row r="159" spans="89:90">
      <c r="CK159" s="213"/>
      <c r="CL159" s="213"/>
    </row>
    <row r="160" spans="89:90">
      <c r="CK160" s="213"/>
      <c r="CL160" s="213"/>
    </row>
    <row r="161" spans="89:90">
      <c r="CK161" s="213"/>
      <c r="CL161" s="213"/>
    </row>
    <row r="162" spans="89:90">
      <c r="CK162" s="213"/>
      <c r="CL162" s="213"/>
    </row>
    <row r="163" spans="89:90">
      <c r="CK163" s="213"/>
      <c r="CL163" s="213"/>
    </row>
    <row r="164" spans="89:90">
      <c r="CK164" s="213"/>
      <c r="CL164" s="213"/>
    </row>
    <row r="165" spans="89:90">
      <c r="CK165" s="213"/>
      <c r="CL165" s="213"/>
    </row>
    <row r="166" spans="89:90">
      <c r="CK166" s="213"/>
      <c r="CL166" s="213"/>
    </row>
    <row r="167" spans="89:90">
      <c r="CK167" s="213"/>
      <c r="CL167" s="213"/>
    </row>
    <row r="168" spans="89:90">
      <c r="CK168" s="213"/>
      <c r="CL168" s="213"/>
    </row>
    <row r="169" spans="89:90">
      <c r="CK169" s="213"/>
      <c r="CL169" s="213"/>
    </row>
    <row r="170" spans="89:90">
      <c r="CK170" s="213"/>
      <c r="CL170" s="213"/>
    </row>
    <row r="171" spans="89:90">
      <c r="CK171" s="213"/>
      <c r="CL171" s="213"/>
    </row>
    <row r="172" spans="89:90">
      <c r="CK172" s="213"/>
      <c r="CL172" s="213"/>
    </row>
    <row r="173" spans="89:90">
      <c r="CK173" s="213"/>
      <c r="CL173" s="213"/>
    </row>
    <row r="174" spans="89:90">
      <c r="CK174" s="213"/>
      <c r="CL174" s="213"/>
    </row>
    <row r="175" spans="89:90">
      <c r="CK175" s="213"/>
      <c r="CL175" s="213"/>
    </row>
    <row r="176" spans="89:90">
      <c r="CK176" s="213"/>
      <c r="CL176" s="213"/>
    </row>
    <row r="177" spans="89:90">
      <c r="CK177" s="213"/>
      <c r="CL177" s="213"/>
    </row>
    <row r="178" spans="89:90">
      <c r="CK178" s="213"/>
      <c r="CL178" s="213"/>
    </row>
    <row r="179" spans="89:90">
      <c r="CK179" s="213"/>
      <c r="CL179" s="213"/>
    </row>
    <row r="180" spans="89:90">
      <c r="CK180" s="213"/>
      <c r="CL180" s="213"/>
    </row>
    <row r="181" spans="89:90">
      <c r="CK181" s="213"/>
      <c r="CL181" s="213"/>
    </row>
    <row r="182" spans="89:90">
      <c r="CK182" s="213"/>
      <c r="CL182" s="213"/>
    </row>
    <row r="183" spans="89:90">
      <c r="CK183" s="213"/>
      <c r="CL183" s="213"/>
    </row>
    <row r="184" spans="89:90">
      <c r="CK184" s="213"/>
      <c r="CL184" s="213"/>
    </row>
    <row r="185" spans="89:90">
      <c r="CK185" s="213"/>
      <c r="CL185" s="213"/>
    </row>
    <row r="186" spans="89:90">
      <c r="CK186" s="213"/>
      <c r="CL186" s="213"/>
    </row>
    <row r="187" spans="89:90">
      <c r="CK187" s="213"/>
      <c r="CL187" s="213"/>
    </row>
    <row r="188" spans="89:90">
      <c r="CK188" s="213"/>
      <c r="CL188" s="213"/>
    </row>
    <row r="189" spans="89:90">
      <c r="CK189" s="213"/>
      <c r="CL189" s="213"/>
    </row>
    <row r="190" spans="89:90">
      <c r="CK190" s="213"/>
      <c r="CL190" s="213"/>
    </row>
    <row r="191" spans="89:90">
      <c r="CK191" s="213"/>
      <c r="CL191" s="213"/>
    </row>
    <row r="192" spans="89:90">
      <c r="CK192" s="213"/>
      <c r="CL192" s="213"/>
    </row>
    <row r="193" spans="89:90">
      <c r="CK193" s="213"/>
      <c r="CL193" s="213"/>
    </row>
    <row r="194" spans="89:90">
      <c r="CK194" s="213"/>
      <c r="CL194" s="213"/>
    </row>
    <row r="195" spans="89:90">
      <c r="CK195" s="213"/>
      <c r="CL195" s="213"/>
    </row>
    <row r="196" spans="89:90">
      <c r="CK196" s="213"/>
      <c r="CL196" s="213"/>
    </row>
    <row r="197" spans="89:90">
      <c r="CK197" s="213"/>
      <c r="CL197" s="213"/>
    </row>
    <row r="198" spans="89:90">
      <c r="CK198" s="213"/>
      <c r="CL198" s="213"/>
    </row>
    <row r="199" spans="89:90">
      <c r="CK199" s="213"/>
      <c r="CL199" s="213"/>
    </row>
    <row r="200" spans="89:90">
      <c r="CK200" s="213"/>
      <c r="CL200" s="213"/>
    </row>
    <row r="201" spans="89:90">
      <c r="CK201" s="213"/>
      <c r="CL201" s="213"/>
    </row>
    <row r="202" spans="89:90">
      <c r="CK202" s="213"/>
      <c r="CL202" s="213"/>
    </row>
    <row r="203" spans="89:90">
      <c r="CK203" s="213"/>
      <c r="CL203" s="213"/>
    </row>
    <row r="204" spans="89:90">
      <c r="CK204" s="213"/>
      <c r="CL204" s="213"/>
    </row>
    <row r="205" spans="89:90">
      <c r="CK205" s="213"/>
      <c r="CL205" s="213"/>
    </row>
    <row r="206" spans="89:90">
      <c r="CK206" s="213"/>
      <c r="CL206" s="213"/>
    </row>
    <row r="207" spans="89:90">
      <c r="CK207" s="213"/>
      <c r="CL207" s="213"/>
    </row>
    <row r="208" spans="89:90">
      <c r="CK208" s="213"/>
      <c r="CL208" s="213"/>
    </row>
    <row r="209" spans="89:90">
      <c r="CK209" s="213"/>
      <c r="CL209" s="213"/>
    </row>
    <row r="210" spans="89:90">
      <c r="CK210" s="213"/>
      <c r="CL210" s="213"/>
    </row>
    <row r="211" spans="89:90">
      <c r="CK211" s="213"/>
      <c r="CL211" s="213"/>
    </row>
    <row r="212" spans="89:90">
      <c r="CK212" s="213"/>
      <c r="CL212" s="213"/>
    </row>
    <row r="213" spans="89:90">
      <c r="CK213" s="213"/>
      <c r="CL213" s="213"/>
    </row>
    <row r="214" spans="89:90">
      <c r="CK214" s="213"/>
      <c r="CL214" s="213"/>
    </row>
    <row r="215" spans="89:90">
      <c r="CK215" s="213"/>
      <c r="CL215" s="213"/>
    </row>
    <row r="216" spans="89:90">
      <c r="CK216" s="213"/>
      <c r="CL216" s="213"/>
    </row>
    <row r="217" spans="89:90">
      <c r="CK217" s="213"/>
      <c r="CL217" s="213"/>
    </row>
    <row r="218" spans="89:90">
      <c r="CK218" s="213"/>
      <c r="CL218" s="213"/>
    </row>
    <row r="219" spans="89:90">
      <c r="CK219" s="213"/>
      <c r="CL219" s="213"/>
    </row>
    <row r="220" spans="89:90">
      <c r="CK220" s="213"/>
      <c r="CL220" s="213"/>
    </row>
    <row r="221" spans="89:90">
      <c r="CK221" s="213"/>
      <c r="CL221" s="213"/>
    </row>
    <row r="222" spans="89:90">
      <c r="CK222" s="213"/>
      <c r="CL222" s="213"/>
    </row>
    <row r="223" spans="89:90">
      <c r="CK223" s="213"/>
      <c r="CL223" s="213"/>
    </row>
    <row r="224" spans="89:90">
      <c r="CK224" s="213"/>
      <c r="CL224" s="213"/>
    </row>
    <row r="225" spans="89:90">
      <c r="CK225" s="213"/>
      <c r="CL225" s="213"/>
    </row>
    <row r="226" spans="89:90">
      <c r="CK226" s="213"/>
      <c r="CL226" s="213"/>
    </row>
    <row r="227" spans="89:90">
      <c r="CK227" s="213"/>
      <c r="CL227" s="213"/>
    </row>
    <row r="228" spans="89:90">
      <c r="CK228" s="213"/>
      <c r="CL228" s="213"/>
    </row>
    <row r="229" spans="89:90">
      <c r="CK229" s="213"/>
      <c r="CL229" s="213"/>
    </row>
    <row r="230" spans="89:90">
      <c r="CK230" s="213"/>
      <c r="CL230" s="213"/>
    </row>
    <row r="231" spans="89:90">
      <c r="CK231" s="213"/>
      <c r="CL231" s="213"/>
    </row>
    <row r="232" spans="89:90">
      <c r="CK232" s="213"/>
      <c r="CL232" s="213"/>
    </row>
    <row r="233" spans="89:90">
      <c r="CK233" s="213"/>
      <c r="CL233" s="213"/>
    </row>
    <row r="234" spans="89:90">
      <c r="CK234" s="213"/>
      <c r="CL234" s="213"/>
    </row>
    <row r="235" spans="89:90">
      <c r="CK235" s="213"/>
      <c r="CL235" s="213"/>
    </row>
    <row r="236" spans="89:90">
      <c r="CK236" s="213"/>
      <c r="CL236" s="213"/>
    </row>
    <row r="237" spans="89:90">
      <c r="CK237" s="213"/>
      <c r="CL237" s="213"/>
    </row>
    <row r="238" spans="89:90">
      <c r="CK238" s="213"/>
      <c r="CL238" s="213"/>
    </row>
    <row r="239" spans="89:90">
      <c r="CK239" s="213"/>
      <c r="CL239" s="213"/>
    </row>
    <row r="240" spans="89:90">
      <c r="CK240" s="213"/>
      <c r="CL240" s="213"/>
    </row>
    <row r="241" spans="89:90">
      <c r="CK241" s="213"/>
      <c r="CL241" s="213"/>
    </row>
    <row r="242" spans="89:90">
      <c r="CK242" s="213"/>
      <c r="CL242" s="213"/>
    </row>
    <row r="243" spans="89:90">
      <c r="CK243" s="213"/>
      <c r="CL243" s="213"/>
    </row>
    <row r="244" spans="89:90">
      <c r="CK244" s="213"/>
      <c r="CL244" s="213"/>
    </row>
    <row r="245" spans="89:90">
      <c r="CK245" s="213"/>
      <c r="CL245" s="213"/>
    </row>
    <row r="246" spans="89:90">
      <c r="CK246" s="213"/>
      <c r="CL246" s="213"/>
    </row>
    <row r="247" spans="89:90">
      <c r="CK247" s="213"/>
      <c r="CL247" s="213"/>
    </row>
    <row r="248" spans="89:90">
      <c r="CK248" s="213"/>
      <c r="CL248" s="213"/>
    </row>
    <row r="249" spans="89:90">
      <c r="CK249" s="213"/>
      <c r="CL249" s="213"/>
    </row>
    <row r="250" spans="89:90">
      <c r="CK250" s="213"/>
      <c r="CL250" s="213"/>
    </row>
    <row r="251" spans="89:90">
      <c r="CK251" s="213"/>
      <c r="CL251" s="213"/>
    </row>
    <row r="252" spans="89:90">
      <c r="CK252" s="213"/>
      <c r="CL252" s="213"/>
    </row>
    <row r="253" spans="89:90">
      <c r="CK253" s="213"/>
      <c r="CL253" s="213"/>
    </row>
    <row r="254" spans="89:90">
      <c r="CK254" s="213"/>
      <c r="CL254" s="213"/>
    </row>
    <row r="255" spans="89:90">
      <c r="CK255" s="213"/>
      <c r="CL255" s="213"/>
    </row>
    <row r="256" spans="89:90">
      <c r="CK256" s="213"/>
      <c r="CL256" s="213"/>
    </row>
    <row r="257" spans="8:90">
      <c r="CK257" s="213"/>
      <c r="CL257" s="213"/>
    </row>
    <row r="258" spans="8:90">
      <c r="CK258" s="213"/>
      <c r="CL258" s="213"/>
    </row>
    <row r="259" spans="8:90">
      <c r="CK259" s="213"/>
      <c r="CL259" s="213"/>
    </row>
    <row r="260" spans="8:90">
      <c r="CK260" s="213"/>
      <c r="CL260" s="213"/>
    </row>
    <row r="261" spans="8:90">
      <c r="CK261" s="213"/>
      <c r="CL261" s="213"/>
    </row>
    <row r="262" spans="8:90">
      <c r="CK262" s="213"/>
      <c r="CL262" s="213"/>
    </row>
    <row r="263" spans="8:90">
      <c r="CK263" s="213"/>
      <c r="CL263" s="213"/>
    </row>
    <row r="264" spans="8:90">
      <c r="CK264" s="213"/>
      <c r="CL264" s="213"/>
    </row>
    <row r="265" spans="8:90">
      <c r="CK265" s="213"/>
      <c r="CL265" s="213"/>
    </row>
    <row r="266" spans="8:90">
      <c r="CK266" s="213"/>
      <c r="CL266" s="213"/>
    </row>
    <row r="267" spans="8:90">
      <c r="H267" s="472"/>
    </row>
    <row r="268" spans="8:90">
      <c r="H268" s="472"/>
    </row>
    <row r="269" spans="8:90">
      <c r="H269" s="472"/>
    </row>
    <row r="270" spans="8:90">
      <c r="H270" s="472"/>
    </row>
  </sheetData>
  <mergeCells count="2">
    <mergeCell ref="B2:F5"/>
    <mergeCell ref="B7:D7"/>
  </mergeCells>
  <phoneticPr fontId="16"/>
  <pageMargins left="0.70866141732283472" right="0.70866141732283472" top="0.74803149606299213" bottom="0.74803149606299213" header="0.31496062992125984" footer="0.31496062992125984"/>
  <pageSetup paperSize="9" scale="10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CQ87"/>
  <sheetViews>
    <sheetView showGridLines="0" zoomScale="70" zoomScaleNormal="70" zoomScaleSheetLayoutView="100" workbookViewId="0">
      <pane ySplit="7" topLeftCell="A8" activePane="bottomLeft" state="frozen"/>
      <selection activeCell="EA34" sqref="EA34"/>
      <selection pane="bottomLeft" activeCell="A8" sqref="A8"/>
    </sheetView>
  </sheetViews>
  <sheetFormatPr defaultColWidth="10.83203125" defaultRowHeight="15.75" outlineLevelCol="2"/>
  <cols>
    <col min="1" max="1" width="3.5" style="358" customWidth="1"/>
    <col min="2" max="2" width="6.83203125" style="358" customWidth="1"/>
    <col min="3" max="3" width="24" style="358" customWidth="1"/>
    <col min="4" max="4" width="16.83203125" style="358" customWidth="1"/>
    <col min="5" max="5" width="50.1640625" style="358" customWidth="1"/>
    <col min="6" max="6" width="10.83203125" style="358" customWidth="1"/>
    <col min="7" max="12" width="10.6640625" style="358" customWidth="1"/>
    <col min="13" max="13" width="18.83203125" style="358" customWidth="1" outlineLevel="1"/>
    <col min="14" max="14" width="16.83203125" style="358" customWidth="1" outlineLevel="1"/>
    <col min="15" max="15" width="18.83203125" style="358" customWidth="1"/>
    <col min="16" max="16" width="16.83203125" style="358" customWidth="1"/>
    <col min="17" max="18" width="10" style="358" customWidth="1"/>
    <col min="19" max="19" width="43.5" style="358" customWidth="1"/>
    <col min="20" max="20" width="4.83203125" style="358" customWidth="1"/>
    <col min="21" max="21" width="10" style="358" customWidth="1"/>
    <col min="22" max="22" width="29.5" style="431" customWidth="1"/>
    <col min="23" max="23" width="14.1640625" style="358" customWidth="1" outlineLevel="1"/>
    <col min="24" max="24" width="56.83203125" style="358" customWidth="1" outlineLevel="1"/>
    <col min="25" max="31" width="9.5" style="358" customWidth="1" outlineLevel="1"/>
    <col min="32" max="32" width="14.1640625" style="358" customWidth="1" outlineLevel="1"/>
    <col min="33" max="33" width="13.5" style="358" customWidth="1" outlineLevel="1"/>
    <col min="34" max="34" width="51.5" style="358" customWidth="1" outlineLevel="2"/>
    <col min="35" max="35" width="4.83203125" style="358" customWidth="1" outlineLevel="2"/>
    <col min="36" max="36" width="14.1640625" style="358" customWidth="1" outlineLevel="1"/>
    <col min="37" max="37" width="13.5" style="358" customWidth="1" outlineLevel="1"/>
    <col min="38" max="38" width="51.5" style="358" customWidth="1" outlineLevel="1"/>
    <col min="39" max="39" width="14.6640625" style="431" customWidth="1"/>
    <col min="40" max="41" width="11.5" style="446" customWidth="1"/>
    <col min="42" max="16384" width="10.83203125" style="358"/>
  </cols>
  <sheetData>
    <row r="2" spans="2:95" ht="26.85" customHeight="1">
      <c r="B2" s="348" t="s">
        <v>292</v>
      </c>
      <c r="C2" s="349"/>
      <c r="D2" s="349"/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49"/>
      <c r="P2" s="349"/>
      <c r="Q2" s="349"/>
      <c r="R2" s="349"/>
      <c r="S2" s="350"/>
      <c r="T2" s="351"/>
      <c r="U2" s="352" t="s">
        <v>293</v>
      </c>
      <c r="V2" s="353"/>
      <c r="W2" s="353"/>
      <c r="X2" s="353"/>
      <c r="Y2" s="353"/>
      <c r="Z2" s="353"/>
      <c r="AA2" s="353"/>
      <c r="AB2" s="353"/>
      <c r="AC2" s="353"/>
      <c r="AD2" s="353"/>
      <c r="AE2" s="353"/>
      <c r="AF2" s="353"/>
      <c r="AG2" s="353"/>
      <c r="AH2" s="354"/>
      <c r="AI2" s="351"/>
      <c r="AJ2" s="355" t="s">
        <v>294</v>
      </c>
      <c r="AK2" s="356"/>
      <c r="AL2" s="357"/>
      <c r="AM2" s="358"/>
      <c r="AN2" s="358"/>
      <c r="AO2" s="358"/>
    </row>
    <row r="3" spans="2:95">
      <c r="B3" s="359" t="s">
        <v>295</v>
      </c>
      <c r="C3" s="349"/>
      <c r="D3" s="349"/>
      <c r="E3" s="349"/>
      <c r="F3" s="349"/>
      <c r="G3" s="349"/>
      <c r="H3" s="349"/>
      <c r="I3" s="349"/>
      <c r="J3" s="349"/>
      <c r="K3" s="349"/>
      <c r="L3" s="349"/>
      <c r="M3" s="349" t="s">
        <v>296</v>
      </c>
      <c r="N3" s="349"/>
      <c r="O3" s="349"/>
      <c r="P3" s="349"/>
      <c r="Q3" s="349"/>
      <c r="R3" s="349"/>
      <c r="S3" s="350"/>
      <c r="T3" s="351"/>
      <c r="U3" s="360" t="s">
        <v>295</v>
      </c>
      <c r="V3" s="353"/>
      <c r="W3" s="353"/>
      <c r="X3" s="353"/>
      <c r="Y3" s="353"/>
      <c r="Z3" s="353"/>
      <c r="AA3" s="353"/>
      <c r="AB3" s="353"/>
      <c r="AC3" s="353"/>
      <c r="AD3" s="353"/>
      <c r="AE3" s="353"/>
      <c r="AF3" s="361" t="s">
        <v>297</v>
      </c>
      <c r="AG3" s="362"/>
      <c r="AH3" s="363"/>
      <c r="AI3" s="351"/>
      <c r="AJ3" s="364"/>
      <c r="AK3" s="365"/>
      <c r="AL3" s="366"/>
      <c r="AM3" s="358"/>
      <c r="AN3" s="358"/>
      <c r="AO3" s="358"/>
    </row>
    <row r="4" spans="2:95">
      <c r="B4" s="367" t="s">
        <v>298</v>
      </c>
      <c r="C4" s="368"/>
      <c r="D4" s="368"/>
      <c r="E4" s="368"/>
      <c r="F4" s="368"/>
      <c r="G4" s="368"/>
      <c r="H4" s="368"/>
      <c r="I4" s="368"/>
      <c r="J4" s="368"/>
      <c r="K4" s="368"/>
      <c r="L4" s="368"/>
      <c r="M4" s="368" t="s">
        <v>299</v>
      </c>
      <c r="N4" s="368"/>
      <c r="O4" s="367" t="s">
        <v>300</v>
      </c>
      <c r="P4" s="368"/>
      <c r="Q4" s="368"/>
      <c r="R4" s="368"/>
      <c r="S4" s="369"/>
      <c r="T4" s="370"/>
      <c r="U4" s="371" t="s">
        <v>298</v>
      </c>
      <c r="V4" s="372"/>
      <c r="W4" s="372"/>
      <c r="X4" s="372"/>
      <c r="Y4" s="372"/>
      <c r="Z4" s="372"/>
      <c r="AA4" s="372"/>
      <c r="AB4" s="372"/>
      <c r="AC4" s="372"/>
      <c r="AD4" s="372"/>
      <c r="AE4" s="372"/>
      <c r="AF4" s="373" t="s">
        <v>301</v>
      </c>
      <c r="AG4" s="374"/>
      <c r="AH4" s="375"/>
      <c r="AI4" s="370"/>
      <c r="AJ4" s="376"/>
      <c r="AK4" s="377"/>
      <c r="AL4" s="378"/>
      <c r="AM4" s="358"/>
      <c r="AN4" s="358"/>
      <c r="AO4" s="358"/>
    </row>
    <row r="5" spans="2:95" ht="43.35" customHeight="1">
      <c r="B5" s="379" t="s">
        <v>302</v>
      </c>
      <c r="C5" s="379" t="s">
        <v>303</v>
      </c>
      <c r="D5" s="380" t="s">
        <v>304</v>
      </c>
      <c r="E5" s="380" t="s">
        <v>305</v>
      </c>
      <c r="F5" s="379" t="s">
        <v>306</v>
      </c>
      <c r="G5" s="379" t="s">
        <v>196</v>
      </c>
      <c r="H5" s="380" t="s">
        <v>307</v>
      </c>
      <c r="I5" s="379" t="s">
        <v>308</v>
      </c>
      <c r="J5" s="379" t="s">
        <v>309</v>
      </c>
      <c r="K5" s="380" t="s">
        <v>310</v>
      </c>
      <c r="L5" s="380" t="s">
        <v>311</v>
      </c>
      <c r="M5" s="380" t="s">
        <v>312</v>
      </c>
      <c r="N5" s="379" t="s">
        <v>303</v>
      </c>
      <c r="O5" s="380" t="s">
        <v>312</v>
      </c>
      <c r="P5" s="379" t="s">
        <v>303</v>
      </c>
      <c r="Q5" s="379" t="s">
        <v>309</v>
      </c>
      <c r="R5" s="380" t="s">
        <v>310</v>
      </c>
      <c r="S5" s="379" t="s">
        <v>313</v>
      </c>
      <c r="T5" s="381"/>
      <c r="U5" s="382" t="s">
        <v>302</v>
      </c>
      <c r="V5" s="382" t="s">
        <v>303</v>
      </c>
      <c r="W5" s="382" t="s">
        <v>304</v>
      </c>
      <c r="X5" s="383" t="s">
        <v>314</v>
      </c>
      <c r="Y5" s="382" t="s">
        <v>306</v>
      </c>
      <c r="Z5" s="382" t="s">
        <v>196</v>
      </c>
      <c r="AA5" s="383" t="s">
        <v>307</v>
      </c>
      <c r="AB5" s="382" t="s">
        <v>308</v>
      </c>
      <c r="AC5" s="382" t="s">
        <v>309</v>
      </c>
      <c r="AD5" s="383" t="s">
        <v>310</v>
      </c>
      <c r="AE5" s="383" t="s">
        <v>311</v>
      </c>
      <c r="AF5" s="384" t="s">
        <v>315</v>
      </c>
      <c r="AG5" s="385" t="s">
        <v>316</v>
      </c>
      <c r="AH5" s="385" t="s">
        <v>317</v>
      </c>
      <c r="AI5" s="381"/>
      <c r="AJ5" s="386" t="s">
        <v>318</v>
      </c>
      <c r="AK5" s="386" t="s">
        <v>319</v>
      </c>
      <c r="AL5" s="386" t="s">
        <v>320</v>
      </c>
      <c r="AM5" s="358"/>
      <c r="AN5" s="358"/>
      <c r="AO5" s="358"/>
      <c r="CQ5" s="387"/>
    </row>
    <row r="6" spans="2:95" ht="19.7" customHeight="1">
      <c r="B6" s="388" t="s">
        <v>321</v>
      </c>
      <c r="C6" s="388" t="s">
        <v>322</v>
      </c>
      <c r="D6" s="389" t="s">
        <v>323</v>
      </c>
      <c r="E6" s="389" t="s">
        <v>324</v>
      </c>
      <c r="F6" s="389" t="s">
        <v>325</v>
      </c>
      <c r="G6" s="389" t="s">
        <v>197</v>
      </c>
      <c r="H6" s="389" t="s">
        <v>326</v>
      </c>
      <c r="I6" s="389" t="s">
        <v>327</v>
      </c>
      <c r="J6" s="389" t="s">
        <v>328</v>
      </c>
      <c r="K6" s="389" t="s">
        <v>329</v>
      </c>
      <c r="L6" s="389" t="s">
        <v>330</v>
      </c>
      <c r="M6" s="389" t="s">
        <v>331</v>
      </c>
      <c r="N6" s="389" t="s">
        <v>322</v>
      </c>
      <c r="O6" s="389" t="s">
        <v>331</v>
      </c>
      <c r="P6" s="389" t="s">
        <v>322</v>
      </c>
      <c r="Q6" s="389" t="s">
        <v>328</v>
      </c>
      <c r="R6" s="389" t="s">
        <v>329</v>
      </c>
      <c r="S6" s="389" t="s">
        <v>332</v>
      </c>
      <c r="T6" s="390"/>
      <c r="U6" s="391" t="s">
        <v>321</v>
      </c>
      <c r="V6" s="391" t="s">
        <v>322</v>
      </c>
      <c r="W6" s="391" t="s">
        <v>323</v>
      </c>
      <c r="X6" s="392" t="s">
        <v>324</v>
      </c>
      <c r="Y6" s="391" t="s">
        <v>325</v>
      </c>
      <c r="Z6" s="391" t="s">
        <v>197</v>
      </c>
      <c r="AA6" s="392" t="s">
        <v>326</v>
      </c>
      <c r="AB6" s="391" t="s">
        <v>327</v>
      </c>
      <c r="AC6" s="391" t="s">
        <v>328</v>
      </c>
      <c r="AD6" s="392" t="s">
        <v>329</v>
      </c>
      <c r="AE6" s="392" t="s">
        <v>330</v>
      </c>
      <c r="AF6" s="393" t="s">
        <v>333</v>
      </c>
      <c r="AG6" s="394" t="s">
        <v>334</v>
      </c>
      <c r="AH6" s="394" t="s">
        <v>335</v>
      </c>
      <c r="AI6" s="390"/>
      <c r="AJ6" s="395" t="s">
        <v>318</v>
      </c>
      <c r="AK6" s="396" t="s">
        <v>336</v>
      </c>
      <c r="AL6" s="396" t="s">
        <v>337</v>
      </c>
      <c r="AM6" s="358"/>
      <c r="AN6" s="358"/>
      <c r="AO6" s="358"/>
    </row>
    <row r="7" spans="2:95" ht="23.1" customHeight="1">
      <c r="B7" s="388"/>
      <c r="C7" s="388"/>
      <c r="D7" s="389"/>
      <c r="E7" s="389"/>
      <c r="F7" s="389"/>
      <c r="G7" s="389"/>
      <c r="H7" s="389"/>
      <c r="I7" s="389"/>
      <c r="J7" s="389"/>
      <c r="K7" s="389"/>
      <c r="L7" s="389"/>
      <c r="M7" s="389"/>
      <c r="N7" s="389"/>
      <c r="O7" s="389"/>
      <c r="P7" s="389"/>
      <c r="Q7" s="389"/>
      <c r="R7" s="389"/>
      <c r="S7" s="389"/>
      <c r="T7" s="390"/>
      <c r="U7" s="397"/>
      <c r="V7" s="397"/>
      <c r="W7" s="397"/>
      <c r="X7" s="398"/>
      <c r="Y7" s="398"/>
      <c r="Z7" s="398"/>
      <c r="AA7" s="398"/>
      <c r="AB7" s="382"/>
      <c r="AC7" s="382"/>
      <c r="AD7" s="382"/>
      <c r="AE7" s="382"/>
      <c r="AF7" s="399"/>
      <c r="AG7" s="399"/>
      <c r="AH7" s="399"/>
      <c r="AI7" s="390"/>
      <c r="AJ7" s="400"/>
      <c r="AK7" s="400"/>
      <c r="AL7" s="400"/>
      <c r="AM7" s="358"/>
      <c r="AN7" s="358"/>
      <c r="AO7" s="358"/>
    </row>
    <row r="8" spans="2:95" ht="63">
      <c r="B8" s="401">
        <v>1</v>
      </c>
      <c r="C8" s="402" t="s">
        <v>338</v>
      </c>
      <c r="D8" s="403" t="s">
        <v>199</v>
      </c>
      <c r="E8" s="404" t="s">
        <v>339</v>
      </c>
      <c r="F8" s="405" t="s">
        <v>203</v>
      </c>
      <c r="G8" s="406" t="s">
        <v>201</v>
      </c>
      <c r="H8" s="405" t="s">
        <v>201</v>
      </c>
      <c r="I8" s="402" t="s">
        <v>340</v>
      </c>
      <c r="J8" s="402">
        <v>4</v>
      </c>
      <c r="K8" s="405">
        <v>0</v>
      </c>
      <c r="L8" s="407" t="s">
        <v>201</v>
      </c>
      <c r="M8" s="404" t="s">
        <v>341</v>
      </c>
      <c r="N8" s="402" t="s">
        <v>338</v>
      </c>
      <c r="O8" s="404" t="s">
        <v>202</v>
      </c>
      <c r="P8" s="402"/>
      <c r="Q8" s="408">
        <v>4</v>
      </c>
      <c r="R8" s="405">
        <v>0</v>
      </c>
      <c r="S8" s="402"/>
      <c r="T8" s="409"/>
      <c r="U8" s="401">
        <v>2</v>
      </c>
      <c r="V8" s="402" t="s">
        <v>338</v>
      </c>
      <c r="W8" s="403" t="s">
        <v>199</v>
      </c>
      <c r="X8" s="402" t="s">
        <v>342</v>
      </c>
      <c r="Y8" s="405" t="s">
        <v>203</v>
      </c>
      <c r="Z8" s="406"/>
      <c r="AA8" s="405"/>
      <c r="AB8" s="402" t="s">
        <v>343</v>
      </c>
      <c r="AC8" s="408">
        <v>4</v>
      </c>
      <c r="AD8" s="405">
        <v>0</v>
      </c>
      <c r="AE8" s="406" t="s">
        <v>201</v>
      </c>
      <c r="AF8" s="410" t="s">
        <v>203</v>
      </c>
      <c r="AG8" s="411" t="s">
        <v>344</v>
      </c>
      <c r="AH8" s="412" t="s">
        <v>204</v>
      </c>
      <c r="AI8" s="409"/>
      <c r="AJ8" s="413"/>
      <c r="AK8" s="413"/>
      <c r="AL8" s="413"/>
      <c r="AM8" s="358"/>
      <c r="AN8" s="358"/>
      <c r="AO8" s="358"/>
    </row>
    <row r="9" spans="2:95" ht="63">
      <c r="B9" s="401">
        <v>2</v>
      </c>
      <c r="C9" s="402" t="s">
        <v>346</v>
      </c>
      <c r="D9" s="403" t="s">
        <v>205</v>
      </c>
      <c r="E9" s="404" t="s">
        <v>347</v>
      </c>
      <c r="F9" s="405" t="s">
        <v>203</v>
      </c>
      <c r="G9" s="406" t="s">
        <v>203</v>
      </c>
      <c r="H9" s="405" t="s">
        <v>201</v>
      </c>
      <c r="I9" s="402" t="s">
        <v>340</v>
      </c>
      <c r="J9" s="414">
        <v>10</v>
      </c>
      <c r="K9" s="405">
        <v>0</v>
      </c>
      <c r="L9" s="407" t="s">
        <v>201</v>
      </c>
      <c r="M9" s="404" t="s">
        <v>341</v>
      </c>
      <c r="N9" s="402" t="s">
        <v>346</v>
      </c>
      <c r="O9" s="404" t="s">
        <v>202</v>
      </c>
      <c r="P9" s="402"/>
      <c r="Q9" s="408">
        <v>10</v>
      </c>
      <c r="R9" s="405">
        <v>0</v>
      </c>
      <c r="S9" s="402"/>
      <c r="T9" s="409"/>
      <c r="U9" s="401">
        <v>3</v>
      </c>
      <c r="V9" s="402" t="s">
        <v>346</v>
      </c>
      <c r="W9" s="403" t="s">
        <v>206</v>
      </c>
      <c r="X9" s="402" t="s">
        <v>348</v>
      </c>
      <c r="Y9" s="405" t="s">
        <v>203</v>
      </c>
      <c r="Z9" s="406"/>
      <c r="AA9" s="405"/>
      <c r="AB9" s="402" t="s">
        <v>343</v>
      </c>
      <c r="AC9" s="408">
        <v>12</v>
      </c>
      <c r="AD9" s="405">
        <v>0</v>
      </c>
      <c r="AE9" s="406" t="s">
        <v>201</v>
      </c>
      <c r="AF9" s="410" t="s">
        <v>203</v>
      </c>
      <c r="AG9" s="411" t="s">
        <v>349</v>
      </c>
      <c r="AH9" s="411" t="s">
        <v>207</v>
      </c>
      <c r="AI9" s="409"/>
      <c r="AJ9" s="413"/>
      <c r="AK9" s="413"/>
      <c r="AL9" s="413"/>
      <c r="AM9" s="358"/>
      <c r="AN9" s="358"/>
      <c r="AO9" s="358"/>
    </row>
    <row r="10" spans="2:95" ht="63">
      <c r="B10" s="401">
        <v>3</v>
      </c>
      <c r="C10" s="402" t="s">
        <v>351</v>
      </c>
      <c r="D10" s="403" t="s">
        <v>208</v>
      </c>
      <c r="E10" s="404" t="s">
        <v>352</v>
      </c>
      <c r="F10" s="405" t="s">
        <v>203</v>
      </c>
      <c r="G10" s="406" t="s">
        <v>203</v>
      </c>
      <c r="H10" s="405" t="s">
        <v>201</v>
      </c>
      <c r="I10" s="402" t="s">
        <v>340</v>
      </c>
      <c r="J10" s="415">
        <v>6</v>
      </c>
      <c r="K10" s="405">
        <v>0</v>
      </c>
      <c r="L10" s="407" t="s">
        <v>201</v>
      </c>
      <c r="M10" s="404" t="s">
        <v>341</v>
      </c>
      <c r="N10" s="402" t="s">
        <v>353</v>
      </c>
      <c r="O10" s="404" t="s">
        <v>202</v>
      </c>
      <c r="P10" s="402"/>
      <c r="Q10" s="408">
        <v>6</v>
      </c>
      <c r="R10" s="405">
        <v>0</v>
      </c>
      <c r="S10" s="402"/>
      <c r="T10" s="409"/>
      <c r="U10" s="401">
        <v>4</v>
      </c>
      <c r="V10" s="402" t="s">
        <v>351</v>
      </c>
      <c r="W10" s="403" t="s">
        <v>209</v>
      </c>
      <c r="X10" s="402" t="s">
        <v>348</v>
      </c>
      <c r="Y10" s="405" t="s">
        <v>203</v>
      </c>
      <c r="Z10" s="406"/>
      <c r="AA10" s="405"/>
      <c r="AB10" s="402" t="s">
        <v>343</v>
      </c>
      <c r="AC10" s="408">
        <v>2</v>
      </c>
      <c r="AD10" s="405">
        <v>0</v>
      </c>
      <c r="AE10" s="406" t="s">
        <v>201</v>
      </c>
      <c r="AF10" s="410" t="s">
        <v>203</v>
      </c>
      <c r="AG10" s="411" t="s">
        <v>349</v>
      </c>
      <c r="AH10" s="412" t="s">
        <v>354</v>
      </c>
      <c r="AI10" s="409"/>
      <c r="AJ10" s="413"/>
      <c r="AK10" s="413"/>
      <c r="AL10" s="413"/>
      <c r="AM10" s="358"/>
      <c r="AN10" s="358"/>
      <c r="AO10" s="358"/>
    </row>
    <row r="11" spans="2:95" ht="63">
      <c r="B11" s="401">
        <v>4</v>
      </c>
      <c r="C11" s="402" t="s">
        <v>356</v>
      </c>
      <c r="D11" s="403" t="s">
        <v>210</v>
      </c>
      <c r="E11" s="404" t="s">
        <v>357</v>
      </c>
      <c r="F11" s="405" t="s">
        <v>203</v>
      </c>
      <c r="G11" s="406" t="s">
        <v>201</v>
      </c>
      <c r="H11" s="405" t="s">
        <v>201</v>
      </c>
      <c r="I11" s="402" t="s">
        <v>340</v>
      </c>
      <c r="J11" s="402">
        <v>5</v>
      </c>
      <c r="K11" s="405">
        <v>0</v>
      </c>
      <c r="L11" s="407" t="s">
        <v>201</v>
      </c>
      <c r="M11" s="404"/>
      <c r="N11" s="402"/>
      <c r="O11" s="404" t="s">
        <v>202</v>
      </c>
      <c r="P11" s="402"/>
      <c r="Q11" s="408">
        <v>5</v>
      </c>
      <c r="R11" s="405">
        <v>0</v>
      </c>
      <c r="S11" s="402" t="s">
        <v>358</v>
      </c>
      <c r="T11" s="409"/>
      <c r="U11" s="401">
        <v>5</v>
      </c>
      <c r="V11" s="402" t="s">
        <v>356</v>
      </c>
      <c r="W11" s="403" t="s">
        <v>210</v>
      </c>
      <c r="X11" s="402" t="s">
        <v>359</v>
      </c>
      <c r="Y11" s="405" t="s">
        <v>203</v>
      </c>
      <c r="Z11" s="406"/>
      <c r="AA11" s="405"/>
      <c r="AB11" s="402" t="s">
        <v>343</v>
      </c>
      <c r="AC11" s="408">
        <v>5</v>
      </c>
      <c r="AD11" s="405">
        <v>0</v>
      </c>
      <c r="AE11" s="406" t="s">
        <v>201</v>
      </c>
      <c r="AF11" s="410"/>
      <c r="AG11" s="411"/>
      <c r="AH11" s="411"/>
      <c r="AI11" s="409"/>
      <c r="AJ11" s="413"/>
      <c r="AK11" s="413"/>
      <c r="AL11" s="413"/>
      <c r="AM11" s="358"/>
      <c r="AN11" s="358"/>
      <c r="AO11" s="358"/>
    </row>
    <row r="12" spans="2:95" ht="63">
      <c r="B12" s="401">
        <v>5</v>
      </c>
      <c r="C12" s="402" t="s">
        <v>360</v>
      </c>
      <c r="D12" s="403" t="s">
        <v>212</v>
      </c>
      <c r="E12" s="404" t="s">
        <v>361</v>
      </c>
      <c r="F12" s="405" t="s">
        <v>203</v>
      </c>
      <c r="G12" s="406" t="s">
        <v>201</v>
      </c>
      <c r="H12" s="405" t="s">
        <v>201</v>
      </c>
      <c r="I12" s="402" t="s">
        <v>340</v>
      </c>
      <c r="J12" s="415">
        <v>7</v>
      </c>
      <c r="K12" s="405">
        <v>0</v>
      </c>
      <c r="L12" s="407" t="s">
        <v>201</v>
      </c>
      <c r="M12" s="404" t="s">
        <v>341</v>
      </c>
      <c r="N12" s="402" t="s">
        <v>362</v>
      </c>
      <c r="O12" s="404" t="s">
        <v>202</v>
      </c>
      <c r="P12" s="402"/>
      <c r="Q12" s="408">
        <v>7</v>
      </c>
      <c r="R12" s="405">
        <v>0</v>
      </c>
      <c r="S12" s="402"/>
      <c r="T12" s="409"/>
      <c r="U12" s="401">
        <v>9</v>
      </c>
      <c r="V12" s="402" t="s">
        <v>360</v>
      </c>
      <c r="W12" s="403" t="s">
        <v>210</v>
      </c>
      <c r="X12" s="402" t="s">
        <v>363</v>
      </c>
      <c r="Y12" s="405" t="s">
        <v>203</v>
      </c>
      <c r="Z12" s="406"/>
      <c r="AA12" s="405"/>
      <c r="AB12" s="402" t="s">
        <v>343</v>
      </c>
      <c r="AC12" s="408">
        <v>5</v>
      </c>
      <c r="AD12" s="405">
        <v>0</v>
      </c>
      <c r="AE12" s="406" t="s">
        <v>201</v>
      </c>
      <c r="AF12" s="410" t="s">
        <v>203</v>
      </c>
      <c r="AG12" s="411" t="s">
        <v>344</v>
      </c>
      <c r="AH12" s="412" t="s">
        <v>364</v>
      </c>
      <c r="AI12" s="409"/>
      <c r="AJ12" s="413"/>
      <c r="AK12" s="413"/>
      <c r="AL12" s="413"/>
      <c r="AM12" s="358"/>
      <c r="AN12" s="358"/>
      <c r="AO12" s="358"/>
    </row>
    <row r="13" spans="2:95" ht="126">
      <c r="B13" s="401">
        <v>6</v>
      </c>
      <c r="C13" s="402" t="s">
        <v>366</v>
      </c>
      <c r="D13" s="403" t="s">
        <v>270</v>
      </c>
      <c r="E13" s="404" t="s">
        <v>367</v>
      </c>
      <c r="F13" s="405" t="s">
        <v>203</v>
      </c>
      <c r="G13" s="406" t="s">
        <v>201</v>
      </c>
      <c r="H13" s="405" t="s">
        <v>201</v>
      </c>
      <c r="I13" s="402" t="s">
        <v>340</v>
      </c>
      <c r="J13" s="415">
        <v>35</v>
      </c>
      <c r="K13" s="405">
        <v>0</v>
      </c>
      <c r="L13" s="407" t="s">
        <v>201</v>
      </c>
      <c r="M13" s="404" t="s">
        <v>213</v>
      </c>
      <c r="N13" s="402" t="s">
        <v>214</v>
      </c>
      <c r="O13" s="404" t="s">
        <v>202</v>
      </c>
      <c r="P13" s="402"/>
      <c r="Q13" s="408">
        <v>35</v>
      </c>
      <c r="R13" s="405">
        <v>0</v>
      </c>
      <c r="S13" s="402"/>
      <c r="T13" s="409"/>
      <c r="U13" s="401">
        <v>10</v>
      </c>
      <c r="V13" s="402" t="s">
        <v>366</v>
      </c>
      <c r="W13" s="403" t="s">
        <v>368</v>
      </c>
      <c r="X13" s="402" t="s">
        <v>367</v>
      </c>
      <c r="Y13" s="405" t="s">
        <v>203</v>
      </c>
      <c r="Z13" s="406"/>
      <c r="AA13" s="405"/>
      <c r="AB13" s="402" t="s">
        <v>369</v>
      </c>
      <c r="AC13" s="408">
        <v>42</v>
      </c>
      <c r="AD13" s="405">
        <v>0</v>
      </c>
      <c r="AE13" s="406" t="s">
        <v>201</v>
      </c>
      <c r="AF13" s="410" t="s">
        <v>203</v>
      </c>
      <c r="AG13" s="411" t="s">
        <v>349</v>
      </c>
      <c r="AH13" s="416" t="s">
        <v>215</v>
      </c>
      <c r="AI13" s="409"/>
      <c r="AJ13" s="413">
        <v>0.01</v>
      </c>
      <c r="AK13" s="413" t="s">
        <v>370</v>
      </c>
      <c r="AL13" s="413" t="s">
        <v>371</v>
      </c>
      <c r="AM13" s="358"/>
      <c r="AN13" s="358"/>
      <c r="AO13" s="358"/>
    </row>
    <row r="14" spans="2:95" ht="47.25">
      <c r="B14" s="401">
        <v>7</v>
      </c>
      <c r="C14" s="402" t="s">
        <v>372</v>
      </c>
      <c r="D14" s="403" t="s">
        <v>217</v>
      </c>
      <c r="E14" s="404" t="s">
        <v>373</v>
      </c>
      <c r="F14" s="405" t="s">
        <v>203</v>
      </c>
      <c r="G14" s="406" t="s">
        <v>201</v>
      </c>
      <c r="H14" s="405" t="s">
        <v>201</v>
      </c>
      <c r="I14" s="402" t="s">
        <v>340</v>
      </c>
      <c r="J14" s="402">
        <v>8</v>
      </c>
      <c r="K14" s="405">
        <v>0</v>
      </c>
      <c r="L14" s="407" t="s">
        <v>201</v>
      </c>
      <c r="M14" s="404" t="s">
        <v>341</v>
      </c>
      <c r="N14" s="402" t="s">
        <v>374</v>
      </c>
      <c r="O14" s="404" t="s">
        <v>202</v>
      </c>
      <c r="P14" s="402"/>
      <c r="Q14" s="408">
        <v>8</v>
      </c>
      <c r="R14" s="405">
        <v>0</v>
      </c>
      <c r="S14" s="402"/>
      <c r="T14" s="409"/>
      <c r="U14" s="401">
        <v>18</v>
      </c>
      <c r="V14" s="402" t="s">
        <v>372</v>
      </c>
      <c r="W14" s="403" t="s">
        <v>217</v>
      </c>
      <c r="X14" s="402" t="s">
        <v>375</v>
      </c>
      <c r="Y14" s="405" t="s">
        <v>203</v>
      </c>
      <c r="Z14" s="406"/>
      <c r="AA14" s="405"/>
      <c r="AB14" s="402" t="s">
        <v>376</v>
      </c>
      <c r="AC14" s="408">
        <v>8</v>
      </c>
      <c r="AD14" s="405">
        <v>0</v>
      </c>
      <c r="AE14" s="406" t="s">
        <v>201</v>
      </c>
      <c r="AF14" s="410"/>
      <c r="AG14" s="411"/>
      <c r="AH14" s="411"/>
      <c r="AI14" s="409"/>
      <c r="AJ14" s="413"/>
      <c r="AK14" s="413"/>
      <c r="AL14" s="413"/>
      <c r="AM14" s="358"/>
      <c r="AN14" s="358"/>
      <c r="AO14" s="358"/>
    </row>
    <row r="15" spans="2:95" ht="47.25">
      <c r="B15" s="401">
        <v>8</v>
      </c>
      <c r="C15" s="402" t="s">
        <v>378</v>
      </c>
      <c r="D15" s="403" t="s">
        <v>218</v>
      </c>
      <c r="E15" s="404" t="s">
        <v>379</v>
      </c>
      <c r="F15" s="405" t="s">
        <v>203</v>
      </c>
      <c r="G15" s="406" t="s">
        <v>201</v>
      </c>
      <c r="H15" s="405" t="s">
        <v>201</v>
      </c>
      <c r="I15" s="402" t="s">
        <v>340</v>
      </c>
      <c r="J15" s="402">
        <v>8</v>
      </c>
      <c r="K15" s="405">
        <v>0</v>
      </c>
      <c r="L15" s="407" t="s">
        <v>201</v>
      </c>
      <c r="M15" s="404" t="s">
        <v>341</v>
      </c>
      <c r="N15" s="402" t="s">
        <v>380</v>
      </c>
      <c r="O15" s="404" t="s">
        <v>202</v>
      </c>
      <c r="P15" s="402"/>
      <c r="Q15" s="408">
        <v>8</v>
      </c>
      <c r="R15" s="405">
        <v>0</v>
      </c>
      <c r="S15" s="402"/>
      <c r="T15" s="409"/>
      <c r="U15" s="401">
        <v>19</v>
      </c>
      <c r="V15" s="402" t="s">
        <v>378</v>
      </c>
      <c r="W15" s="403" t="s">
        <v>218</v>
      </c>
      <c r="X15" s="402" t="s">
        <v>381</v>
      </c>
      <c r="Y15" s="405" t="s">
        <v>203</v>
      </c>
      <c r="Z15" s="406"/>
      <c r="AA15" s="405"/>
      <c r="AB15" s="402" t="s">
        <v>376</v>
      </c>
      <c r="AC15" s="408">
        <v>8</v>
      </c>
      <c r="AD15" s="405">
        <v>0</v>
      </c>
      <c r="AE15" s="406" t="s">
        <v>201</v>
      </c>
      <c r="AF15" s="410"/>
      <c r="AG15" s="411"/>
      <c r="AH15" s="411"/>
      <c r="AI15" s="409"/>
      <c r="AJ15" s="413"/>
      <c r="AK15" s="413"/>
      <c r="AL15" s="413"/>
      <c r="AM15" s="358"/>
      <c r="AN15" s="358"/>
      <c r="AO15" s="358"/>
    </row>
    <row r="16" spans="2:95" ht="47.25">
      <c r="B16" s="401">
        <v>9</v>
      </c>
      <c r="C16" s="402" t="s">
        <v>383</v>
      </c>
      <c r="D16" s="403" t="s">
        <v>218</v>
      </c>
      <c r="E16" s="404" t="s">
        <v>384</v>
      </c>
      <c r="F16" s="405" t="s">
        <v>201</v>
      </c>
      <c r="G16" s="406" t="s">
        <v>201</v>
      </c>
      <c r="H16" s="405" t="s">
        <v>201</v>
      </c>
      <c r="I16" s="402" t="s">
        <v>340</v>
      </c>
      <c r="J16" s="402">
        <v>8</v>
      </c>
      <c r="K16" s="405">
        <v>0</v>
      </c>
      <c r="L16" s="407" t="s">
        <v>201</v>
      </c>
      <c r="M16" s="404" t="s">
        <v>341</v>
      </c>
      <c r="N16" s="402" t="s">
        <v>385</v>
      </c>
      <c r="O16" s="404" t="s">
        <v>202</v>
      </c>
      <c r="P16" s="402"/>
      <c r="Q16" s="408">
        <v>8</v>
      </c>
      <c r="R16" s="405">
        <v>0</v>
      </c>
      <c r="S16" s="402"/>
      <c r="T16" s="409"/>
      <c r="U16" s="401">
        <v>20</v>
      </c>
      <c r="V16" s="402" t="s">
        <v>383</v>
      </c>
      <c r="W16" s="403" t="s">
        <v>218</v>
      </c>
      <c r="X16" s="402" t="s">
        <v>386</v>
      </c>
      <c r="Y16" s="405" t="s">
        <v>201</v>
      </c>
      <c r="Z16" s="406"/>
      <c r="AA16" s="405"/>
      <c r="AB16" s="402" t="s">
        <v>376</v>
      </c>
      <c r="AC16" s="408">
        <v>8</v>
      </c>
      <c r="AD16" s="405">
        <v>0</v>
      </c>
      <c r="AE16" s="406" t="s">
        <v>201</v>
      </c>
      <c r="AF16" s="410"/>
      <c r="AG16" s="411"/>
      <c r="AH16" s="411"/>
      <c r="AI16" s="409"/>
      <c r="AJ16" s="413"/>
      <c r="AK16" s="413"/>
      <c r="AL16" s="413"/>
      <c r="AM16" s="358"/>
      <c r="AN16" s="358"/>
      <c r="AO16" s="358"/>
    </row>
    <row r="17" spans="2:41" ht="63">
      <c r="B17" s="401">
        <v>10</v>
      </c>
      <c r="C17" s="402" t="s">
        <v>387</v>
      </c>
      <c r="D17" s="403" t="s">
        <v>219</v>
      </c>
      <c r="E17" s="404" t="s">
        <v>387</v>
      </c>
      <c r="F17" s="405" t="s">
        <v>203</v>
      </c>
      <c r="G17" s="406" t="s">
        <v>201</v>
      </c>
      <c r="H17" s="405" t="s">
        <v>201</v>
      </c>
      <c r="I17" s="402" t="s">
        <v>340</v>
      </c>
      <c r="J17" s="402">
        <v>9</v>
      </c>
      <c r="K17" s="405">
        <v>0</v>
      </c>
      <c r="L17" s="407" t="s">
        <v>201</v>
      </c>
      <c r="M17" s="404" t="s">
        <v>341</v>
      </c>
      <c r="N17" s="402" t="s">
        <v>387</v>
      </c>
      <c r="O17" s="404" t="s">
        <v>202</v>
      </c>
      <c r="P17" s="404"/>
      <c r="Q17" s="408">
        <v>9</v>
      </c>
      <c r="R17" s="405">
        <v>0</v>
      </c>
      <c r="S17" s="402"/>
      <c r="T17" s="409"/>
      <c r="U17" s="401">
        <v>21</v>
      </c>
      <c r="V17" s="402" t="s">
        <v>387</v>
      </c>
      <c r="W17" s="403" t="s">
        <v>219</v>
      </c>
      <c r="X17" s="402" t="s">
        <v>388</v>
      </c>
      <c r="Y17" s="405" t="s">
        <v>203</v>
      </c>
      <c r="Z17" s="406"/>
      <c r="AA17" s="405"/>
      <c r="AB17" s="402" t="s">
        <v>343</v>
      </c>
      <c r="AC17" s="408">
        <v>9</v>
      </c>
      <c r="AD17" s="405">
        <v>0</v>
      </c>
      <c r="AE17" s="406" t="s">
        <v>201</v>
      </c>
      <c r="AF17" s="410" t="s">
        <v>203</v>
      </c>
      <c r="AG17" s="411" t="s">
        <v>344</v>
      </c>
      <c r="AH17" s="412" t="s">
        <v>204</v>
      </c>
      <c r="AI17" s="409"/>
      <c r="AJ17" s="413"/>
      <c r="AK17" s="413"/>
      <c r="AL17" s="413"/>
      <c r="AM17" s="358"/>
      <c r="AN17" s="358"/>
      <c r="AO17" s="358"/>
    </row>
    <row r="18" spans="2:41" ht="126">
      <c r="B18" s="401">
        <v>11</v>
      </c>
      <c r="C18" s="402" t="s">
        <v>390</v>
      </c>
      <c r="D18" s="403" t="s">
        <v>391</v>
      </c>
      <c r="E18" s="404" t="s">
        <v>390</v>
      </c>
      <c r="F18" s="405" t="s">
        <v>203</v>
      </c>
      <c r="G18" s="406" t="s">
        <v>201</v>
      </c>
      <c r="H18" s="405" t="s">
        <v>201</v>
      </c>
      <c r="I18" s="402" t="s">
        <v>340</v>
      </c>
      <c r="J18" s="415">
        <v>35</v>
      </c>
      <c r="K18" s="405">
        <v>0</v>
      </c>
      <c r="L18" s="407" t="s">
        <v>201</v>
      </c>
      <c r="M18" s="404" t="s">
        <v>213</v>
      </c>
      <c r="N18" s="402" t="s">
        <v>214</v>
      </c>
      <c r="O18" s="404" t="s">
        <v>202</v>
      </c>
      <c r="P18" s="404"/>
      <c r="Q18" s="408">
        <v>35</v>
      </c>
      <c r="R18" s="405">
        <v>0</v>
      </c>
      <c r="S18" s="402"/>
      <c r="T18" s="409"/>
      <c r="U18" s="401">
        <v>22</v>
      </c>
      <c r="V18" s="402" t="s">
        <v>390</v>
      </c>
      <c r="W18" s="403" t="s">
        <v>391</v>
      </c>
      <c r="X18" s="402" t="s">
        <v>392</v>
      </c>
      <c r="Y18" s="405" t="s">
        <v>203</v>
      </c>
      <c r="Z18" s="406"/>
      <c r="AA18" s="405"/>
      <c r="AB18" s="402" t="s">
        <v>369</v>
      </c>
      <c r="AC18" s="408">
        <v>42</v>
      </c>
      <c r="AD18" s="405">
        <v>0</v>
      </c>
      <c r="AE18" s="406" t="s">
        <v>201</v>
      </c>
      <c r="AF18" s="410" t="s">
        <v>203</v>
      </c>
      <c r="AG18" s="411" t="s">
        <v>349</v>
      </c>
      <c r="AH18" s="416" t="s">
        <v>215</v>
      </c>
      <c r="AI18" s="409"/>
      <c r="AJ18" s="413">
        <v>0.01</v>
      </c>
      <c r="AK18" s="413" t="s">
        <v>370</v>
      </c>
      <c r="AL18" s="413" t="s">
        <v>393</v>
      </c>
      <c r="AM18" s="358"/>
      <c r="AN18" s="358"/>
      <c r="AO18" s="358"/>
    </row>
    <row r="19" spans="2:41" ht="63">
      <c r="B19" s="401">
        <v>12</v>
      </c>
      <c r="C19" s="402" t="s">
        <v>395</v>
      </c>
      <c r="D19" s="403" t="s">
        <v>221</v>
      </c>
      <c r="E19" s="402" t="s">
        <v>396</v>
      </c>
      <c r="F19" s="405" t="s">
        <v>201</v>
      </c>
      <c r="G19" s="406" t="s">
        <v>201</v>
      </c>
      <c r="H19" s="405" t="s">
        <v>201</v>
      </c>
      <c r="I19" s="402" t="s">
        <v>340</v>
      </c>
      <c r="J19" s="408">
        <v>1</v>
      </c>
      <c r="K19" s="405">
        <v>0</v>
      </c>
      <c r="L19" s="407" t="s">
        <v>201</v>
      </c>
      <c r="M19" s="404"/>
      <c r="N19" s="402"/>
      <c r="O19" s="404" t="s">
        <v>202</v>
      </c>
      <c r="P19" s="404"/>
      <c r="Q19" s="408">
        <v>1</v>
      </c>
      <c r="R19" s="405">
        <v>0</v>
      </c>
      <c r="S19" s="402" t="s">
        <v>397</v>
      </c>
      <c r="T19" s="409"/>
      <c r="U19" s="401">
        <v>23</v>
      </c>
      <c r="V19" s="402" t="s">
        <v>395</v>
      </c>
      <c r="W19" s="403" t="s">
        <v>221</v>
      </c>
      <c r="X19" s="402" t="s">
        <v>398</v>
      </c>
      <c r="Y19" s="405" t="s">
        <v>201</v>
      </c>
      <c r="Z19" s="406"/>
      <c r="AA19" s="405"/>
      <c r="AB19" s="402" t="s">
        <v>343</v>
      </c>
      <c r="AC19" s="408">
        <v>1</v>
      </c>
      <c r="AD19" s="405">
        <v>0</v>
      </c>
      <c r="AE19" s="406" t="s">
        <v>201</v>
      </c>
      <c r="AF19" s="410"/>
      <c r="AG19" s="411"/>
      <c r="AH19" s="412"/>
      <c r="AI19" s="409"/>
      <c r="AJ19" s="413"/>
      <c r="AK19" s="413"/>
      <c r="AL19" s="413"/>
      <c r="AM19" s="358"/>
      <c r="AN19" s="358"/>
      <c r="AO19" s="358"/>
    </row>
    <row r="20" spans="2:41" ht="126">
      <c r="B20" s="401">
        <v>13</v>
      </c>
      <c r="C20" s="402" t="s">
        <v>400</v>
      </c>
      <c r="D20" s="403" t="s">
        <v>401</v>
      </c>
      <c r="E20" s="404" t="s">
        <v>402</v>
      </c>
      <c r="F20" s="405" t="s">
        <v>203</v>
      </c>
      <c r="G20" s="406" t="s">
        <v>201</v>
      </c>
      <c r="H20" s="405" t="s">
        <v>201</v>
      </c>
      <c r="I20" s="402" t="s">
        <v>340</v>
      </c>
      <c r="J20" s="415">
        <v>80</v>
      </c>
      <c r="K20" s="405">
        <v>0</v>
      </c>
      <c r="L20" s="407" t="s">
        <v>201</v>
      </c>
      <c r="M20" s="404" t="s">
        <v>222</v>
      </c>
      <c r="N20" s="402" t="s">
        <v>223</v>
      </c>
      <c r="O20" s="404" t="s">
        <v>202</v>
      </c>
      <c r="P20" s="404"/>
      <c r="Q20" s="408">
        <v>80</v>
      </c>
      <c r="R20" s="405">
        <v>0</v>
      </c>
      <c r="S20" s="402"/>
      <c r="T20" s="409"/>
      <c r="U20" s="401">
        <v>26</v>
      </c>
      <c r="V20" s="402" t="s">
        <v>400</v>
      </c>
      <c r="W20" s="403" t="s">
        <v>401</v>
      </c>
      <c r="X20" s="402" t="s">
        <v>403</v>
      </c>
      <c r="Y20" s="405" t="s">
        <v>203</v>
      </c>
      <c r="Z20" s="406"/>
      <c r="AA20" s="405"/>
      <c r="AB20" s="402" t="s">
        <v>369</v>
      </c>
      <c r="AC20" s="408">
        <v>42</v>
      </c>
      <c r="AD20" s="405">
        <v>0</v>
      </c>
      <c r="AE20" s="406" t="s">
        <v>201</v>
      </c>
      <c r="AF20" s="410" t="s">
        <v>203</v>
      </c>
      <c r="AG20" s="411" t="s">
        <v>349</v>
      </c>
      <c r="AH20" s="416" t="s">
        <v>215</v>
      </c>
      <c r="AI20" s="409"/>
      <c r="AJ20" s="413">
        <v>0.01</v>
      </c>
      <c r="AK20" s="413" t="s">
        <v>370</v>
      </c>
      <c r="AL20" s="413" t="s">
        <v>393</v>
      </c>
      <c r="AM20" s="358"/>
      <c r="AN20" s="358"/>
      <c r="AO20" s="358"/>
    </row>
    <row r="21" spans="2:41" ht="157.5">
      <c r="B21" s="401">
        <v>14</v>
      </c>
      <c r="C21" s="402" t="s">
        <v>405</v>
      </c>
      <c r="D21" s="403" t="s">
        <v>224</v>
      </c>
      <c r="E21" s="404" t="s">
        <v>406</v>
      </c>
      <c r="F21" s="405" t="s">
        <v>203</v>
      </c>
      <c r="G21" s="406" t="s">
        <v>201</v>
      </c>
      <c r="H21" s="405" t="s">
        <v>201</v>
      </c>
      <c r="I21" s="402" t="s">
        <v>340</v>
      </c>
      <c r="J21" s="402">
        <v>2</v>
      </c>
      <c r="K21" s="405">
        <v>0</v>
      </c>
      <c r="L21" s="407" t="s">
        <v>201</v>
      </c>
      <c r="M21" s="404"/>
      <c r="N21" s="402"/>
      <c r="O21" s="404" t="s">
        <v>202</v>
      </c>
      <c r="P21" s="402"/>
      <c r="Q21" s="408">
        <v>2</v>
      </c>
      <c r="R21" s="405">
        <v>0</v>
      </c>
      <c r="S21" s="402" t="s">
        <v>225</v>
      </c>
      <c r="T21" s="409"/>
      <c r="U21" s="401">
        <v>27</v>
      </c>
      <c r="V21" s="402" t="s">
        <v>405</v>
      </c>
      <c r="W21" s="403" t="s">
        <v>224</v>
      </c>
      <c r="X21" s="402" t="s">
        <v>226</v>
      </c>
      <c r="Y21" s="405" t="s">
        <v>203</v>
      </c>
      <c r="Z21" s="406"/>
      <c r="AA21" s="405"/>
      <c r="AB21" s="402" t="s">
        <v>343</v>
      </c>
      <c r="AC21" s="408">
        <v>2</v>
      </c>
      <c r="AD21" s="405">
        <v>0</v>
      </c>
      <c r="AE21" s="406" t="s">
        <v>201</v>
      </c>
      <c r="AF21" s="410" t="s">
        <v>203</v>
      </c>
      <c r="AG21" s="411" t="s">
        <v>344</v>
      </c>
      <c r="AH21" s="411" t="s">
        <v>204</v>
      </c>
      <c r="AI21" s="409"/>
      <c r="AJ21" s="413"/>
      <c r="AK21" s="413"/>
      <c r="AL21" s="413"/>
      <c r="AM21" s="358"/>
      <c r="AN21" s="358"/>
      <c r="AO21" s="358"/>
    </row>
    <row r="22" spans="2:41" ht="110.25">
      <c r="B22" s="401">
        <v>15</v>
      </c>
      <c r="C22" s="402" t="s">
        <v>408</v>
      </c>
      <c r="D22" s="403" t="s">
        <v>227</v>
      </c>
      <c r="E22" s="404" t="s">
        <v>409</v>
      </c>
      <c r="F22" s="405" t="s">
        <v>201</v>
      </c>
      <c r="G22" s="406" t="s">
        <v>201</v>
      </c>
      <c r="H22" s="405" t="s">
        <v>201</v>
      </c>
      <c r="I22" s="402" t="s">
        <v>340</v>
      </c>
      <c r="J22" s="402">
        <v>2</v>
      </c>
      <c r="K22" s="405">
        <v>0</v>
      </c>
      <c r="L22" s="407" t="s">
        <v>201</v>
      </c>
      <c r="M22" s="404"/>
      <c r="N22" s="402"/>
      <c r="O22" s="404" t="s">
        <v>202</v>
      </c>
      <c r="P22" s="402"/>
      <c r="Q22" s="408">
        <v>2</v>
      </c>
      <c r="R22" s="405">
        <v>0</v>
      </c>
      <c r="S22" s="402" t="s">
        <v>410</v>
      </c>
      <c r="T22" s="409"/>
      <c r="U22" s="401">
        <v>28</v>
      </c>
      <c r="V22" s="402" t="s">
        <v>408</v>
      </c>
      <c r="W22" s="403" t="s">
        <v>228</v>
      </c>
      <c r="X22" s="402" t="s">
        <v>229</v>
      </c>
      <c r="Y22" s="405" t="s">
        <v>201</v>
      </c>
      <c r="Z22" s="406"/>
      <c r="AA22" s="405"/>
      <c r="AB22" s="402" t="s">
        <v>343</v>
      </c>
      <c r="AC22" s="408">
        <v>2</v>
      </c>
      <c r="AD22" s="405">
        <v>0</v>
      </c>
      <c r="AE22" s="406" t="s">
        <v>201</v>
      </c>
      <c r="AF22" s="410" t="s">
        <v>203</v>
      </c>
      <c r="AG22" s="411" t="s">
        <v>344</v>
      </c>
      <c r="AH22" s="411" t="s">
        <v>204</v>
      </c>
      <c r="AI22" s="409"/>
      <c r="AJ22" s="413"/>
      <c r="AK22" s="413"/>
      <c r="AL22" s="413"/>
      <c r="AM22" s="358"/>
      <c r="AN22" s="358"/>
      <c r="AO22" s="358"/>
    </row>
    <row r="23" spans="2:41" ht="63">
      <c r="B23" s="401">
        <v>16</v>
      </c>
      <c r="C23" s="402" t="s">
        <v>412</v>
      </c>
      <c r="D23" s="403" t="s">
        <v>230</v>
      </c>
      <c r="E23" s="404" t="s">
        <v>413</v>
      </c>
      <c r="F23" s="405" t="s">
        <v>203</v>
      </c>
      <c r="G23" s="406" t="s">
        <v>201</v>
      </c>
      <c r="H23" s="405" t="s">
        <v>201</v>
      </c>
      <c r="I23" s="402" t="s">
        <v>340</v>
      </c>
      <c r="J23" s="415">
        <v>7</v>
      </c>
      <c r="K23" s="405">
        <v>0</v>
      </c>
      <c r="L23" s="407" t="s">
        <v>201</v>
      </c>
      <c r="M23" s="404" t="s">
        <v>341</v>
      </c>
      <c r="N23" s="402" t="s">
        <v>414</v>
      </c>
      <c r="O23" s="404" t="s">
        <v>202</v>
      </c>
      <c r="P23" s="402"/>
      <c r="Q23" s="408">
        <v>7</v>
      </c>
      <c r="R23" s="405">
        <v>0</v>
      </c>
      <c r="S23" s="402"/>
      <c r="T23" s="409"/>
      <c r="U23" s="401">
        <v>29</v>
      </c>
      <c r="V23" s="402" t="s">
        <v>412</v>
      </c>
      <c r="W23" s="403" t="s">
        <v>210</v>
      </c>
      <c r="X23" s="402" t="s">
        <v>415</v>
      </c>
      <c r="Y23" s="405" t="s">
        <v>203</v>
      </c>
      <c r="Z23" s="406"/>
      <c r="AA23" s="405"/>
      <c r="AB23" s="402" t="s">
        <v>343</v>
      </c>
      <c r="AC23" s="408">
        <v>5</v>
      </c>
      <c r="AD23" s="405">
        <v>0</v>
      </c>
      <c r="AE23" s="406" t="s">
        <v>201</v>
      </c>
      <c r="AF23" s="410" t="s">
        <v>203</v>
      </c>
      <c r="AG23" s="411" t="s">
        <v>344</v>
      </c>
      <c r="AH23" s="412" t="s">
        <v>364</v>
      </c>
      <c r="AI23" s="409"/>
      <c r="AJ23" s="413"/>
      <c r="AK23" s="413"/>
      <c r="AL23" s="413"/>
      <c r="AM23" s="358"/>
      <c r="AN23" s="358"/>
      <c r="AO23" s="358"/>
    </row>
    <row r="24" spans="2:41" ht="63">
      <c r="B24" s="401">
        <v>17</v>
      </c>
      <c r="C24" s="402" t="s">
        <v>417</v>
      </c>
      <c r="D24" s="403" t="s">
        <v>231</v>
      </c>
      <c r="E24" s="404" t="s">
        <v>418</v>
      </c>
      <c r="F24" s="405" t="s">
        <v>203</v>
      </c>
      <c r="G24" s="406" t="s">
        <v>201</v>
      </c>
      <c r="H24" s="405" t="s">
        <v>201</v>
      </c>
      <c r="I24" s="402" t="s">
        <v>340</v>
      </c>
      <c r="J24" s="408">
        <v>15</v>
      </c>
      <c r="K24" s="405">
        <v>0</v>
      </c>
      <c r="L24" s="407" t="s">
        <v>201</v>
      </c>
      <c r="M24" s="404" t="s">
        <v>232</v>
      </c>
      <c r="N24" s="402" t="s">
        <v>233</v>
      </c>
      <c r="O24" s="404" t="s">
        <v>202</v>
      </c>
      <c r="P24" s="402"/>
      <c r="Q24" s="408">
        <v>15</v>
      </c>
      <c r="R24" s="405">
        <v>0</v>
      </c>
      <c r="S24" s="402"/>
      <c r="T24" s="409"/>
      <c r="U24" s="401">
        <v>30</v>
      </c>
      <c r="V24" s="402" t="s">
        <v>417</v>
      </c>
      <c r="W24" s="403" t="s">
        <v>231</v>
      </c>
      <c r="X24" s="402" t="s">
        <v>419</v>
      </c>
      <c r="Y24" s="405" t="s">
        <v>203</v>
      </c>
      <c r="Z24" s="406"/>
      <c r="AA24" s="405"/>
      <c r="AB24" s="402" t="s">
        <v>343</v>
      </c>
      <c r="AC24" s="408">
        <v>15</v>
      </c>
      <c r="AD24" s="405">
        <v>0</v>
      </c>
      <c r="AE24" s="406" t="s">
        <v>201</v>
      </c>
      <c r="AF24" s="410"/>
      <c r="AG24" s="411"/>
      <c r="AH24" s="412"/>
      <c r="AI24" s="409"/>
      <c r="AJ24" s="413"/>
      <c r="AK24" s="413"/>
      <c r="AL24" s="413"/>
      <c r="AM24" s="358"/>
      <c r="AN24" s="358"/>
      <c r="AO24" s="358"/>
    </row>
    <row r="25" spans="2:41" ht="63">
      <c r="B25" s="401">
        <v>18</v>
      </c>
      <c r="C25" s="402" t="s">
        <v>412</v>
      </c>
      <c r="D25" s="403" t="s">
        <v>230</v>
      </c>
      <c r="E25" s="404" t="s">
        <v>413</v>
      </c>
      <c r="F25" s="405" t="s">
        <v>201</v>
      </c>
      <c r="G25" s="406" t="s">
        <v>201</v>
      </c>
      <c r="H25" s="405" t="s">
        <v>201</v>
      </c>
      <c r="I25" s="402" t="s">
        <v>340</v>
      </c>
      <c r="J25" s="414">
        <v>7</v>
      </c>
      <c r="K25" s="405">
        <v>0</v>
      </c>
      <c r="L25" s="407" t="s">
        <v>201</v>
      </c>
      <c r="M25" s="404" t="s">
        <v>341</v>
      </c>
      <c r="N25" s="402" t="s">
        <v>414</v>
      </c>
      <c r="O25" s="404" t="s">
        <v>202</v>
      </c>
      <c r="P25" s="402"/>
      <c r="Q25" s="408">
        <v>7</v>
      </c>
      <c r="R25" s="405">
        <v>0</v>
      </c>
      <c r="S25" s="402"/>
      <c r="T25" s="409"/>
      <c r="U25" s="417">
        <v>31</v>
      </c>
      <c r="V25" s="417" t="s">
        <v>421</v>
      </c>
      <c r="W25" s="403" t="s">
        <v>219</v>
      </c>
      <c r="X25" s="417" t="s">
        <v>422</v>
      </c>
      <c r="Y25" s="405" t="s">
        <v>201</v>
      </c>
      <c r="Z25" s="417"/>
      <c r="AA25" s="417"/>
      <c r="AB25" s="402" t="s">
        <v>343</v>
      </c>
      <c r="AC25" s="411">
        <v>9</v>
      </c>
      <c r="AD25" s="418">
        <v>0</v>
      </c>
      <c r="AE25" s="419" t="s">
        <v>201</v>
      </c>
      <c r="AF25" s="411"/>
      <c r="AG25" s="420"/>
      <c r="AH25" s="412" t="s">
        <v>423</v>
      </c>
      <c r="AI25" s="409"/>
      <c r="AJ25" s="413"/>
      <c r="AK25" s="413"/>
      <c r="AL25" s="413"/>
      <c r="AM25" s="358"/>
      <c r="AN25" s="358"/>
      <c r="AO25" s="358"/>
    </row>
    <row r="26" spans="2:41" ht="63">
      <c r="B26" s="401">
        <v>19</v>
      </c>
      <c r="C26" s="402" t="s">
        <v>236</v>
      </c>
      <c r="D26" s="403" t="s">
        <v>235</v>
      </c>
      <c r="E26" s="404" t="s">
        <v>424</v>
      </c>
      <c r="F26" s="405" t="s">
        <v>201</v>
      </c>
      <c r="G26" s="406" t="s">
        <v>201</v>
      </c>
      <c r="H26" s="405" t="s">
        <v>201</v>
      </c>
      <c r="I26" s="402" t="s">
        <v>340</v>
      </c>
      <c r="J26" s="415">
        <v>4</v>
      </c>
      <c r="K26" s="405">
        <v>0</v>
      </c>
      <c r="L26" s="407" t="s">
        <v>201</v>
      </c>
      <c r="M26" s="404" t="s">
        <v>341</v>
      </c>
      <c r="N26" s="402" t="s">
        <v>236</v>
      </c>
      <c r="O26" s="404" t="s">
        <v>202</v>
      </c>
      <c r="P26" s="402"/>
      <c r="Q26" s="408">
        <v>4</v>
      </c>
      <c r="R26" s="405">
        <v>0</v>
      </c>
      <c r="S26" s="402"/>
      <c r="T26" s="409"/>
      <c r="U26" s="401">
        <v>32</v>
      </c>
      <c r="V26" s="402" t="s">
        <v>236</v>
      </c>
      <c r="W26" s="403" t="s">
        <v>237</v>
      </c>
      <c r="X26" s="402" t="s">
        <v>425</v>
      </c>
      <c r="Y26" s="405" t="s">
        <v>201</v>
      </c>
      <c r="Z26" s="406"/>
      <c r="AA26" s="405"/>
      <c r="AB26" s="402" t="s">
        <v>343</v>
      </c>
      <c r="AC26" s="408">
        <v>3</v>
      </c>
      <c r="AD26" s="405">
        <v>0</v>
      </c>
      <c r="AE26" s="406" t="s">
        <v>201</v>
      </c>
      <c r="AF26" s="410" t="s">
        <v>203</v>
      </c>
      <c r="AG26" s="411" t="s">
        <v>344</v>
      </c>
      <c r="AH26" s="412" t="s">
        <v>426</v>
      </c>
      <c r="AI26" s="409"/>
      <c r="AJ26" s="413"/>
      <c r="AK26" s="413"/>
      <c r="AL26" s="413"/>
      <c r="AM26" s="358"/>
      <c r="AN26" s="358"/>
      <c r="AO26" s="358"/>
    </row>
    <row r="27" spans="2:41" ht="63">
      <c r="B27" s="401">
        <v>20</v>
      </c>
      <c r="C27" s="402" t="s">
        <v>428</v>
      </c>
      <c r="D27" s="403" t="s">
        <v>238</v>
      </c>
      <c r="E27" s="404" t="s">
        <v>429</v>
      </c>
      <c r="F27" s="405" t="s">
        <v>201</v>
      </c>
      <c r="G27" s="406" t="s">
        <v>201</v>
      </c>
      <c r="H27" s="405" t="s">
        <v>201</v>
      </c>
      <c r="I27" s="402" t="s">
        <v>340</v>
      </c>
      <c r="J27" s="415">
        <v>40</v>
      </c>
      <c r="K27" s="405">
        <v>0</v>
      </c>
      <c r="L27" s="407" t="s">
        <v>201</v>
      </c>
      <c r="M27" s="404" t="s">
        <v>239</v>
      </c>
      <c r="N27" s="402" t="s">
        <v>240</v>
      </c>
      <c r="O27" s="404" t="s">
        <v>202</v>
      </c>
      <c r="P27" s="402"/>
      <c r="Q27" s="408">
        <v>40</v>
      </c>
      <c r="R27" s="405">
        <v>0</v>
      </c>
      <c r="S27" s="414" t="s">
        <v>430</v>
      </c>
      <c r="T27" s="409"/>
      <c r="U27" s="401">
        <v>33</v>
      </c>
      <c r="V27" s="402" t="s">
        <v>428</v>
      </c>
      <c r="W27" s="403" t="s">
        <v>238</v>
      </c>
      <c r="X27" s="402" t="s">
        <v>431</v>
      </c>
      <c r="Y27" s="405" t="s">
        <v>201</v>
      </c>
      <c r="Z27" s="406"/>
      <c r="AA27" s="405"/>
      <c r="AB27" s="402" t="s">
        <v>343</v>
      </c>
      <c r="AC27" s="408">
        <v>15</v>
      </c>
      <c r="AD27" s="405">
        <v>0</v>
      </c>
      <c r="AE27" s="406" t="s">
        <v>201</v>
      </c>
      <c r="AF27" s="410" t="s">
        <v>203</v>
      </c>
      <c r="AG27" s="411" t="s">
        <v>349</v>
      </c>
      <c r="AH27" s="412" t="s">
        <v>432</v>
      </c>
      <c r="AI27" s="409"/>
      <c r="AJ27" s="413"/>
      <c r="AK27" s="413"/>
      <c r="AL27" s="413"/>
      <c r="AM27" s="358"/>
      <c r="AN27" s="358"/>
      <c r="AO27" s="358"/>
    </row>
    <row r="28" spans="2:41" ht="63">
      <c r="B28" s="401">
        <v>21</v>
      </c>
      <c r="C28" s="402" t="s">
        <v>434</v>
      </c>
      <c r="D28" s="403" t="s">
        <v>205</v>
      </c>
      <c r="E28" s="404" t="s">
        <v>435</v>
      </c>
      <c r="F28" s="405" t="s">
        <v>201</v>
      </c>
      <c r="G28" s="406" t="s">
        <v>201</v>
      </c>
      <c r="H28" s="405" t="s">
        <v>201</v>
      </c>
      <c r="I28" s="402" t="s">
        <v>340</v>
      </c>
      <c r="J28" s="415">
        <v>10</v>
      </c>
      <c r="K28" s="405">
        <v>0</v>
      </c>
      <c r="L28" s="407" t="s">
        <v>201</v>
      </c>
      <c r="M28" s="404" t="s">
        <v>341</v>
      </c>
      <c r="N28" s="402" t="s">
        <v>434</v>
      </c>
      <c r="O28" s="404" t="s">
        <v>202</v>
      </c>
      <c r="P28" s="402"/>
      <c r="Q28" s="408">
        <v>10</v>
      </c>
      <c r="R28" s="405">
        <v>0</v>
      </c>
      <c r="S28" s="402"/>
      <c r="T28" s="409"/>
      <c r="U28" s="401">
        <v>34</v>
      </c>
      <c r="V28" s="402" t="s">
        <v>434</v>
      </c>
      <c r="W28" s="403" t="s">
        <v>237</v>
      </c>
      <c r="X28" s="402" t="s">
        <v>436</v>
      </c>
      <c r="Y28" s="405" t="s">
        <v>201</v>
      </c>
      <c r="Z28" s="406"/>
      <c r="AA28" s="405"/>
      <c r="AB28" s="402" t="s">
        <v>343</v>
      </c>
      <c r="AC28" s="408">
        <v>3</v>
      </c>
      <c r="AD28" s="405">
        <v>0</v>
      </c>
      <c r="AE28" s="406" t="s">
        <v>201</v>
      </c>
      <c r="AF28" s="410" t="s">
        <v>203</v>
      </c>
      <c r="AG28" s="411" t="s">
        <v>344</v>
      </c>
      <c r="AH28" s="412" t="s">
        <v>437</v>
      </c>
      <c r="AI28" s="409"/>
      <c r="AJ28" s="413"/>
      <c r="AK28" s="413"/>
      <c r="AL28" s="413"/>
      <c r="AM28" s="358"/>
      <c r="AN28" s="358"/>
      <c r="AO28" s="358"/>
    </row>
    <row r="29" spans="2:41" ht="63">
      <c r="B29" s="401">
        <v>22</v>
      </c>
      <c r="C29" s="402" t="s">
        <v>439</v>
      </c>
      <c r="D29" s="403" t="s">
        <v>238</v>
      </c>
      <c r="E29" s="404" t="s">
        <v>440</v>
      </c>
      <c r="F29" s="405" t="s">
        <v>201</v>
      </c>
      <c r="G29" s="406" t="s">
        <v>201</v>
      </c>
      <c r="H29" s="405" t="s">
        <v>201</v>
      </c>
      <c r="I29" s="402" t="s">
        <v>340</v>
      </c>
      <c r="J29" s="415">
        <v>40</v>
      </c>
      <c r="K29" s="405">
        <v>0</v>
      </c>
      <c r="L29" s="407" t="s">
        <v>201</v>
      </c>
      <c r="M29" s="404" t="s">
        <v>341</v>
      </c>
      <c r="N29" s="402" t="s">
        <v>441</v>
      </c>
      <c r="O29" s="404" t="s">
        <v>202</v>
      </c>
      <c r="P29" s="402"/>
      <c r="Q29" s="408">
        <v>40</v>
      </c>
      <c r="R29" s="405">
        <v>0</v>
      </c>
      <c r="S29" s="414" t="s">
        <v>430</v>
      </c>
      <c r="T29" s="409"/>
      <c r="U29" s="401">
        <v>35</v>
      </c>
      <c r="V29" s="402" t="s">
        <v>439</v>
      </c>
      <c r="W29" s="403" t="s">
        <v>238</v>
      </c>
      <c r="X29" s="402" t="s">
        <v>442</v>
      </c>
      <c r="Y29" s="405" t="s">
        <v>201</v>
      </c>
      <c r="Z29" s="406"/>
      <c r="AA29" s="405"/>
      <c r="AB29" s="402" t="s">
        <v>343</v>
      </c>
      <c r="AC29" s="408">
        <v>15</v>
      </c>
      <c r="AD29" s="405">
        <v>0</v>
      </c>
      <c r="AE29" s="406" t="s">
        <v>201</v>
      </c>
      <c r="AF29" s="410" t="s">
        <v>203</v>
      </c>
      <c r="AG29" s="411" t="s">
        <v>349</v>
      </c>
      <c r="AH29" s="412" t="s">
        <v>432</v>
      </c>
      <c r="AI29" s="409"/>
      <c r="AJ29" s="413"/>
      <c r="AK29" s="413"/>
      <c r="AL29" s="413"/>
      <c r="AM29" s="358"/>
      <c r="AN29" s="358"/>
      <c r="AO29" s="358"/>
    </row>
    <row r="30" spans="2:41" ht="63">
      <c r="B30" s="401">
        <v>23</v>
      </c>
      <c r="C30" s="402" t="s">
        <v>444</v>
      </c>
      <c r="D30" s="403" t="s">
        <v>241</v>
      </c>
      <c r="E30" s="404" t="s">
        <v>445</v>
      </c>
      <c r="F30" s="405" t="s">
        <v>201</v>
      </c>
      <c r="G30" s="406" t="s">
        <v>201</v>
      </c>
      <c r="H30" s="405" t="s">
        <v>201</v>
      </c>
      <c r="I30" s="402" t="s">
        <v>340</v>
      </c>
      <c r="J30" s="415">
        <v>7</v>
      </c>
      <c r="K30" s="405">
        <v>0</v>
      </c>
      <c r="L30" s="407" t="s">
        <v>201</v>
      </c>
      <c r="M30" s="404" t="s">
        <v>341</v>
      </c>
      <c r="N30" s="402" t="s">
        <v>446</v>
      </c>
      <c r="O30" s="404" t="s">
        <v>202</v>
      </c>
      <c r="P30" s="402"/>
      <c r="Q30" s="408">
        <v>7</v>
      </c>
      <c r="R30" s="405">
        <v>0</v>
      </c>
      <c r="S30" s="402"/>
      <c r="T30" s="409"/>
      <c r="U30" s="401">
        <v>36</v>
      </c>
      <c r="V30" s="402" t="s">
        <v>444</v>
      </c>
      <c r="W30" s="403" t="s">
        <v>237</v>
      </c>
      <c r="X30" s="402" t="s">
        <v>447</v>
      </c>
      <c r="Y30" s="405" t="s">
        <v>201</v>
      </c>
      <c r="Z30" s="406"/>
      <c r="AA30" s="405"/>
      <c r="AB30" s="402" t="s">
        <v>343</v>
      </c>
      <c r="AC30" s="408">
        <v>3</v>
      </c>
      <c r="AD30" s="405">
        <v>0</v>
      </c>
      <c r="AE30" s="406" t="s">
        <v>201</v>
      </c>
      <c r="AF30" s="410" t="s">
        <v>203</v>
      </c>
      <c r="AG30" s="411" t="s">
        <v>344</v>
      </c>
      <c r="AH30" s="412" t="s">
        <v>448</v>
      </c>
      <c r="AI30" s="409"/>
      <c r="AJ30" s="413"/>
      <c r="AK30" s="413"/>
      <c r="AL30" s="413"/>
      <c r="AM30" s="358"/>
      <c r="AN30" s="358"/>
      <c r="AO30" s="358"/>
    </row>
    <row r="31" spans="2:41" ht="63">
      <c r="B31" s="401">
        <v>24</v>
      </c>
      <c r="C31" s="402" t="s">
        <v>450</v>
      </c>
      <c r="D31" s="403" t="s">
        <v>238</v>
      </c>
      <c r="E31" s="404" t="s">
        <v>451</v>
      </c>
      <c r="F31" s="405" t="s">
        <v>201</v>
      </c>
      <c r="G31" s="406" t="s">
        <v>201</v>
      </c>
      <c r="H31" s="405" t="s">
        <v>201</v>
      </c>
      <c r="I31" s="402" t="s">
        <v>340</v>
      </c>
      <c r="J31" s="415">
        <v>40</v>
      </c>
      <c r="K31" s="405">
        <v>0</v>
      </c>
      <c r="L31" s="407" t="s">
        <v>201</v>
      </c>
      <c r="M31" s="404" t="s">
        <v>242</v>
      </c>
      <c r="N31" s="402" t="s">
        <v>243</v>
      </c>
      <c r="O31" s="404" t="s">
        <v>202</v>
      </c>
      <c r="P31" s="402"/>
      <c r="Q31" s="408">
        <v>40</v>
      </c>
      <c r="R31" s="405">
        <v>0</v>
      </c>
      <c r="S31" s="402"/>
      <c r="T31" s="409"/>
      <c r="U31" s="401">
        <v>37</v>
      </c>
      <c r="V31" s="402" t="s">
        <v>450</v>
      </c>
      <c r="W31" s="403" t="s">
        <v>238</v>
      </c>
      <c r="X31" s="402" t="s">
        <v>452</v>
      </c>
      <c r="Y31" s="405" t="s">
        <v>201</v>
      </c>
      <c r="Z31" s="406"/>
      <c r="AA31" s="405"/>
      <c r="AB31" s="402" t="s">
        <v>343</v>
      </c>
      <c r="AC31" s="408">
        <v>10</v>
      </c>
      <c r="AD31" s="405">
        <v>0</v>
      </c>
      <c r="AE31" s="406" t="s">
        <v>201</v>
      </c>
      <c r="AF31" s="410" t="s">
        <v>203</v>
      </c>
      <c r="AG31" s="411" t="s">
        <v>349</v>
      </c>
      <c r="AH31" s="412" t="s">
        <v>453</v>
      </c>
      <c r="AI31" s="409"/>
      <c r="AJ31" s="413"/>
      <c r="AK31" s="413"/>
      <c r="AL31" s="413"/>
      <c r="AM31" s="358"/>
      <c r="AN31" s="358"/>
      <c r="AO31" s="358"/>
    </row>
    <row r="32" spans="2:41" ht="63">
      <c r="B32" s="401">
        <v>25</v>
      </c>
      <c r="C32" s="402" t="s">
        <v>455</v>
      </c>
      <c r="D32" s="403" t="s">
        <v>244</v>
      </c>
      <c r="E32" s="404" t="s">
        <v>456</v>
      </c>
      <c r="F32" s="405" t="s">
        <v>201</v>
      </c>
      <c r="G32" s="406" t="s">
        <v>201</v>
      </c>
      <c r="H32" s="405" t="s">
        <v>201</v>
      </c>
      <c r="I32" s="402" t="s">
        <v>340</v>
      </c>
      <c r="J32" s="415">
        <v>7</v>
      </c>
      <c r="K32" s="405">
        <v>0</v>
      </c>
      <c r="L32" s="407" t="s">
        <v>201</v>
      </c>
      <c r="M32" s="404" t="s">
        <v>341</v>
      </c>
      <c r="N32" s="402" t="s">
        <v>455</v>
      </c>
      <c r="O32" s="404" t="s">
        <v>202</v>
      </c>
      <c r="P32" s="402"/>
      <c r="Q32" s="408">
        <v>7</v>
      </c>
      <c r="R32" s="405">
        <v>0</v>
      </c>
      <c r="S32" s="402"/>
      <c r="T32" s="409"/>
      <c r="U32" s="401">
        <v>40</v>
      </c>
      <c r="V32" s="402" t="s">
        <v>455</v>
      </c>
      <c r="W32" s="403" t="s">
        <v>245</v>
      </c>
      <c r="X32" s="402" t="s">
        <v>457</v>
      </c>
      <c r="Y32" s="405" t="s">
        <v>201</v>
      </c>
      <c r="Z32" s="406"/>
      <c r="AA32" s="405"/>
      <c r="AB32" s="402" t="s">
        <v>343</v>
      </c>
      <c r="AC32" s="408">
        <v>5</v>
      </c>
      <c r="AD32" s="405">
        <v>0</v>
      </c>
      <c r="AE32" s="406" t="s">
        <v>201</v>
      </c>
      <c r="AF32" s="410" t="s">
        <v>203</v>
      </c>
      <c r="AG32" s="411" t="s">
        <v>344</v>
      </c>
      <c r="AH32" s="412" t="s">
        <v>364</v>
      </c>
      <c r="AI32" s="409"/>
      <c r="AJ32" s="413"/>
      <c r="AK32" s="413"/>
      <c r="AL32" s="413"/>
      <c r="AM32" s="358"/>
      <c r="AN32" s="358"/>
      <c r="AO32" s="358"/>
    </row>
    <row r="33" spans="2:41" ht="126">
      <c r="B33" s="401">
        <v>26</v>
      </c>
      <c r="C33" s="402" t="s">
        <v>459</v>
      </c>
      <c r="D33" s="403" t="s">
        <v>246</v>
      </c>
      <c r="E33" s="404" t="s">
        <v>460</v>
      </c>
      <c r="F33" s="405" t="s">
        <v>201</v>
      </c>
      <c r="G33" s="406" t="s">
        <v>201</v>
      </c>
      <c r="H33" s="405" t="s">
        <v>201</v>
      </c>
      <c r="I33" s="402" t="s">
        <v>340</v>
      </c>
      <c r="J33" s="415">
        <v>35</v>
      </c>
      <c r="K33" s="405">
        <v>0</v>
      </c>
      <c r="L33" s="407" t="s">
        <v>201</v>
      </c>
      <c r="M33" s="404" t="s">
        <v>213</v>
      </c>
      <c r="N33" s="402" t="s">
        <v>214</v>
      </c>
      <c r="O33" s="404" t="s">
        <v>202</v>
      </c>
      <c r="P33" s="402"/>
      <c r="Q33" s="408">
        <v>35</v>
      </c>
      <c r="R33" s="405">
        <v>0</v>
      </c>
      <c r="S33" s="402"/>
      <c r="T33" s="409"/>
      <c r="U33" s="401">
        <v>41</v>
      </c>
      <c r="V33" s="402" t="s">
        <v>459</v>
      </c>
      <c r="W33" s="403" t="s">
        <v>246</v>
      </c>
      <c r="X33" s="402" t="s">
        <v>461</v>
      </c>
      <c r="Y33" s="405" t="s">
        <v>201</v>
      </c>
      <c r="Z33" s="406"/>
      <c r="AA33" s="405"/>
      <c r="AB33" s="402" t="s">
        <v>369</v>
      </c>
      <c r="AC33" s="408">
        <v>42</v>
      </c>
      <c r="AD33" s="405">
        <v>0</v>
      </c>
      <c r="AE33" s="406" t="s">
        <v>201</v>
      </c>
      <c r="AF33" s="410" t="s">
        <v>203</v>
      </c>
      <c r="AG33" s="411" t="s">
        <v>349</v>
      </c>
      <c r="AH33" s="416" t="s">
        <v>215</v>
      </c>
      <c r="AI33" s="409"/>
      <c r="AJ33" s="413">
        <v>0.01</v>
      </c>
      <c r="AK33" s="413" t="s">
        <v>370</v>
      </c>
      <c r="AL33" s="413" t="s">
        <v>393</v>
      </c>
      <c r="AM33" s="358"/>
      <c r="AN33" s="358"/>
      <c r="AO33" s="358"/>
    </row>
    <row r="34" spans="2:41" ht="126">
      <c r="B34" s="401">
        <v>27</v>
      </c>
      <c r="C34" s="402" t="s">
        <v>463</v>
      </c>
      <c r="D34" s="403" t="s">
        <v>238</v>
      </c>
      <c r="E34" s="421" t="s">
        <v>464</v>
      </c>
      <c r="F34" s="405" t="s">
        <v>201</v>
      </c>
      <c r="G34" s="406" t="s">
        <v>201</v>
      </c>
      <c r="H34" s="405" t="s">
        <v>201</v>
      </c>
      <c r="I34" s="402" t="s">
        <v>340</v>
      </c>
      <c r="J34" s="415">
        <v>35</v>
      </c>
      <c r="K34" s="405">
        <v>0</v>
      </c>
      <c r="L34" s="407" t="s">
        <v>201</v>
      </c>
      <c r="M34" s="404" t="s">
        <v>213</v>
      </c>
      <c r="N34" s="402" t="s">
        <v>214</v>
      </c>
      <c r="O34" s="404" t="s">
        <v>202</v>
      </c>
      <c r="P34" s="402"/>
      <c r="Q34" s="408">
        <v>35</v>
      </c>
      <c r="R34" s="405">
        <v>0</v>
      </c>
      <c r="S34" s="414" t="s">
        <v>247</v>
      </c>
      <c r="T34" s="409"/>
      <c r="U34" s="401">
        <v>42</v>
      </c>
      <c r="V34" s="402" t="s">
        <v>463</v>
      </c>
      <c r="W34" s="403" t="s">
        <v>465</v>
      </c>
      <c r="X34" s="402" t="s">
        <v>466</v>
      </c>
      <c r="Y34" s="405" t="s">
        <v>201</v>
      </c>
      <c r="Z34" s="406"/>
      <c r="AA34" s="405"/>
      <c r="AB34" s="402" t="s">
        <v>369</v>
      </c>
      <c r="AC34" s="408">
        <v>42</v>
      </c>
      <c r="AD34" s="405">
        <v>0</v>
      </c>
      <c r="AE34" s="406" t="s">
        <v>201</v>
      </c>
      <c r="AF34" s="410" t="s">
        <v>203</v>
      </c>
      <c r="AG34" s="411" t="s">
        <v>349</v>
      </c>
      <c r="AH34" s="416" t="s">
        <v>215</v>
      </c>
      <c r="AI34" s="409"/>
      <c r="AJ34" s="413">
        <v>0.01</v>
      </c>
      <c r="AK34" s="413" t="s">
        <v>370</v>
      </c>
      <c r="AL34" s="413" t="s">
        <v>393</v>
      </c>
      <c r="AM34" s="358"/>
      <c r="AN34" s="358"/>
      <c r="AO34" s="358"/>
    </row>
    <row r="35" spans="2:41" ht="63">
      <c r="B35" s="401">
        <v>28</v>
      </c>
      <c r="C35" s="402" t="s">
        <v>467</v>
      </c>
      <c r="D35" s="403" t="s">
        <v>219</v>
      </c>
      <c r="E35" s="402" t="s">
        <v>467</v>
      </c>
      <c r="F35" s="405" t="s">
        <v>201</v>
      </c>
      <c r="G35" s="406" t="s">
        <v>201</v>
      </c>
      <c r="H35" s="405" t="s">
        <v>201</v>
      </c>
      <c r="I35" s="402" t="s">
        <v>340</v>
      </c>
      <c r="J35" s="408">
        <v>9</v>
      </c>
      <c r="K35" s="405">
        <v>0</v>
      </c>
      <c r="L35" s="407" t="s">
        <v>201</v>
      </c>
      <c r="M35" s="404" t="s">
        <v>341</v>
      </c>
      <c r="N35" s="402" t="s">
        <v>468</v>
      </c>
      <c r="O35" s="404" t="s">
        <v>202</v>
      </c>
      <c r="P35" s="402"/>
      <c r="Q35" s="408">
        <v>9</v>
      </c>
      <c r="R35" s="405">
        <v>0</v>
      </c>
      <c r="S35" s="402" t="s">
        <v>249</v>
      </c>
      <c r="T35" s="409"/>
      <c r="U35" s="401">
        <v>44</v>
      </c>
      <c r="V35" s="402" t="s">
        <v>467</v>
      </c>
      <c r="W35" s="403" t="s">
        <v>219</v>
      </c>
      <c r="X35" s="402" t="s">
        <v>469</v>
      </c>
      <c r="Y35" s="405" t="s">
        <v>201</v>
      </c>
      <c r="Z35" s="406"/>
      <c r="AA35" s="405"/>
      <c r="AB35" s="402" t="s">
        <v>343</v>
      </c>
      <c r="AC35" s="408">
        <v>9</v>
      </c>
      <c r="AD35" s="405">
        <v>0</v>
      </c>
      <c r="AE35" s="406" t="s">
        <v>201</v>
      </c>
      <c r="AF35" s="410" t="s">
        <v>203</v>
      </c>
      <c r="AG35" s="411" t="s">
        <v>344</v>
      </c>
      <c r="AH35" s="412" t="s">
        <v>204</v>
      </c>
      <c r="AI35" s="409"/>
      <c r="AJ35" s="413"/>
      <c r="AK35" s="413"/>
      <c r="AL35" s="413"/>
      <c r="AM35" s="358"/>
      <c r="AN35" s="358"/>
      <c r="AO35" s="358"/>
    </row>
    <row r="36" spans="2:41" ht="126">
      <c r="B36" s="401">
        <v>29</v>
      </c>
      <c r="C36" s="402" t="s">
        <v>471</v>
      </c>
      <c r="D36" s="403" t="s">
        <v>238</v>
      </c>
      <c r="E36" s="402" t="s">
        <v>471</v>
      </c>
      <c r="F36" s="405" t="s">
        <v>201</v>
      </c>
      <c r="G36" s="406" t="s">
        <v>201</v>
      </c>
      <c r="H36" s="405" t="s">
        <v>201</v>
      </c>
      <c r="I36" s="402" t="s">
        <v>340</v>
      </c>
      <c r="J36" s="415">
        <v>35</v>
      </c>
      <c r="K36" s="405">
        <v>0</v>
      </c>
      <c r="L36" s="407" t="s">
        <v>201</v>
      </c>
      <c r="M36" s="404" t="s">
        <v>472</v>
      </c>
      <c r="N36" s="402" t="s">
        <v>473</v>
      </c>
      <c r="O36" s="404" t="s">
        <v>202</v>
      </c>
      <c r="P36" s="402"/>
      <c r="Q36" s="408">
        <v>35</v>
      </c>
      <c r="R36" s="405">
        <v>0</v>
      </c>
      <c r="S36" s="402" t="s">
        <v>249</v>
      </c>
      <c r="T36" s="409"/>
      <c r="U36" s="401">
        <v>45</v>
      </c>
      <c r="V36" s="402" t="s">
        <v>471</v>
      </c>
      <c r="W36" s="403" t="s">
        <v>474</v>
      </c>
      <c r="X36" s="402" t="s">
        <v>475</v>
      </c>
      <c r="Y36" s="405" t="s">
        <v>201</v>
      </c>
      <c r="Z36" s="406"/>
      <c r="AA36" s="405"/>
      <c r="AB36" s="402" t="s">
        <v>369</v>
      </c>
      <c r="AC36" s="408">
        <v>42</v>
      </c>
      <c r="AD36" s="405">
        <v>0</v>
      </c>
      <c r="AE36" s="406" t="s">
        <v>201</v>
      </c>
      <c r="AF36" s="410" t="s">
        <v>203</v>
      </c>
      <c r="AG36" s="411" t="s">
        <v>349</v>
      </c>
      <c r="AH36" s="416" t="s">
        <v>215</v>
      </c>
      <c r="AI36" s="409"/>
      <c r="AJ36" s="413">
        <v>0.01</v>
      </c>
      <c r="AK36" s="413" t="s">
        <v>370</v>
      </c>
      <c r="AL36" s="413" t="s">
        <v>393</v>
      </c>
      <c r="AM36" s="358"/>
      <c r="AN36" s="358"/>
      <c r="AO36" s="358"/>
    </row>
    <row r="37" spans="2:41" ht="63">
      <c r="B37" s="401">
        <v>30</v>
      </c>
      <c r="C37" s="402" t="s">
        <v>476</v>
      </c>
      <c r="D37" s="403" t="s">
        <v>205</v>
      </c>
      <c r="E37" s="402" t="s">
        <v>477</v>
      </c>
      <c r="F37" s="405" t="s">
        <v>201</v>
      </c>
      <c r="G37" s="406" t="s">
        <v>201</v>
      </c>
      <c r="H37" s="405" t="s">
        <v>201</v>
      </c>
      <c r="I37" s="402" t="s">
        <v>340</v>
      </c>
      <c r="J37" s="408">
        <v>10</v>
      </c>
      <c r="K37" s="405">
        <v>0</v>
      </c>
      <c r="L37" s="407" t="s">
        <v>201</v>
      </c>
      <c r="M37" s="404" t="s">
        <v>478</v>
      </c>
      <c r="N37" s="402" t="s">
        <v>477</v>
      </c>
      <c r="O37" s="404" t="s">
        <v>202</v>
      </c>
      <c r="P37" s="402"/>
      <c r="Q37" s="408">
        <v>10</v>
      </c>
      <c r="R37" s="405">
        <v>0</v>
      </c>
      <c r="S37" s="402" t="s">
        <v>249</v>
      </c>
      <c r="T37" s="409"/>
      <c r="U37" s="401">
        <v>46</v>
      </c>
      <c r="V37" s="402" t="s">
        <v>476</v>
      </c>
      <c r="W37" s="403" t="s">
        <v>205</v>
      </c>
      <c r="X37" s="402" t="s">
        <v>479</v>
      </c>
      <c r="Y37" s="405" t="s">
        <v>201</v>
      </c>
      <c r="Z37" s="406"/>
      <c r="AA37" s="405"/>
      <c r="AB37" s="402" t="s">
        <v>343</v>
      </c>
      <c r="AC37" s="408">
        <v>10</v>
      </c>
      <c r="AD37" s="405">
        <v>0</v>
      </c>
      <c r="AE37" s="406" t="s">
        <v>201</v>
      </c>
      <c r="AF37" s="410"/>
      <c r="AG37" s="411"/>
      <c r="AH37" s="412"/>
      <c r="AI37" s="409"/>
      <c r="AJ37" s="413"/>
      <c r="AK37" s="413"/>
      <c r="AL37" s="413"/>
      <c r="AM37" s="358"/>
      <c r="AN37" s="358"/>
      <c r="AO37" s="358"/>
    </row>
    <row r="38" spans="2:41" ht="63">
      <c r="B38" s="401">
        <v>31</v>
      </c>
      <c r="C38" s="402" t="s">
        <v>480</v>
      </c>
      <c r="D38" s="403" t="s">
        <v>206</v>
      </c>
      <c r="E38" s="402" t="s">
        <v>481</v>
      </c>
      <c r="F38" s="405" t="s">
        <v>201</v>
      </c>
      <c r="G38" s="406" t="s">
        <v>201</v>
      </c>
      <c r="H38" s="405" t="s">
        <v>201</v>
      </c>
      <c r="I38" s="402" t="s">
        <v>340</v>
      </c>
      <c r="J38" s="422">
        <v>10</v>
      </c>
      <c r="K38" s="405">
        <v>0</v>
      </c>
      <c r="L38" s="407" t="s">
        <v>201</v>
      </c>
      <c r="M38" s="404" t="s">
        <v>478</v>
      </c>
      <c r="N38" s="402" t="s">
        <v>481</v>
      </c>
      <c r="O38" s="404" t="s">
        <v>202</v>
      </c>
      <c r="P38" s="402"/>
      <c r="Q38" s="408">
        <v>10</v>
      </c>
      <c r="R38" s="405">
        <v>0</v>
      </c>
      <c r="S38" s="402" t="s">
        <v>249</v>
      </c>
      <c r="T38" s="409"/>
      <c r="U38" s="401">
        <v>47</v>
      </c>
      <c r="V38" s="402" t="s">
        <v>480</v>
      </c>
      <c r="W38" s="403" t="s">
        <v>206</v>
      </c>
      <c r="X38" s="402" t="s">
        <v>482</v>
      </c>
      <c r="Y38" s="405" t="s">
        <v>201</v>
      </c>
      <c r="Z38" s="406"/>
      <c r="AA38" s="405"/>
      <c r="AB38" s="402" t="s">
        <v>343</v>
      </c>
      <c r="AC38" s="408">
        <v>12</v>
      </c>
      <c r="AD38" s="405">
        <v>0</v>
      </c>
      <c r="AE38" s="406" t="s">
        <v>201</v>
      </c>
      <c r="AF38" s="410"/>
      <c r="AG38" s="411"/>
      <c r="AH38" s="412"/>
      <c r="AI38" s="409"/>
      <c r="AJ38" s="413"/>
      <c r="AK38" s="413"/>
      <c r="AL38" s="413"/>
      <c r="AM38" s="358"/>
      <c r="AN38" s="358"/>
      <c r="AO38" s="358"/>
    </row>
    <row r="39" spans="2:41" ht="47.25">
      <c r="B39" s="401">
        <v>32</v>
      </c>
      <c r="C39" s="402" t="s">
        <v>484</v>
      </c>
      <c r="D39" s="402">
        <v>12.345000000000001</v>
      </c>
      <c r="E39" s="404" t="s">
        <v>485</v>
      </c>
      <c r="F39" s="405" t="s">
        <v>203</v>
      </c>
      <c r="G39" s="406" t="s">
        <v>201</v>
      </c>
      <c r="H39" s="405" t="s">
        <v>201</v>
      </c>
      <c r="I39" s="402" t="s">
        <v>376</v>
      </c>
      <c r="J39" s="415">
        <v>13</v>
      </c>
      <c r="K39" s="405">
        <v>3</v>
      </c>
      <c r="L39" s="407" t="s">
        <v>201</v>
      </c>
      <c r="M39" s="404" t="s">
        <v>341</v>
      </c>
      <c r="N39" s="402" t="s">
        <v>485</v>
      </c>
      <c r="O39" s="404" t="s">
        <v>202</v>
      </c>
      <c r="P39" s="402"/>
      <c r="Q39" s="408">
        <v>13</v>
      </c>
      <c r="R39" s="405">
        <v>3</v>
      </c>
      <c r="S39" s="402"/>
      <c r="T39" s="409"/>
      <c r="U39" s="401">
        <v>50</v>
      </c>
      <c r="V39" s="402" t="s">
        <v>484</v>
      </c>
      <c r="W39" s="403" t="s">
        <v>252</v>
      </c>
      <c r="X39" s="402" t="s">
        <v>486</v>
      </c>
      <c r="Y39" s="405" t="s">
        <v>203</v>
      </c>
      <c r="Z39" s="406"/>
      <c r="AA39" s="405"/>
      <c r="AB39" s="402" t="s">
        <v>376</v>
      </c>
      <c r="AC39" s="408">
        <v>11</v>
      </c>
      <c r="AD39" s="405">
        <v>3</v>
      </c>
      <c r="AE39" s="406" t="s">
        <v>201</v>
      </c>
      <c r="AF39" s="410" t="s">
        <v>203</v>
      </c>
      <c r="AG39" s="411" t="s">
        <v>349</v>
      </c>
      <c r="AH39" s="412" t="s">
        <v>487</v>
      </c>
      <c r="AI39" s="409"/>
      <c r="AJ39" s="413"/>
      <c r="AK39" s="413"/>
      <c r="AL39" s="413"/>
      <c r="AM39" s="358"/>
      <c r="AN39" s="358"/>
      <c r="AO39" s="358"/>
    </row>
    <row r="40" spans="2:41" ht="47.25">
      <c r="B40" s="401">
        <v>33</v>
      </c>
      <c r="C40" s="402" t="s">
        <v>489</v>
      </c>
      <c r="D40" s="402">
        <v>123.45</v>
      </c>
      <c r="E40" s="421" t="s">
        <v>490</v>
      </c>
      <c r="F40" s="405" t="s">
        <v>201</v>
      </c>
      <c r="G40" s="406" t="s">
        <v>201</v>
      </c>
      <c r="H40" s="405" t="s">
        <v>201</v>
      </c>
      <c r="I40" s="402" t="s">
        <v>376</v>
      </c>
      <c r="J40" s="415">
        <v>13</v>
      </c>
      <c r="K40" s="405">
        <v>2</v>
      </c>
      <c r="L40" s="407" t="s">
        <v>201</v>
      </c>
      <c r="M40" s="404" t="s">
        <v>341</v>
      </c>
      <c r="N40" s="402" t="s">
        <v>490</v>
      </c>
      <c r="O40" s="404" t="s">
        <v>202</v>
      </c>
      <c r="P40" s="402"/>
      <c r="Q40" s="408">
        <v>13</v>
      </c>
      <c r="R40" s="405">
        <v>2</v>
      </c>
      <c r="S40" s="402"/>
      <c r="T40" s="409"/>
      <c r="U40" s="401">
        <v>52</v>
      </c>
      <c r="V40" s="402" t="s">
        <v>489</v>
      </c>
      <c r="W40" s="403" t="s">
        <v>253</v>
      </c>
      <c r="X40" s="402" t="s">
        <v>491</v>
      </c>
      <c r="Y40" s="405" t="s">
        <v>201</v>
      </c>
      <c r="Z40" s="406"/>
      <c r="AA40" s="405"/>
      <c r="AB40" s="402" t="s">
        <v>376</v>
      </c>
      <c r="AC40" s="408">
        <v>7</v>
      </c>
      <c r="AD40" s="405">
        <v>2</v>
      </c>
      <c r="AE40" s="406" t="s">
        <v>201</v>
      </c>
      <c r="AF40" s="410" t="s">
        <v>203</v>
      </c>
      <c r="AG40" s="411" t="s">
        <v>349</v>
      </c>
      <c r="AH40" s="412" t="s">
        <v>492</v>
      </c>
      <c r="AI40" s="409"/>
      <c r="AJ40" s="413"/>
      <c r="AK40" s="413"/>
      <c r="AL40" s="413"/>
      <c r="AM40" s="358"/>
      <c r="AN40" s="358"/>
      <c r="AO40" s="358"/>
    </row>
    <row r="41" spans="2:41" ht="47.25">
      <c r="B41" s="401">
        <v>34</v>
      </c>
      <c r="C41" s="402" t="s">
        <v>494</v>
      </c>
      <c r="D41" s="402">
        <v>12.345000000000001</v>
      </c>
      <c r="E41" s="404" t="s">
        <v>495</v>
      </c>
      <c r="F41" s="405" t="s">
        <v>203</v>
      </c>
      <c r="G41" s="406" t="s">
        <v>201</v>
      </c>
      <c r="H41" s="405" t="s">
        <v>201</v>
      </c>
      <c r="I41" s="402" t="s">
        <v>376</v>
      </c>
      <c r="J41" s="415">
        <v>13</v>
      </c>
      <c r="K41" s="405">
        <v>3</v>
      </c>
      <c r="L41" s="407" t="s">
        <v>201</v>
      </c>
      <c r="M41" s="404" t="s">
        <v>341</v>
      </c>
      <c r="N41" s="402" t="s">
        <v>496</v>
      </c>
      <c r="O41" s="404" t="s">
        <v>202</v>
      </c>
      <c r="P41" s="402"/>
      <c r="Q41" s="408">
        <v>13</v>
      </c>
      <c r="R41" s="405">
        <v>3</v>
      </c>
      <c r="S41" s="402"/>
      <c r="T41" s="409"/>
      <c r="U41" s="401">
        <v>53</v>
      </c>
      <c r="V41" s="402" t="s">
        <v>494</v>
      </c>
      <c r="W41" s="403" t="s">
        <v>252</v>
      </c>
      <c r="X41" s="402" t="s">
        <v>497</v>
      </c>
      <c r="Y41" s="405" t="s">
        <v>203</v>
      </c>
      <c r="Z41" s="406"/>
      <c r="AA41" s="405"/>
      <c r="AB41" s="402" t="s">
        <v>376</v>
      </c>
      <c r="AC41" s="408">
        <v>11</v>
      </c>
      <c r="AD41" s="405">
        <v>3</v>
      </c>
      <c r="AE41" s="406" t="s">
        <v>201</v>
      </c>
      <c r="AF41" s="410" t="s">
        <v>203</v>
      </c>
      <c r="AG41" s="411" t="s">
        <v>349</v>
      </c>
      <c r="AH41" s="412" t="s">
        <v>487</v>
      </c>
      <c r="AI41" s="409"/>
      <c r="AJ41" s="413"/>
      <c r="AK41" s="413"/>
      <c r="AL41" s="413"/>
      <c r="AM41" s="358"/>
      <c r="AN41" s="358"/>
      <c r="AO41" s="358"/>
    </row>
    <row r="42" spans="2:41" ht="47.25">
      <c r="B42" s="401">
        <v>35</v>
      </c>
      <c r="C42" s="402" t="s">
        <v>499</v>
      </c>
      <c r="D42" s="402">
        <v>123.45</v>
      </c>
      <c r="E42" s="404" t="s">
        <v>500</v>
      </c>
      <c r="F42" s="405" t="s">
        <v>201</v>
      </c>
      <c r="G42" s="406" t="s">
        <v>201</v>
      </c>
      <c r="H42" s="405" t="s">
        <v>201</v>
      </c>
      <c r="I42" s="402" t="s">
        <v>376</v>
      </c>
      <c r="J42" s="415">
        <v>13</v>
      </c>
      <c r="K42" s="405">
        <v>2</v>
      </c>
      <c r="L42" s="407" t="s">
        <v>201</v>
      </c>
      <c r="M42" s="404" t="s">
        <v>341</v>
      </c>
      <c r="N42" s="402" t="s">
        <v>500</v>
      </c>
      <c r="O42" s="404" t="s">
        <v>202</v>
      </c>
      <c r="P42" s="402"/>
      <c r="Q42" s="408">
        <v>13</v>
      </c>
      <c r="R42" s="405">
        <v>2</v>
      </c>
      <c r="S42" s="402"/>
      <c r="T42" s="409"/>
      <c r="U42" s="401">
        <v>55</v>
      </c>
      <c r="V42" s="402" t="s">
        <v>499</v>
      </c>
      <c r="W42" s="403" t="s">
        <v>253</v>
      </c>
      <c r="X42" s="402" t="s">
        <v>501</v>
      </c>
      <c r="Y42" s="405" t="s">
        <v>201</v>
      </c>
      <c r="Z42" s="406"/>
      <c r="AA42" s="405"/>
      <c r="AB42" s="402" t="s">
        <v>376</v>
      </c>
      <c r="AC42" s="408">
        <v>7</v>
      </c>
      <c r="AD42" s="405">
        <v>2</v>
      </c>
      <c r="AE42" s="406" t="s">
        <v>201</v>
      </c>
      <c r="AF42" s="410" t="s">
        <v>203</v>
      </c>
      <c r="AG42" s="411" t="s">
        <v>349</v>
      </c>
      <c r="AH42" s="412" t="s">
        <v>492</v>
      </c>
      <c r="AI42" s="409"/>
      <c r="AJ42" s="413"/>
      <c r="AK42" s="413"/>
      <c r="AL42" s="413"/>
      <c r="AM42" s="358"/>
      <c r="AN42" s="358"/>
      <c r="AO42" s="358"/>
    </row>
    <row r="43" spans="2:41" ht="63">
      <c r="B43" s="401">
        <v>36</v>
      </c>
      <c r="C43" s="402" t="s">
        <v>254</v>
      </c>
      <c r="D43" s="402">
        <v>12.345000000000001</v>
      </c>
      <c r="E43" s="404" t="s">
        <v>502</v>
      </c>
      <c r="F43" s="405" t="s">
        <v>201</v>
      </c>
      <c r="G43" s="406" t="s">
        <v>201</v>
      </c>
      <c r="H43" s="405" t="s">
        <v>201</v>
      </c>
      <c r="I43" s="402" t="s">
        <v>376</v>
      </c>
      <c r="J43" s="415">
        <v>13</v>
      </c>
      <c r="K43" s="423">
        <v>3</v>
      </c>
      <c r="L43" s="407" t="s">
        <v>201</v>
      </c>
      <c r="M43" s="404" t="s">
        <v>341</v>
      </c>
      <c r="N43" s="402" t="s">
        <v>496</v>
      </c>
      <c r="O43" s="404" t="s">
        <v>202</v>
      </c>
      <c r="P43" s="402"/>
      <c r="Q43" s="408">
        <v>13</v>
      </c>
      <c r="R43" s="405">
        <v>3</v>
      </c>
      <c r="S43" s="402" t="s">
        <v>249</v>
      </c>
      <c r="T43" s="409"/>
      <c r="U43" s="401">
        <v>56</v>
      </c>
      <c r="V43" s="402" t="s">
        <v>254</v>
      </c>
      <c r="W43" s="403" t="s">
        <v>256</v>
      </c>
      <c r="X43" s="402" t="s">
        <v>503</v>
      </c>
      <c r="Y43" s="405" t="s">
        <v>201</v>
      </c>
      <c r="Z43" s="406"/>
      <c r="AA43" s="405"/>
      <c r="AB43" s="402" t="s">
        <v>376</v>
      </c>
      <c r="AC43" s="408">
        <v>5</v>
      </c>
      <c r="AD43" s="405">
        <v>0</v>
      </c>
      <c r="AE43" s="406" t="s">
        <v>201</v>
      </c>
      <c r="AF43" s="410" t="s">
        <v>203</v>
      </c>
      <c r="AG43" s="411" t="s">
        <v>349</v>
      </c>
      <c r="AH43" s="412" t="s">
        <v>504</v>
      </c>
      <c r="AI43" s="409"/>
      <c r="AJ43" s="413"/>
      <c r="AK43" s="413"/>
      <c r="AL43" s="413"/>
      <c r="AM43" s="358"/>
      <c r="AN43" s="358"/>
      <c r="AO43" s="358"/>
    </row>
    <row r="44" spans="2:41" ht="78.75">
      <c r="B44" s="401">
        <v>37</v>
      </c>
      <c r="C44" s="402" t="s">
        <v>505</v>
      </c>
      <c r="D44" s="402">
        <v>12.345000000000001</v>
      </c>
      <c r="E44" s="404" t="s">
        <v>506</v>
      </c>
      <c r="F44" s="405" t="s">
        <v>201</v>
      </c>
      <c r="G44" s="406" t="s">
        <v>201</v>
      </c>
      <c r="H44" s="405" t="s">
        <v>201</v>
      </c>
      <c r="I44" s="402" t="s">
        <v>376</v>
      </c>
      <c r="J44" s="408">
        <v>11</v>
      </c>
      <c r="K44" s="405">
        <v>3</v>
      </c>
      <c r="L44" s="407" t="s">
        <v>201</v>
      </c>
      <c r="M44" s="404" t="s">
        <v>478</v>
      </c>
      <c r="N44" s="402" t="s">
        <v>507</v>
      </c>
      <c r="O44" s="404" t="s">
        <v>202</v>
      </c>
      <c r="P44" s="402"/>
      <c r="Q44" s="408">
        <v>11</v>
      </c>
      <c r="R44" s="405">
        <v>3</v>
      </c>
      <c r="S44" s="402" t="s">
        <v>249</v>
      </c>
      <c r="T44" s="409"/>
      <c r="U44" s="401">
        <v>57</v>
      </c>
      <c r="V44" s="402" t="s">
        <v>505</v>
      </c>
      <c r="W44" s="403" t="s">
        <v>252</v>
      </c>
      <c r="X44" s="402" t="s">
        <v>508</v>
      </c>
      <c r="Y44" s="405" t="s">
        <v>201</v>
      </c>
      <c r="Z44" s="406"/>
      <c r="AA44" s="405"/>
      <c r="AB44" s="402" t="s">
        <v>376</v>
      </c>
      <c r="AC44" s="408">
        <v>11</v>
      </c>
      <c r="AD44" s="405">
        <v>3</v>
      </c>
      <c r="AE44" s="406" t="s">
        <v>201</v>
      </c>
      <c r="AF44" s="410" t="s">
        <v>203</v>
      </c>
      <c r="AG44" s="411" t="s">
        <v>349</v>
      </c>
      <c r="AH44" s="412" t="s">
        <v>509</v>
      </c>
      <c r="AI44" s="409"/>
      <c r="AJ44" s="413"/>
      <c r="AK44" s="413"/>
      <c r="AL44" s="413"/>
      <c r="AM44" s="358"/>
      <c r="AN44" s="358"/>
      <c r="AO44" s="358"/>
    </row>
    <row r="45" spans="2:41" ht="47.25">
      <c r="B45" s="401">
        <v>38</v>
      </c>
      <c r="C45" s="402" t="s">
        <v>510</v>
      </c>
      <c r="D45" s="403" t="s">
        <v>259</v>
      </c>
      <c r="E45" s="404" t="s">
        <v>510</v>
      </c>
      <c r="F45" s="405" t="s">
        <v>201</v>
      </c>
      <c r="G45" s="406" t="s">
        <v>201</v>
      </c>
      <c r="H45" s="405" t="s">
        <v>201</v>
      </c>
      <c r="I45" s="402" t="s">
        <v>340</v>
      </c>
      <c r="J45" s="402">
        <v>8</v>
      </c>
      <c r="K45" s="405">
        <v>0</v>
      </c>
      <c r="L45" s="407" t="s">
        <v>201</v>
      </c>
      <c r="M45" s="404" t="s">
        <v>341</v>
      </c>
      <c r="N45" s="402" t="s">
        <v>510</v>
      </c>
      <c r="O45" s="404" t="s">
        <v>202</v>
      </c>
      <c r="P45" s="402"/>
      <c r="Q45" s="408">
        <v>8</v>
      </c>
      <c r="R45" s="405">
        <v>0</v>
      </c>
      <c r="S45" s="402" t="s">
        <v>249</v>
      </c>
      <c r="T45" s="409"/>
      <c r="U45" s="401">
        <v>58</v>
      </c>
      <c r="V45" s="402" t="s">
        <v>510</v>
      </c>
      <c r="W45" s="403" t="s">
        <v>260</v>
      </c>
      <c r="X45" s="402" t="s">
        <v>511</v>
      </c>
      <c r="Y45" s="405" t="s">
        <v>201</v>
      </c>
      <c r="Z45" s="406"/>
      <c r="AA45" s="405"/>
      <c r="AB45" s="402" t="s">
        <v>376</v>
      </c>
      <c r="AC45" s="408">
        <v>8</v>
      </c>
      <c r="AD45" s="405">
        <v>0</v>
      </c>
      <c r="AE45" s="406" t="s">
        <v>201</v>
      </c>
      <c r="AF45" s="410"/>
      <c r="AG45" s="411"/>
      <c r="AH45" s="411"/>
      <c r="AI45" s="409"/>
      <c r="AJ45" s="413"/>
      <c r="AK45" s="413"/>
      <c r="AL45" s="413"/>
      <c r="AM45" s="358"/>
      <c r="AN45" s="358"/>
      <c r="AO45" s="358"/>
    </row>
    <row r="46" spans="2:41" ht="126">
      <c r="B46" s="401">
        <v>39</v>
      </c>
      <c r="C46" s="402" t="s">
        <v>513</v>
      </c>
      <c r="D46" s="403" t="s">
        <v>238</v>
      </c>
      <c r="E46" s="404" t="s">
        <v>514</v>
      </c>
      <c r="F46" s="405" t="s">
        <v>201</v>
      </c>
      <c r="G46" s="406" t="s">
        <v>201</v>
      </c>
      <c r="H46" s="405" t="s">
        <v>201</v>
      </c>
      <c r="I46" s="402" t="s">
        <v>340</v>
      </c>
      <c r="J46" s="408">
        <v>25</v>
      </c>
      <c r="K46" s="405">
        <v>0</v>
      </c>
      <c r="L46" s="407" t="s">
        <v>201</v>
      </c>
      <c r="M46" s="404" t="s">
        <v>478</v>
      </c>
      <c r="N46" s="402" t="s">
        <v>515</v>
      </c>
      <c r="O46" s="404" t="s">
        <v>202</v>
      </c>
      <c r="P46" s="402"/>
      <c r="Q46" s="408">
        <v>25</v>
      </c>
      <c r="R46" s="405">
        <v>0</v>
      </c>
      <c r="S46" s="402"/>
      <c r="T46" s="409"/>
      <c r="U46" s="401">
        <v>59</v>
      </c>
      <c r="V46" s="402" t="s">
        <v>513</v>
      </c>
      <c r="W46" s="403" t="s">
        <v>515</v>
      </c>
      <c r="X46" s="402" t="s">
        <v>516</v>
      </c>
      <c r="Y46" s="405" t="s">
        <v>201</v>
      </c>
      <c r="Z46" s="406"/>
      <c r="AA46" s="405"/>
      <c r="AB46" s="402" t="s">
        <v>369</v>
      </c>
      <c r="AC46" s="408">
        <v>52</v>
      </c>
      <c r="AD46" s="405">
        <v>0</v>
      </c>
      <c r="AE46" s="406" t="s">
        <v>201</v>
      </c>
      <c r="AF46" s="410" t="s">
        <v>203</v>
      </c>
      <c r="AG46" s="411" t="s">
        <v>349</v>
      </c>
      <c r="AH46" s="416" t="s">
        <v>261</v>
      </c>
      <c r="AI46" s="409"/>
      <c r="AJ46" s="413">
        <v>0.01</v>
      </c>
      <c r="AK46" s="413" t="s">
        <v>370</v>
      </c>
      <c r="AL46" s="413" t="s">
        <v>393</v>
      </c>
      <c r="AM46" s="358"/>
      <c r="AN46" s="358"/>
      <c r="AO46" s="358"/>
    </row>
    <row r="47" spans="2:41" ht="47.25">
      <c r="B47" s="401">
        <v>40</v>
      </c>
      <c r="C47" s="402" t="s">
        <v>517</v>
      </c>
      <c r="D47" s="403" t="s">
        <v>218</v>
      </c>
      <c r="E47" s="404" t="s">
        <v>263</v>
      </c>
      <c r="F47" s="405" t="s">
        <v>201</v>
      </c>
      <c r="G47" s="406" t="s">
        <v>201</v>
      </c>
      <c r="H47" s="405" t="s">
        <v>201</v>
      </c>
      <c r="I47" s="402" t="s">
        <v>340</v>
      </c>
      <c r="J47" s="402">
        <v>8</v>
      </c>
      <c r="K47" s="405">
        <v>0</v>
      </c>
      <c r="L47" s="407" t="s">
        <v>201</v>
      </c>
      <c r="M47" s="404" t="s">
        <v>478</v>
      </c>
      <c r="N47" s="402" t="s">
        <v>385</v>
      </c>
      <c r="O47" s="404" t="s">
        <v>202</v>
      </c>
      <c r="P47" s="402"/>
      <c r="Q47" s="408">
        <v>8</v>
      </c>
      <c r="R47" s="405">
        <v>0</v>
      </c>
      <c r="S47" s="402" t="s">
        <v>249</v>
      </c>
      <c r="T47" s="409"/>
      <c r="U47" s="401">
        <v>62</v>
      </c>
      <c r="V47" s="402" t="s">
        <v>517</v>
      </c>
      <c r="W47" s="403" t="s">
        <v>218</v>
      </c>
      <c r="X47" s="402" t="s">
        <v>518</v>
      </c>
      <c r="Y47" s="405" t="s">
        <v>201</v>
      </c>
      <c r="Z47" s="406"/>
      <c r="AA47" s="405"/>
      <c r="AB47" s="402" t="s">
        <v>376</v>
      </c>
      <c r="AC47" s="408">
        <v>8</v>
      </c>
      <c r="AD47" s="405">
        <v>0</v>
      </c>
      <c r="AE47" s="406" t="s">
        <v>201</v>
      </c>
      <c r="AF47" s="410"/>
      <c r="AG47" s="411"/>
      <c r="AH47" s="411"/>
      <c r="AI47" s="409"/>
      <c r="AJ47" s="413"/>
      <c r="AK47" s="413"/>
      <c r="AL47" s="413"/>
      <c r="AM47" s="358"/>
      <c r="AN47" s="358"/>
      <c r="AO47" s="358"/>
    </row>
    <row r="48" spans="2:41" ht="63">
      <c r="B48" s="401">
        <v>41</v>
      </c>
      <c r="C48" s="402" t="s">
        <v>519</v>
      </c>
      <c r="D48" s="403" t="s">
        <v>210</v>
      </c>
      <c r="E48" s="404" t="s">
        <v>265</v>
      </c>
      <c r="F48" s="405" t="s">
        <v>201</v>
      </c>
      <c r="G48" s="406" t="s">
        <v>201</v>
      </c>
      <c r="H48" s="405" t="s">
        <v>201</v>
      </c>
      <c r="I48" s="402" t="s">
        <v>340</v>
      </c>
      <c r="J48" s="415">
        <v>7</v>
      </c>
      <c r="K48" s="405">
        <v>0</v>
      </c>
      <c r="L48" s="407" t="s">
        <v>201</v>
      </c>
      <c r="M48" s="404" t="s">
        <v>478</v>
      </c>
      <c r="N48" s="402" t="s">
        <v>520</v>
      </c>
      <c r="O48" s="404" t="s">
        <v>202</v>
      </c>
      <c r="P48" s="402"/>
      <c r="Q48" s="408">
        <v>7</v>
      </c>
      <c r="R48" s="405">
        <v>0</v>
      </c>
      <c r="S48" s="402"/>
      <c r="T48" s="409"/>
      <c r="U48" s="401">
        <v>63</v>
      </c>
      <c r="V48" s="402" t="s">
        <v>519</v>
      </c>
      <c r="W48" s="403" t="s">
        <v>210</v>
      </c>
      <c r="X48" s="402" t="s">
        <v>521</v>
      </c>
      <c r="Y48" s="405" t="s">
        <v>201</v>
      </c>
      <c r="Z48" s="406"/>
      <c r="AA48" s="405"/>
      <c r="AB48" s="402" t="s">
        <v>343</v>
      </c>
      <c r="AC48" s="408">
        <v>5</v>
      </c>
      <c r="AD48" s="405">
        <v>0</v>
      </c>
      <c r="AE48" s="406" t="s">
        <v>201</v>
      </c>
      <c r="AF48" s="410" t="s">
        <v>203</v>
      </c>
      <c r="AG48" s="411" t="s">
        <v>344</v>
      </c>
      <c r="AH48" s="412" t="s">
        <v>364</v>
      </c>
      <c r="AI48" s="409"/>
      <c r="AJ48" s="413"/>
      <c r="AK48" s="413"/>
      <c r="AL48" s="413"/>
      <c r="AM48" s="358"/>
      <c r="AN48" s="358"/>
      <c r="AO48" s="358"/>
    </row>
    <row r="49" spans="2:41" ht="63">
      <c r="B49" s="401">
        <v>42</v>
      </c>
      <c r="C49" s="402" t="s">
        <v>266</v>
      </c>
      <c r="D49" s="403" t="s">
        <v>238</v>
      </c>
      <c r="E49" s="404" t="s">
        <v>522</v>
      </c>
      <c r="F49" s="405" t="s">
        <v>201</v>
      </c>
      <c r="G49" s="406" t="s">
        <v>201</v>
      </c>
      <c r="H49" s="405" t="s">
        <v>201</v>
      </c>
      <c r="I49" s="402" t="s">
        <v>340</v>
      </c>
      <c r="J49" s="415">
        <v>40</v>
      </c>
      <c r="K49" s="405">
        <v>0</v>
      </c>
      <c r="L49" s="407" t="s">
        <v>201</v>
      </c>
      <c r="M49" s="404" t="s">
        <v>242</v>
      </c>
      <c r="N49" s="402" t="s">
        <v>243</v>
      </c>
      <c r="O49" s="404" t="s">
        <v>202</v>
      </c>
      <c r="P49" s="402"/>
      <c r="Q49" s="408">
        <v>40</v>
      </c>
      <c r="R49" s="405">
        <v>0</v>
      </c>
      <c r="S49" s="402"/>
      <c r="T49" s="409"/>
      <c r="U49" s="401">
        <v>64</v>
      </c>
      <c r="V49" s="402" t="s">
        <v>266</v>
      </c>
      <c r="W49" s="403" t="s">
        <v>238</v>
      </c>
      <c r="X49" s="402" t="s">
        <v>523</v>
      </c>
      <c r="Y49" s="405" t="s">
        <v>201</v>
      </c>
      <c r="Z49" s="406"/>
      <c r="AA49" s="405"/>
      <c r="AB49" s="402" t="s">
        <v>343</v>
      </c>
      <c r="AC49" s="408">
        <v>10</v>
      </c>
      <c r="AD49" s="405">
        <v>0</v>
      </c>
      <c r="AE49" s="406" t="s">
        <v>201</v>
      </c>
      <c r="AF49" s="410" t="s">
        <v>203</v>
      </c>
      <c r="AG49" s="411" t="s">
        <v>349</v>
      </c>
      <c r="AH49" s="411" t="s">
        <v>453</v>
      </c>
      <c r="AI49" s="409"/>
      <c r="AJ49" s="413"/>
      <c r="AK49" s="413"/>
      <c r="AL49" s="413"/>
      <c r="AM49" s="358"/>
      <c r="AN49" s="358"/>
      <c r="AO49" s="358"/>
    </row>
    <row r="50" spans="2:41" ht="63">
      <c r="B50" s="401">
        <v>43</v>
      </c>
      <c r="C50" s="424" t="s">
        <v>524</v>
      </c>
      <c r="D50" s="425" t="s">
        <v>208</v>
      </c>
      <c r="E50" s="404" t="s">
        <v>525</v>
      </c>
      <c r="F50" s="426" t="s">
        <v>203</v>
      </c>
      <c r="G50" s="427" t="s">
        <v>201</v>
      </c>
      <c r="H50" s="405" t="s">
        <v>201</v>
      </c>
      <c r="I50" s="424" t="s">
        <v>340</v>
      </c>
      <c r="J50" s="415">
        <v>10</v>
      </c>
      <c r="K50" s="426">
        <v>0</v>
      </c>
      <c r="L50" s="428" t="s">
        <v>201</v>
      </c>
      <c r="M50" s="404"/>
      <c r="N50" s="402"/>
      <c r="O50" s="429" t="s">
        <v>202</v>
      </c>
      <c r="P50" s="424"/>
      <c r="Q50" s="430">
        <v>10</v>
      </c>
      <c r="R50" s="426">
        <v>0</v>
      </c>
      <c r="S50" s="422" t="s">
        <v>272</v>
      </c>
      <c r="T50" s="409"/>
      <c r="U50" s="401">
        <v>66</v>
      </c>
      <c r="V50" s="402" t="s">
        <v>524</v>
      </c>
      <c r="W50" s="403" t="s">
        <v>208</v>
      </c>
      <c r="X50" s="402" t="s">
        <v>526</v>
      </c>
      <c r="Y50" s="405" t="s">
        <v>203</v>
      </c>
      <c r="Z50" s="406"/>
      <c r="AA50" s="405"/>
      <c r="AB50" s="402" t="s">
        <v>343</v>
      </c>
      <c r="AC50" s="408">
        <v>6</v>
      </c>
      <c r="AD50" s="405">
        <v>0</v>
      </c>
      <c r="AE50" s="406" t="s">
        <v>201</v>
      </c>
      <c r="AF50" s="410" t="s">
        <v>203</v>
      </c>
      <c r="AG50" s="411" t="s">
        <v>349</v>
      </c>
      <c r="AH50" s="412" t="s">
        <v>527</v>
      </c>
      <c r="AI50" s="409"/>
      <c r="AJ50" s="413"/>
      <c r="AK50" s="413"/>
      <c r="AL50" s="413"/>
      <c r="AM50" s="358"/>
      <c r="AN50" s="358"/>
      <c r="AO50" s="358"/>
    </row>
    <row r="51" spans="2:41" ht="63">
      <c r="B51" s="401">
        <v>44</v>
      </c>
      <c r="C51" s="424" t="s">
        <v>529</v>
      </c>
      <c r="D51" s="425" t="s">
        <v>237</v>
      </c>
      <c r="E51" s="404" t="s">
        <v>530</v>
      </c>
      <c r="F51" s="426" t="s">
        <v>203</v>
      </c>
      <c r="G51" s="427" t="s">
        <v>201</v>
      </c>
      <c r="H51" s="405" t="s">
        <v>201</v>
      </c>
      <c r="I51" s="424" t="s">
        <v>340</v>
      </c>
      <c r="J51" s="415">
        <v>6</v>
      </c>
      <c r="K51" s="426">
        <v>0</v>
      </c>
      <c r="L51" s="428" t="s">
        <v>201</v>
      </c>
      <c r="M51" s="404"/>
      <c r="N51" s="402"/>
      <c r="O51" s="429" t="s">
        <v>202</v>
      </c>
      <c r="P51" s="424"/>
      <c r="Q51" s="430">
        <v>6</v>
      </c>
      <c r="R51" s="426">
        <v>0</v>
      </c>
      <c r="S51" s="422" t="s">
        <v>272</v>
      </c>
      <c r="T51" s="409"/>
      <c r="U51" s="401">
        <v>67</v>
      </c>
      <c r="V51" s="402" t="s">
        <v>529</v>
      </c>
      <c r="W51" s="403" t="s">
        <v>237</v>
      </c>
      <c r="X51" s="402" t="s">
        <v>531</v>
      </c>
      <c r="Y51" s="405" t="s">
        <v>203</v>
      </c>
      <c r="Z51" s="406"/>
      <c r="AA51" s="405"/>
      <c r="AB51" s="402" t="s">
        <v>343</v>
      </c>
      <c r="AC51" s="408">
        <v>3</v>
      </c>
      <c r="AD51" s="405">
        <v>0</v>
      </c>
      <c r="AE51" s="406" t="s">
        <v>201</v>
      </c>
      <c r="AF51" s="410" t="s">
        <v>203</v>
      </c>
      <c r="AG51" s="411" t="s">
        <v>349</v>
      </c>
      <c r="AH51" s="412" t="s">
        <v>354</v>
      </c>
      <c r="AI51" s="409"/>
      <c r="AJ51" s="413"/>
      <c r="AK51" s="413"/>
      <c r="AL51" s="413"/>
      <c r="AM51" s="358"/>
      <c r="AN51" s="358"/>
      <c r="AO51" s="358"/>
    </row>
    <row r="52" spans="2:41" ht="63">
      <c r="B52" s="401">
        <v>45</v>
      </c>
      <c r="C52" s="402" t="s">
        <v>533</v>
      </c>
      <c r="D52" s="403" t="s">
        <v>269</v>
      </c>
      <c r="E52" s="404" t="s">
        <v>534</v>
      </c>
      <c r="F52" s="405" t="s">
        <v>203</v>
      </c>
      <c r="G52" s="406" t="s">
        <v>201</v>
      </c>
      <c r="H52" s="405" t="s">
        <v>201</v>
      </c>
      <c r="I52" s="402" t="s">
        <v>340</v>
      </c>
      <c r="J52" s="415">
        <v>7</v>
      </c>
      <c r="K52" s="405">
        <v>0</v>
      </c>
      <c r="L52" s="407" t="s">
        <v>201</v>
      </c>
      <c r="M52" s="404" t="s">
        <v>341</v>
      </c>
      <c r="N52" s="408" t="s">
        <v>362</v>
      </c>
      <c r="O52" s="404" t="s">
        <v>202</v>
      </c>
      <c r="P52" s="404"/>
      <c r="Q52" s="408">
        <v>7</v>
      </c>
      <c r="R52" s="405">
        <v>0</v>
      </c>
      <c r="S52" s="402"/>
      <c r="T52" s="409"/>
      <c r="U52" s="401">
        <v>68</v>
      </c>
      <c r="V52" s="402" t="s">
        <v>533</v>
      </c>
      <c r="W52" s="403" t="s">
        <v>235</v>
      </c>
      <c r="X52" s="408" t="s">
        <v>535</v>
      </c>
      <c r="Y52" s="405" t="s">
        <v>203</v>
      </c>
      <c r="Z52" s="406"/>
      <c r="AA52" s="405"/>
      <c r="AB52" s="402" t="s">
        <v>343</v>
      </c>
      <c r="AC52" s="408">
        <v>4</v>
      </c>
      <c r="AD52" s="405">
        <v>0</v>
      </c>
      <c r="AE52" s="406" t="s">
        <v>201</v>
      </c>
      <c r="AF52" s="410" t="s">
        <v>203</v>
      </c>
      <c r="AG52" s="411" t="s">
        <v>344</v>
      </c>
      <c r="AH52" s="412" t="s">
        <v>536</v>
      </c>
      <c r="AI52" s="409"/>
      <c r="AJ52" s="413"/>
      <c r="AK52" s="413"/>
      <c r="AL52" s="413"/>
      <c r="AM52" s="358"/>
      <c r="AN52" s="358"/>
      <c r="AO52" s="358"/>
    </row>
    <row r="53" spans="2:41" ht="126">
      <c r="B53" s="401">
        <v>46</v>
      </c>
      <c r="C53" s="402" t="s">
        <v>538</v>
      </c>
      <c r="D53" s="403" t="s">
        <v>238</v>
      </c>
      <c r="E53" s="404" t="s">
        <v>366</v>
      </c>
      <c r="F53" s="405" t="s">
        <v>201</v>
      </c>
      <c r="G53" s="406" t="s">
        <v>201</v>
      </c>
      <c r="H53" s="405" t="s">
        <v>201</v>
      </c>
      <c r="I53" s="402" t="s">
        <v>340</v>
      </c>
      <c r="J53" s="415">
        <v>35</v>
      </c>
      <c r="K53" s="405">
        <v>0</v>
      </c>
      <c r="L53" s="407" t="s">
        <v>201</v>
      </c>
      <c r="M53" s="404" t="s">
        <v>213</v>
      </c>
      <c r="N53" s="402" t="s">
        <v>214</v>
      </c>
      <c r="O53" s="404" t="s">
        <v>202</v>
      </c>
      <c r="P53" s="404"/>
      <c r="Q53" s="408">
        <v>35</v>
      </c>
      <c r="R53" s="405">
        <v>0</v>
      </c>
      <c r="S53" s="402"/>
      <c r="T53" s="409"/>
      <c r="U53" s="401">
        <v>69</v>
      </c>
      <c r="V53" s="402" t="s">
        <v>538</v>
      </c>
      <c r="W53" s="403" t="s">
        <v>270</v>
      </c>
      <c r="X53" s="408" t="s">
        <v>539</v>
      </c>
      <c r="Y53" s="405" t="s">
        <v>201</v>
      </c>
      <c r="Z53" s="406"/>
      <c r="AA53" s="405"/>
      <c r="AB53" s="402" t="s">
        <v>369</v>
      </c>
      <c r="AC53" s="408">
        <v>42</v>
      </c>
      <c r="AD53" s="405">
        <v>0</v>
      </c>
      <c r="AE53" s="406" t="s">
        <v>201</v>
      </c>
      <c r="AF53" s="410" t="s">
        <v>203</v>
      </c>
      <c r="AG53" s="411" t="s">
        <v>349</v>
      </c>
      <c r="AH53" s="416" t="s">
        <v>261</v>
      </c>
      <c r="AI53" s="409"/>
      <c r="AJ53" s="413">
        <v>0.01</v>
      </c>
      <c r="AK53" s="413" t="s">
        <v>370</v>
      </c>
      <c r="AL53" s="413" t="s">
        <v>393</v>
      </c>
      <c r="AM53" s="358"/>
      <c r="AN53" s="358"/>
      <c r="AO53" s="358"/>
    </row>
    <row r="54" spans="2:41" ht="63">
      <c r="B54" s="401">
        <v>47</v>
      </c>
      <c r="C54" s="402" t="s">
        <v>540</v>
      </c>
      <c r="D54" s="403" t="s">
        <v>206</v>
      </c>
      <c r="E54" s="404" t="s">
        <v>541</v>
      </c>
      <c r="F54" s="405" t="s">
        <v>203</v>
      </c>
      <c r="G54" s="406" t="s">
        <v>201</v>
      </c>
      <c r="H54" s="405" t="s">
        <v>201</v>
      </c>
      <c r="I54" s="402" t="s">
        <v>340</v>
      </c>
      <c r="J54" s="402">
        <v>12</v>
      </c>
      <c r="K54" s="405">
        <v>0</v>
      </c>
      <c r="L54" s="407" t="s">
        <v>201</v>
      </c>
      <c r="M54" s="404" t="s">
        <v>478</v>
      </c>
      <c r="N54" s="402" t="s">
        <v>542</v>
      </c>
      <c r="O54" s="404" t="s">
        <v>202</v>
      </c>
      <c r="P54" s="402"/>
      <c r="Q54" s="408">
        <v>12</v>
      </c>
      <c r="R54" s="405">
        <v>0</v>
      </c>
      <c r="S54" s="414" t="s">
        <v>272</v>
      </c>
      <c r="T54" s="409"/>
      <c r="U54" s="401">
        <v>70</v>
      </c>
      <c r="V54" s="402" t="s">
        <v>540</v>
      </c>
      <c r="W54" s="403" t="s">
        <v>206</v>
      </c>
      <c r="X54" s="402" t="s">
        <v>543</v>
      </c>
      <c r="Y54" s="405" t="s">
        <v>203</v>
      </c>
      <c r="Z54" s="406"/>
      <c r="AA54" s="405"/>
      <c r="AB54" s="402" t="s">
        <v>343</v>
      </c>
      <c r="AC54" s="408">
        <v>12</v>
      </c>
      <c r="AD54" s="405">
        <v>0</v>
      </c>
      <c r="AE54" s="406" t="s">
        <v>201</v>
      </c>
      <c r="AF54" s="410"/>
      <c r="AG54" s="411"/>
      <c r="AH54" s="411"/>
      <c r="AI54" s="409"/>
      <c r="AJ54" s="413"/>
      <c r="AK54" s="413"/>
      <c r="AL54" s="413"/>
      <c r="AM54" s="358"/>
      <c r="AN54" s="358"/>
      <c r="AO54" s="358"/>
    </row>
    <row r="55" spans="2:41" ht="63">
      <c r="B55" s="401">
        <v>48</v>
      </c>
      <c r="C55" s="402" t="s">
        <v>545</v>
      </c>
      <c r="D55" s="403" t="s">
        <v>210</v>
      </c>
      <c r="E55" s="404" t="s">
        <v>546</v>
      </c>
      <c r="F55" s="405" t="s">
        <v>203</v>
      </c>
      <c r="G55" s="406" t="s">
        <v>201</v>
      </c>
      <c r="H55" s="405" t="s">
        <v>201</v>
      </c>
      <c r="I55" s="402" t="s">
        <v>340</v>
      </c>
      <c r="J55" s="402">
        <v>5</v>
      </c>
      <c r="K55" s="405">
        <v>0</v>
      </c>
      <c r="L55" s="407" t="s">
        <v>201</v>
      </c>
      <c r="M55" s="404" t="s">
        <v>478</v>
      </c>
      <c r="N55" s="402" t="s">
        <v>547</v>
      </c>
      <c r="O55" s="404" t="s">
        <v>202</v>
      </c>
      <c r="P55" s="402"/>
      <c r="Q55" s="408">
        <v>5</v>
      </c>
      <c r="R55" s="405">
        <v>0</v>
      </c>
      <c r="S55" s="414" t="s">
        <v>272</v>
      </c>
      <c r="T55" s="409"/>
      <c r="U55" s="401">
        <v>71</v>
      </c>
      <c r="V55" s="402" t="s">
        <v>545</v>
      </c>
      <c r="W55" s="403" t="s">
        <v>210</v>
      </c>
      <c r="X55" s="402" t="s">
        <v>548</v>
      </c>
      <c r="Y55" s="405" t="s">
        <v>203</v>
      </c>
      <c r="Z55" s="406"/>
      <c r="AA55" s="405"/>
      <c r="AB55" s="402" t="s">
        <v>343</v>
      </c>
      <c r="AC55" s="408">
        <v>5</v>
      </c>
      <c r="AD55" s="405">
        <v>0</v>
      </c>
      <c r="AE55" s="406" t="s">
        <v>201</v>
      </c>
      <c r="AF55" s="410"/>
      <c r="AG55" s="411"/>
      <c r="AH55" s="411"/>
      <c r="AI55" s="409"/>
      <c r="AJ55" s="413"/>
      <c r="AK55" s="413"/>
      <c r="AL55" s="413"/>
      <c r="AM55" s="358"/>
      <c r="AN55" s="358"/>
      <c r="AO55" s="358"/>
    </row>
    <row r="56" spans="2:41" ht="189">
      <c r="B56" s="401">
        <v>49</v>
      </c>
      <c r="C56" s="402" t="s">
        <v>550</v>
      </c>
      <c r="D56" s="403" t="s">
        <v>221</v>
      </c>
      <c r="E56" s="404" t="s">
        <v>551</v>
      </c>
      <c r="F56" s="405" t="s">
        <v>203</v>
      </c>
      <c r="G56" s="406" t="s">
        <v>201</v>
      </c>
      <c r="H56" s="405" t="s">
        <v>201</v>
      </c>
      <c r="I56" s="402" t="s">
        <v>340</v>
      </c>
      <c r="J56" s="402">
        <v>1</v>
      </c>
      <c r="K56" s="405">
        <v>0</v>
      </c>
      <c r="L56" s="407" t="s">
        <v>201</v>
      </c>
      <c r="M56" s="404"/>
      <c r="N56" s="402"/>
      <c r="O56" s="404" t="s">
        <v>202</v>
      </c>
      <c r="P56" s="402"/>
      <c r="Q56" s="408">
        <v>1</v>
      </c>
      <c r="R56" s="405">
        <v>0</v>
      </c>
      <c r="S56" s="402" t="s">
        <v>552</v>
      </c>
      <c r="T56" s="409"/>
      <c r="U56" s="401">
        <v>72</v>
      </c>
      <c r="V56" s="402" t="s">
        <v>550</v>
      </c>
      <c r="W56" s="403" t="s">
        <v>221</v>
      </c>
      <c r="X56" s="402" t="s">
        <v>553</v>
      </c>
      <c r="Y56" s="405" t="s">
        <v>203</v>
      </c>
      <c r="Z56" s="406"/>
      <c r="AA56" s="405"/>
      <c r="AB56" s="402" t="s">
        <v>343</v>
      </c>
      <c r="AC56" s="408">
        <v>1</v>
      </c>
      <c r="AD56" s="405">
        <v>0</v>
      </c>
      <c r="AE56" s="406" t="s">
        <v>201</v>
      </c>
      <c r="AF56" s="410"/>
      <c r="AG56" s="411"/>
      <c r="AH56" s="411"/>
      <c r="AI56" s="409"/>
      <c r="AJ56" s="413"/>
      <c r="AK56" s="413"/>
      <c r="AL56" s="413"/>
      <c r="AM56" s="358"/>
      <c r="AN56" s="358"/>
      <c r="AO56" s="358"/>
    </row>
    <row r="57" spans="2:41" ht="47.25">
      <c r="B57" s="401">
        <v>50</v>
      </c>
      <c r="C57" s="402" t="s">
        <v>555</v>
      </c>
      <c r="D57" s="403" t="s">
        <v>273</v>
      </c>
      <c r="E57" s="404" t="s">
        <v>556</v>
      </c>
      <c r="F57" s="405" t="s">
        <v>201</v>
      </c>
      <c r="G57" s="406" t="s">
        <v>201</v>
      </c>
      <c r="H57" s="405" t="s">
        <v>201</v>
      </c>
      <c r="I57" s="402" t="s">
        <v>340</v>
      </c>
      <c r="J57" s="402">
        <v>8</v>
      </c>
      <c r="K57" s="405">
        <v>0</v>
      </c>
      <c r="L57" s="407" t="s">
        <v>201</v>
      </c>
      <c r="M57" s="404" t="s">
        <v>341</v>
      </c>
      <c r="N57" s="402" t="s">
        <v>555</v>
      </c>
      <c r="O57" s="404" t="s">
        <v>202</v>
      </c>
      <c r="P57" s="402"/>
      <c r="Q57" s="408">
        <v>8</v>
      </c>
      <c r="R57" s="405">
        <v>0</v>
      </c>
      <c r="S57" s="402"/>
      <c r="T57" s="409"/>
      <c r="U57" s="401">
        <v>76</v>
      </c>
      <c r="V57" s="402" t="s">
        <v>555</v>
      </c>
      <c r="W57" s="403" t="s">
        <v>273</v>
      </c>
      <c r="X57" s="402" t="s">
        <v>557</v>
      </c>
      <c r="Y57" s="405" t="s">
        <v>201</v>
      </c>
      <c r="Z57" s="406"/>
      <c r="AA57" s="405"/>
      <c r="AB57" s="402" t="s">
        <v>376</v>
      </c>
      <c r="AC57" s="408">
        <v>8</v>
      </c>
      <c r="AD57" s="405">
        <v>0</v>
      </c>
      <c r="AE57" s="406" t="s">
        <v>201</v>
      </c>
      <c r="AF57" s="410"/>
      <c r="AG57" s="411"/>
      <c r="AH57" s="411"/>
      <c r="AI57" s="409"/>
      <c r="AJ57" s="413"/>
      <c r="AK57" s="413"/>
      <c r="AL57" s="413"/>
      <c r="AM57" s="358"/>
      <c r="AN57" s="358"/>
      <c r="AO57" s="358"/>
    </row>
    <row r="58" spans="2:41" ht="47.25">
      <c r="B58" s="401">
        <v>51</v>
      </c>
      <c r="C58" s="402" t="s">
        <v>559</v>
      </c>
      <c r="D58" s="403" t="s">
        <v>274</v>
      </c>
      <c r="E58" s="404" t="s">
        <v>560</v>
      </c>
      <c r="F58" s="405" t="s">
        <v>201</v>
      </c>
      <c r="G58" s="406" t="s">
        <v>201</v>
      </c>
      <c r="H58" s="405" t="s">
        <v>201</v>
      </c>
      <c r="I58" s="402" t="s">
        <v>340</v>
      </c>
      <c r="J58" s="402">
        <v>6</v>
      </c>
      <c r="K58" s="405">
        <v>0</v>
      </c>
      <c r="L58" s="407" t="s">
        <v>201</v>
      </c>
      <c r="M58" s="404" t="s">
        <v>341</v>
      </c>
      <c r="N58" s="402" t="s">
        <v>561</v>
      </c>
      <c r="O58" s="404" t="s">
        <v>202</v>
      </c>
      <c r="P58" s="402"/>
      <c r="Q58" s="408">
        <v>6</v>
      </c>
      <c r="R58" s="405">
        <v>0</v>
      </c>
      <c r="S58" s="402"/>
      <c r="T58" s="431"/>
      <c r="U58" s="401">
        <v>77</v>
      </c>
      <c r="V58" s="402" t="s">
        <v>559</v>
      </c>
      <c r="W58" s="403" t="s">
        <v>274</v>
      </c>
      <c r="X58" s="402" t="s">
        <v>562</v>
      </c>
      <c r="Y58" s="405" t="s">
        <v>201</v>
      </c>
      <c r="Z58" s="406"/>
      <c r="AA58" s="405"/>
      <c r="AB58" s="402" t="s">
        <v>376</v>
      </c>
      <c r="AC58" s="408">
        <v>6</v>
      </c>
      <c r="AD58" s="405">
        <v>0</v>
      </c>
      <c r="AE58" s="406" t="s">
        <v>201</v>
      </c>
      <c r="AF58" s="410"/>
      <c r="AG58" s="411"/>
      <c r="AH58" s="411"/>
      <c r="AI58" s="431"/>
      <c r="AJ58" s="432"/>
      <c r="AK58" s="432"/>
      <c r="AL58" s="417"/>
      <c r="AM58" s="358"/>
      <c r="AN58" s="358"/>
      <c r="AO58" s="358"/>
    </row>
    <row r="59" spans="2:41">
      <c r="B59" s="433" t="s">
        <v>563</v>
      </c>
      <c r="C59" s="434"/>
      <c r="D59" s="434"/>
      <c r="E59" s="434"/>
      <c r="F59" s="434"/>
      <c r="G59" s="434"/>
      <c r="H59" s="434"/>
      <c r="I59" s="434"/>
      <c r="J59" s="434"/>
      <c r="K59" s="434"/>
      <c r="L59" s="434"/>
      <c r="M59" s="434"/>
      <c r="N59" s="434"/>
      <c r="O59" s="434"/>
      <c r="P59" s="434"/>
      <c r="Q59" s="434"/>
      <c r="R59" s="434"/>
      <c r="S59" s="435"/>
      <c r="T59" s="431"/>
      <c r="U59" s="433"/>
      <c r="V59" s="434"/>
      <c r="W59" s="434"/>
      <c r="X59" s="434"/>
      <c r="Y59" s="434"/>
      <c r="Z59" s="434"/>
      <c r="AA59" s="434"/>
      <c r="AB59" s="434"/>
      <c r="AC59" s="434"/>
      <c r="AD59" s="434"/>
      <c r="AE59" s="434"/>
      <c r="AF59" s="436"/>
      <c r="AG59" s="436"/>
      <c r="AH59" s="437"/>
      <c r="AI59" s="409"/>
      <c r="AJ59" s="432"/>
      <c r="AK59" s="432"/>
      <c r="AL59" s="417"/>
      <c r="AM59" s="358"/>
      <c r="AN59" s="358"/>
      <c r="AO59" s="358"/>
    </row>
    <row r="60" spans="2:41" ht="63">
      <c r="B60" s="438"/>
      <c r="C60" s="438"/>
      <c r="D60" s="439" t="s">
        <v>564</v>
      </c>
      <c r="E60" s="438"/>
      <c r="F60" s="419"/>
      <c r="G60" s="419"/>
      <c r="H60" s="419"/>
      <c r="I60" s="438"/>
      <c r="J60" s="438"/>
      <c r="K60" s="419"/>
      <c r="L60" s="419"/>
      <c r="M60" s="438"/>
      <c r="N60" s="438"/>
      <c r="O60" s="438"/>
      <c r="P60" s="438"/>
      <c r="Q60" s="438"/>
      <c r="R60" s="438"/>
      <c r="S60" s="438"/>
      <c r="T60" s="440"/>
      <c r="U60" s="401">
        <v>1</v>
      </c>
      <c r="V60" s="402" t="s">
        <v>566</v>
      </c>
      <c r="W60" s="441" t="s">
        <v>275</v>
      </c>
      <c r="X60" s="402" t="s">
        <v>567</v>
      </c>
      <c r="Y60" s="405" t="s">
        <v>203</v>
      </c>
      <c r="Z60" s="406"/>
      <c r="AA60" s="405"/>
      <c r="AB60" s="402" t="s">
        <v>343</v>
      </c>
      <c r="AC60" s="402">
        <v>4</v>
      </c>
      <c r="AD60" s="405">
        <v>0</v>
      </c>
      <c r="AE60" s="419" t="s">
        <v>201</v>
      </c>
      <c r="AF60" s="406" t="s">
        <v>203</v>
      </c>
      <c r="AG60" s="417" t="s">
        <v>568</v>
      </c>
      <c r="AH60" s="417" t="s">
        <v>569</v>
      </c>
      <c r="AI60" s="442" t="s">
        <v>564</v>
      </c>
      <c r="AJ60" s="419"/>
      <c r="AK60" s="419"/>
      <c r="AL60" s="438"/>
      <c r="AM60" s="358"/>
      <c r="AN60" s="358"/>
      <c r="AO60" s="358"/>
    </row>
    <row r="61" spans="2:41" ht="63">
      <c r="B61" s="438"/>
      <c r="C61" s="438"/>
      <c r="D61" s="439" t="s">
        <v>564</v>
      </c>
      <c r="E61" s="438"/>
      <c r="F61" s="419"/>
      <c r="G61" s="419"/>
      <c r="H61" s="419"/>
      <c r="I61" s="438"/>
      <c r="J61" s="438"/>
      <c r="K61" s="419"/>
      <c r="L61" s="419"/>
      <c r="M61" s="438"/>
      <c r="N61" s="438"/>
      <c r="O61" s="438"/>
      <c r="P61" s="438"/>
      <c r="Q61" s="438"/>
      <c r="R61" s="438"/>
      <c r="S61" s="438"/>
      <c r="T61" s="440"/>
      <c r="U61" s="401">
        <v>6</v>
      </c>
      <c r="V61" s="402" t="s">
        <v>571</v>
      </c>
      <c r="W61" s="403" t="s">
        <v>276</v>
      </c>
      <c r="X61" s="402" t="s">
        <v>572</v>
      </c>
      <c r="Y61" s="405" t="s">
        <v>203</v>
      </c>
      <c r="Z61" s="406"/>
      <c r="AA61" s="405"/>
      <c r="AB61" s="402" t="s">
        <v>343</v>
      </c>
      <c r="AC61" s="402">
        <v>1</v>
      </c>
      <c r="AD61" s="405">
        <v>0</v>
      </c>
      <c r="AE61" s="419" t="s">
        <v>201</v>
      </c>
      <c r="AF61" s="443" t="s">
        <v>203</v>
      </c>
      <c r="AG61" s="411" t="s">
        <v>568</v>
      </c>
      <c r="AH61" s="417" t="s">
        <v>573</v>
      </c>
      <c r="AI61" s="442" t="s">
        <v>564</v>
      </c>
      <c r="AJ61" s="419"/>
      <c r="AK61" s="419"/>
      <c r="AL61" s="438"/>
      <c r="AM61" s="358"/>
      <c r="AN61" s="358"/>
      <c r="AO61" s="358"/>
    </row>
    <row r="62" spans="2:41" ht="63">
      <c r="B62" s="438"/>
      <c r="C62" s="438"/>
      <c r="D62" s="439" t="s">
        <v>564</v>
      </c>
      <c r="E62" s="438"/>
      <c r="F62" s="419"/>
      <c r="G62" s="419"/>
      <c r="H62" s="419"/>
      <c r="I62" s="438"/>
      <c r="J62" s="438"/>
      <c r="K62" s="419"/>
      <c r="L62" s="419"/>
      <c r="M62" s="438"/>
      <c r="N62" s="438"/>
      <c r="O62" s="438"/>
      <c r="P62" s="438"/>
      <c r="Q62" s="438"/>
      <c r="R62" s="438"/>
      <c r="S62" s="438"/>
      <c r="T62" s="440"/>
      <c r="U62" s="401">
        <v>7</v>
      </c>
      <c r="V62" s="402" t="s">
        <v>575</v>
      </c>
      <c r="W62" s="403" t="s">
        <v>221</v>
      </c>
      <c r="X62" s="402" t="s">
        <v>576</v>
      </c>
      <c r="Y62" s="405" t="s">
        <v>203</v>
      </c>
      <c r="Z62" s="406"/>
      <c r="AA62" s="405"/>
      <c r="AB62" s="402" t="s">
        <v>343</v>
      </c>
      <c r="AC62" s="402">
        <v>1</v>
      </c>
      <c r="AD62" s="405">
        <v>0</v>
      </c>
      <c r="AE62" s="419" t="s">
        <v>201</v>
      </c>
      <c r="AF62" s="443" t="s">
        <v>203</v>
      </c>
      <c r="AG62" s="411" t="s">
        <v>568</v>
      </c>
      <c r="AH62" s="417" t="s">
        <v>577</v>
      </c>
      <c r="AI62" s="442" t="s">
        <v>564</v>
      </c>
      <c r="AJ62" s="419"/>
      <c r="AK62" s="419"/>
      <c r="AL62" s="438"/>
      <c r="AM62" s="358"/>
      <c r="AN62" s="358"/>
      <c r="AO62" s="358"/>
    </row>
    <row r="63" spans="2:41" ht="63">
      <c r="B63" s="438"/>
      <c r="C63" s="438"/>
      <c r="D63" s="439" t="s">
        <v>564</v>
      </c>
      <c r="E63" s="438"/>
      <c r="F63" s="419"/>
      <c r="G63" s="419"/>
      <c r="H63" s="419"/>
      <c r="I63" s="438"/>
      <c r="J63" s="438"/>
      <c r="K63" s="419"/>
      <c r="L63" s="419"/>
      <c r="M63" s="438"/>
      <c r="N63" s="438"/>
      <c r="O63" s="438"/>
      <c r="P63" s="438"/>
      <c r="Q63" s="438"/>
      <c r="R63" s="438"/>
      <c r="S63" s="438"/>
      <c r="T63" s="440"/>
      <c r="U63" s="401">
        <v>8</v>
      </c>
      <c r="V63" s="402" t="s">
        <v>579</v>
      </c>
      <c r="W63" s="403" t="s">
        <v>277</v>
      </c>
      <c r="X63" s="402" t="s">
        <v>580</v>
      </c>
      <c r="Y63" s="405" t="s">
        <v>203</v>
      </c>
      <c r="Z63" s="406"/>
      <c r="AA63" s="405"/>
      <c r="AB63" s="402" t="s">
        <v>343</v>
      </c>
      <c r="AC63" s="402">
        <v>1</v>
      </c>
      <c r="AD63" s="405">
        <v>0</v>
      </c>
      <c r="AE63" s="419" t="s">
        <v>201</v>
      </c>
      <c r="AF63" s="443" t="s">
        <v>203</v>
      </c>
      <c r="AG63" s="411" t="s">
        <v>568</v>
      </c>
      <c r="AH63" s="417" t="s">
        <v>581</v>
      </c>
      <c r="AI63" s="442" t="s">
        <v>564</v>
      </c>
      <c r="AJ63" s="419"/>
      <c r="AK63" s="419"/>
      <c r="AL63" s="438"/>
      <c r="AM63" s="358"/>
      <c r="AN63" s="358"/>
      <c r="AO63" s="358"/>
    </row>
    <row r="64" spans="2:41" ht="47.25">
      <c r="B64" s="438"/>
      <c r="C64" s="438"/>
      <c r="D64" s="439" t="s">
        <v>564</v>
      </c>
      <c r="E64" s="438"/>
      <c r="F64" s="419"/>
      <c r="G64" s="419"/>
      <c r="H64" s="419"/>
      <c r="I64" s="438"/>
      <c r="J64" s="438"/>
      <c r="K64" s="419"/>
      <c r="L64" s="419"/>
      <c r="M64" s="438"/>
      <c r="N64" s="438"/>
      <c r="O64" s="438"/>
      <c r="P64" s="438"/>
      <c r="Q64" s="438"/>
      <c r="R64" s="438"/>
      <c r="S64" s="438"/>
      <c r="T64" s="440"/>
      <c r="U64" s="401">
        <v>11</v>
      </c>
      <c r="V64" s="402" t="s">
        <v>583</v>
      </c>
      <c r="W64" s="403" t="s">
        <v>278</v>
      </c>
      <c r="X64" s="402" t="s">
        <v>279</v>
      </c>
      <c r="Y64" s="405" t="s">
        <v>201</v>
      </c>
      <c r="Z64" s="406"/>
      <c r="AA64" s="405"/>
      <c r="AB64" s="402" t="s">
        <v>376</v>
      </c>
      <c r="AC64" s="402">
        <v>8</v>
      </c>
      <c r="AD64" s="405">
        <v>0</v>
      </c>
      <c r="AE64" s="419" t="s">
        <v>201</v>
      </c>
      <c r="AF64" s="444"/>
      <c r="AG64" s="411"/>
      <c r="AH64" s="412"/>
      <c r="AI64" s="442" t="s">
        <v>564</v>
      </c>
      <c r="AJ64" s="419"/>
      <c r="AK64" s="419"/>
      <c r="AL64" s="438"/>
      <c r="AM64" s="358"/>
      <c r="AN64" s="358"/>
      <c r="AO64" s="358"/>
    </row>
    <row r="65" spans="2:41" ht="47.25">
      <c r="B65" s="438"/>
      <c r="C65" s="438"/>
      <c r="D65" s="439" t="s">
        <v>564</v>
      </c>
      <c r="E65" s="438"/>
      <c r="F65" s="419"/>
      <c r="G65" s="419"/>
      <c r="H65" s="419"/>
      <c r="I65" s="438"/>
      <c r="J65" s="438"/>
      <c r="K65" s="419"/>
      <c r="L65" s="419"/>
      <c r="M65" s="438"/>
      <c r="N65" s="438"/>
      <c r="O65" s="438"/>
      <c r="P65" s="438"/>
      <c r="Q65" s="438"/>
      <c r="R65" s="438"/>
      <c r="S65" s="438"/>
      <c r="T65" s="440"/>
      <c r="U65" s="401">
        <v>12</v>
      </c>
      <c r="V65" s="402" t="s">
        <v>585</v>
      </c>
      <c r="W65" s="403" t="s">
        <v>280</v>
      </c>
      <c r="X65" s="402" t="s">
        <v>281</v>
      </c>
      <c r="Y65" s="405" t="s">
        <v>201</v>
      </c>
      <c r="Z65" s="406"/>
      <c r="AA65" s="405"/>
      <c r="AB65" s="402" t="s">
        <v>376</v>
      </c>
      <c r="AC65" s="402">
        <v>6</v>
      </c>
      <c r="AD65" s="405">
        <v>0</v>
      </c>
      <c r="AE65" s="419" t="s">
        <v>201</v>
      </c>
      <c r="AF65" s="444"/>
      <c r="AG65" s="411"/>
      <c r="AH65" s="412"/>
      <c r="AI65" s="442" t="s">
        <v>564</v>
      </c>
      <c r="AJ65" s="419"/>
      <c r="AK65" s="419"/>
      <c r="AL65" s="438"/>
      <c r="AM65" s="358"/>
      <c r="AN65" s="358"/>
      <c r="AO65" s="358"/>
    </row>
    <row r="66" spans="2:41" ht="47.25">
      <c r="B66" s="438"/>
      <c r="C66" s="438"/>
      <c r="D66" s="439" t="s">
        <v>564</v>
      </c>
      <c r="E66" s="438"/>
      <c r="F66" s="419"/>
      <c r="G66" s="419"/>
      <c r="H66" s="419"/>
      <c r="I66" s="438"/>
      <c r="J66" s="438"/>
      <c r="K66" s="419"/>
      <c r="L66" s="419"/>
      <c r="M66" s="438"/>
      <c r="N66" s="438"/>
      <c r="O66" s="438"/>
      <c r="P66" s="438"/>
      <c r="Q66" s="438"/>
      <c r="R66" s="438"/>
      <c r="S66" s="438"/>
      <c r="T66" s="440"/>
      <c r="U66" s="401">
        <v>13</v>
      </c>
      <c r="V66" s="402" t="s">
        <v>587</v>
      </c>
      <c r="W66" s="403" t="s">
        <v>278</v>
      </c>
      <c r="X66" s="402" t="s">
        <v>279</v>
      </c>
      <c r="Y66" s="405" t="s">
        <v>201</v>
      </c>
      <c r="Z66" s="406"/>
      <c r="AA66" s="405"/>
      <c r="AB66" s="402" t="s">
        <v>376</v>
      </c>
      <c r="AC66" s="402">
        <v>8</v>
      </c>
      <c r="AD66" s="405">
        <v>0</v>
      </c>
      <c r="AE66" s="419" t="s">
        <v>201</v>
      </c>
      <c r="AF66" s="444"/>
      <c r="AG66" s="411"/>
      <c r="AH66" s="412"/>
      <c r="AI66" s="442" t="s">
        <v>564</v>
      </c>
      <c r="AJ66" s="419"/>
      <c r="AK66" s="419"/>
      <c r="AL66" s="438"/>
      <c r="AM66" s="358"/>
      <c r="AN66" s="358"/>
      <c r="AO66" s="358"/>
    </row>
    <row r="67" spans="2:41" ht="47.25">
      <c r="B67" s="438"/>
      <c r="C67" s="438"/>
      <c r="D67" s="439" t="s">
        <v>564</v>
      </c>
      <c r="E67" s="438"/>
      <c r="F67" s="419"/>
      <c r="G67" s="419"/>
      <c r="H67" s="419"/>
      <c r="I67" s="438"/>
      <c r="J67" s="438"/>
      <c r="K67" s="419"/>
      <c r="L67" s="419"/>
      <c r="M67" s="438"/>
      <c r="N67" s="438"/>
      <c r="O67" s="438"/>
      <c r="P67" s="438"/>
      <c r="Q67" s="438"/>
      <c r="R67" s="438"/>
      <c r="S67" s="438"/>
      <c r="T67" s="440"/>
      <c r="U67" s="401">
        <v>14</v>
      </c>
      <c r="V67" s="402" t="s">
        <v>589</v>
      </c>
      <c r="W67" s="403" t="s">
        <v>280</v>
      </c>
      <c r="X67" s="402" t="s">
        <v>279</v>
      </c>
      <c r="Y67" s="405" t="s">
        <v>201</v>
      </c>
      <c r="Z67" s="406"/>
      <c r="AA67" s="405"/>
      <c r="AB67" s="402" t="s">
        <v>376</v>
      </c>
      <c r="AC67" s="402">
        <v>6</v>
      </c>
      <c r="AD67" s="405">
        <v>0</v>
      </c>
      <c r="AE67" s="419" t="s">
        <v>201</v>
      </c>
      <c r="AF67" s="444"/>
      <c r="AG67" s="411"/>
      <c r="AH67" s="412"/>
      <c r="AI67" s="442" t="s">
        <v>564</v>
      </c>
      <c r="AJ67" s="419"/>
      <c r="AK67" s="419"/>
      <c r="AL67" s="438"/>
      <c r="AM67" s="358"/>
      <c r="AN67" s="358"/>
      <c r="AO67" s="358"/>
    </row>
    <row r="68" spans="2:41" ht="63">
      <c r="B68" s="438"/>
      <c r="C68" s="438"/>
      <c r="D68" s="439" t="s">
        <v>564</v>
      </c>
      <c r="E68" s="438"/>
      <c r="F68" s="419"/>
      <c r="G68" s="419"/>
      <c r="H68" s="419"/>
      <c r="I68" s="438"/>
      <c r="J68" s="438"/>
      <c r="K68" s="419"/>
      <c r="L68" s="419"/>
      <c r="M68" s="438"/>
      <c r="N68" s="438"/>
      <c r="O68" s="438"/>
      <c r="P68" s="438"/>
      <c r="Q68" s="438"/>
      <c r="R68" s="438"/>
      <c r="S68" s="438"/>
      <c r="T68" s="440"/>
      <c r="U68" s="401">
        <v>15</v>
      </c>
      <c r="V68" s="402" t="s">
        <v>590</v>
      </c>
      <c r="W68" s="403" t="s">
        <v>564</v>
      </c>
      <c r="X68" s="402" t="s">
        <v>283</v>
      </c>
      <c r="Y68" s="405" t="s">
        <v>201</v>
      </c>
      <c r="Z68" s="406"/>
      <c r="AA68" s="405"/>
      <c r="AB68" s="402" t="s">
        <v>343</v>
      </c>
      <c r="AC68" s="402">
        <v>5</v>
      </c>
      <c r="AD68" s="405">
        <v>0</v>
      </c>
      <c r="AE68" s="419" t="s">
        <v>201</v>
      </c>
      <c r="AF68" s="444"/>
      <c r="AG68" s="411"/>
      <c r="AH68" s="412"/>
      <c r="AI68" s="442" t="s">
        <v>564</v>
      </c>
      <c r="AJ68" s="419"/>
      <c r="AK68" s="419"/>
      <c r="AL68" s="438"/>
      <c r="AM68" s="358"/>
      <c r="AN68" s="358"/>
      <c r="AO68" s="358"/>
    </row>
    <row r="69" spans="2:41" ht="63">
      <c r="B69" s="438"/>
      <c r="C69" s="438"/>
      <c r="D69" s="439" t="s">
        <v>564</v>
      </c>
      <c r="E69" s="438"/>
      <c r="F69" s="419"/>
      <c r="G69" s="419"/>
      <c r="H69" s="419"/>
      <c r="I69" s="438"/>
      <c r="J69" s="438"/>
      <c r="K69" s="419"/>
      <c r="L69" s="419"/>
      <c r="M69" s="438"/>
      <c r="N69" s="438"/>
      <c r="O69" s="438"/>
      <c r="P69" s="438"/>
      <c r="Q69" s="438"/>
      <c r="R69" s="438"/>
      <c r="S69" s="438"/>
      <c r="T69" s="440"/>
      <c r="U69" s="401">
        <v>16</v>
      </c>
      <c r="V69" s="402" t="s">
        <v>591</v>
      </c>
      <c r="W69" s="403" t="s">
        <v>564</v>
      </c>
      <c r="X69" s="402" t="s">
        <v>283</v>
      </c>
      <c r="Y69" s="405" t="s">
        <v>201</v>
      </c>
      <c r="Z69" s="406"/>
      <c r="AA69" s="405"/>
      <c r="AB69" s="402" t="s">
        <v>369</v>
      </c>
      <c r="AC69" s="402">
        <v>42</v>
      </c>
      <c r="AD69" s="405">
        <v>0</v>
      </c>
      <c r="AE69" s="419" t="s">
        <v>201</v>
      </c>
      <c r="AF69" s="410" t="s">
        <v>203</v>
      </c>
      <c r="AG69" s="411" t="s">
        <v>349</v>
      </c>
      <c r="AH69" s="412" t="s">
        <v>285</v>
      </c>
      <c r="AI69" s="445" t="s">
        <v>564</v>
      </c>
      <c r="AJ69" s="413">
        <v>0.01</v>
      </c>
      <c r="AK69" s="413" t="s">
        <v>370</v>
      </c>
      <c r="AL69" s="401" t="s">
        <v>393</v>
      </c>
      <c r="AM69" s="358"/>
      <c r="AN69" s="358"/>
      <c r="AO69" s="358"/>
    </row>
    <row r="70" spans="2:41" ht="63">
      <c r="B70" s="438"/>
      <c r="C70" s="438"/>
      <c r="D70" s="439" t="s">
        <v>564</v>
      </c>
      <c r="E70" s="438"/>
      <c r="F70" s="419"/>
      <c r="G70" s="419"/>
      <c r="H70" s="419"/>
      <c r="I70" s="438"/>
      <c r="J70" s="438"/>
      <c r="K70" s="419"/>
      <c r="L70" s="419"/>
      <c r="M70" s="438"/>
      <c r="N70" s="438"/>
      <c r="O70" s="438"/>
      <c r="P70" s="438"/>
      <c r="Q70" s="438"/>
      <c r="R70" s="438"/>
      <c r="S70" s="438"/>
      <c r="T70" s="440"/>
      <c r="U70" s="402">
        <v>17</v>
      </c>
      <c r="V70" s="402" t="s">
        <v>592</v>
      </c>
      <c r="W70" s="403" t="s">
        <v>564</v>
      </c>
      <c r="X70" s="402" t="s">
        <v>283</v>
      </c>
      <c r="Y70" s="405" t="s">
        <v>201</v>
      </c>
      <c r="Z70" s="405"/>
      <c r="AA70" s="405"/>
      <c r="AB70" s="402" t="s">
        <v>369</v>
      </c>
      <c r="AC70" s="402">
        <v>12</v>
      </c>
      <c r="AD70" s="405">
        <v>0</v>
      </c>
      <c r="AE70" s="419" t="s">
        <v>201</v>
      </c>
      <c r="AF70" s="410" t="s">
        <v>203</v>
      </c>
      <c r="AG70" s="411" t="s">
        <v>349</v>
      </c>
      <c r="AH70" s="412" t="s">
        <v>285</v>
      </c>
      <c r="AI70" s="445" t="s">
        <v>564</v>
      </c>
      <c r="AJ70" s="413">
        <v>0.01</v>
      </c>
      <c r="AK70" s="413" t="s">
        <v>370</v>
      </c>
      <c r="AL70" s="401" t="s">
        <v>393</v>
      </c>
      <c r="AM70" s="358"/>
      <c r="AN70" s="358"/>
      <c r="AO70" s="358"/>
    </row>
    <row r="71" spans="2:41" ht="63">
      <c r="B71" s="438"/>
      <c r="C71" s="438"/>
      <c r="D71" s="439" t="s">
        <v>564</v>
      </c>
      <c r="E71" s="438"/>
      <c r="F71" s="419"/>
      <c r="G71" s="419"/>
      <c r="H71" s="419"/>
      <c r="I71" s="438"/>
      <c r="J71" s="438"/>
      <c r="K71" s="419"/>
      <c r="L71" s="419"/>
      <c r="M71" s="438"/>
      <c r="N71" s="438"/>
      <c r="O71" s="438"/>
      <c r="P71" s="438"/>
      <c r="Q71" s="438"/>
      <c r="R71" s="438"/>
      <c r="S71" s="438"/>
      <c r="T71" s="440"/>
      <c r="U71" s="401">
        <v>24</v>
      </c>
      <c r="V71" s="402" t="s">
        <v>594</v>
      </c>
      <c r="W71" s="403" t="s">
        <v>564</v>
      </c>
      <c r="X71" s="402" t="s">
        <v>595</v>
      </c>
      <c r="Y71" s="405" t="s">
        <v>201</v>
      </c>
      <c r="Z71" s="406"/>
      <c r="AA71" s="405"/>
      <c r="AB71" s="402" t="s">
        <v>343</v>
      </c>
      <c r="AC71" s="408">
        <v>5</v>
      </c>
      <c r="AD71" s="405">
        <v>0</v>
      </c>
      <c r="AE71" s="406" t="s">
        <v>201</v>
      </c>
      <c r="AF71" s="410"/>
      <c r="AG71" s="411"/>
      <c r="AH71" s="412"/>
      <c r="AI71" s="442" t="s">
        <v>564</v>
      </c>
      <c r="AJ71" s="419"/>
      <c r="AK71" s="419"/>
      <c r="AL71" s="438"/>
      <c r="AM71" s="358"/>
      <c r="AN71" s="358"/>
      <c r="AO71" s="358"/>
    </row>
    <row r="72" spans="2:41" ht="63">
      <c r="B72" s="438"/>
      <c r="C72" s="438"/>
      <c r="D72" s="439" t="s">
        <v>564</v>
      </c>
      <c r="E72" s="438"/>
      <c r="F72" s="419"/>
      <c r="G72" s="419"/>
      <c r="H72" s="419"/>
      <c r="I72" s="438"/>
      <c r="J72" s="438"/>
      <c r="K72" s="419"/>
      <c r="L72" s="419"/>
      <c r="M72" s="438"/>
      <c r="N72" s="438"/>
      <c r="O72" s="438"/>
      <c r="P72" s="438"/>
      <c r="Q72" s="438"/>
      <c r="R72" s="438"/>
      <c r="S72" s="438"/>
      <c r="T72" s="440"/>
      <c r="U72" s="401">
        <v>25</v>
      </c>
      <c r="V72" s="402" t="s">
        <v>597</v>
      </c>
      <c r="W72" s="403" t="s">
        <v>564</v>
      </c>
      <c r="X72" s="402" t="s">
        <v>287</v>
      </c>
      <c r="Y72" s="405" t="s">
        <v>201</v>
      </c>
      <c r="Z72" s="406"/>
      <c r="AA72" s="405"/>
      <c r="AB72" s="402" t="s">
        <v>369</v>
      </c>
      <c r="AC72" s="408">
        <v>42</v>
      </c>
      <c r="AD72" s="405">
        <v>0</v>
      </c>
      <c r="AE72" s="406" t="s">
        <v>201</v>
      </c>
      <c r="AF72" s="410" t="s">
        <v>203</v>
      </c>
      <c r="AG72" s="411" t="s">
        <v>349</v>
      </c>
      <c r="AH72" s="412" t="s">
        <v>285</v>
      </c>
      <c r="AI72" s="445" t="s">
        <v>564</v>
      </c>
      <c r="AJ72" s="413">
        <v>0.01</v>
      </c>
      <c r="AK72" s="413" t="s">
        <v>370</v>
      </c>
      <c r="AL72" s="401" t="s">
        <v>393</v>
      </c>
      <c r="AM72" s="358"/>
      <c r="AN72" s="358"/>
      <c r="AO72" s="358"/>
    </row>
    <row r="73" spans="2:41" ht="63">
      <c r="B73" s="438"/>
      <c r="C73" s="438"/>
      <c r="D73" s="439" t="s">
        <v>564</v>
      </c>
      <c r="E73" s="438"/>
      <c r="F73" s="419"/>
      <c r="G73" s="419"/>
      <c r="H73" s="419"/>
      <c r="I73" s="438"/>
      <c r="J73" s="438"/>
      <c r="K73" s="419"/>
      <c r="L73" s="419"/>
      <c r="M73" s="438"/>
      <c r="N73" s="438"/>
      <c r="O73" s="438"/>
      <c r="P73" s="438"/>
      <c r="Q73" s="438"/>
      <c r="R73" s="438"/>
      <c r="S73" s="438"/>
      <c r="T73" s="440"/>
      <c r="U73" s="417">
        <v>38</v>
      </c>
      <c r="V73" s="417" t="s">
        <v>599</v>
      </c>
      <c r="W73" s="403" t="s">
        <v>564</v>
      </c>
      <c r="X73" s="417" t="s">
        <v>600</v>
      </c>
      <c r="Y73" s="405" t="s">
        <v>201</v>
      </c>
      <c r="Z73" s="417"/>
      <c r="AA73" s="417"/>
      <c r="AB73" s="402" t="s">
        <v>343</v>
      </c>
      <c r="AC73" s="417">
        <v>7</v>
      </c>
      <c r="AD73" s="418">
        <v>0</v>
      </c>
      <c r="AE73" s="419" t="s">
        <v>201</v>
      </c>
      <c r="AF73" s="411"/>
      <c r="AG73" s="420"/>
      <c r="AH73" s="412"/>
      <c r="AI73" s="442" t="s">
        <v>564</v>
      </c>
      <c r="AJ73" s="419"/>
      <c r="AK73" s="419"/>
      <c r="AL73" s="438"/>
      <c r="AM73" s="358"/>
      <c r="AN73" s="358"/>
      <c r="AO73" s="358"/>
    </row>
    <row r="74" spans="2:41" ht="63">
      <c r="B74" s="438"/>
      <c r="C74" s="438"/>
      <c r="D74" s="439" t="s">
        <v>564</v>
      </c>
      <c r="E74" s="438"/>
      <c r="F74" s="419"/>
      <c r="G74" s="419"/>
      <c r="H74" s="419"/>
      <c r="I74" s="438"/>
      <c r="J74" s="438"/>
      <c r="K74" s="419"/>
      <c r="L74" s="419"/>
      <c r="M74" s="438"/>
      <c r="N74" s="438"/>
      <c r="O74" s="438"/>
      <c r="P74" s="438"/>
      <c r="Q74" s="438"/>
      <c r="R74" s="438"/>
      <c r="S74" s="438"/>
      <c r="T74" s="440"/>
      <c r="U74" s="417">
        <v>39</v>
      </c>
      <c r="V74" s="417" t="s">
        <v>602</v>
      </c>
      <c r="W74" s="403" t="s">
        <v>564</v>
      </c>
      <c r="X74" s="417" t="s">
        <v>603</v>
      </c>
      <c r="Y74" s="405" t="s">
        <v>201</v>
      </c>
      <c r="Z74" s="417"/>
      <c r="AA74" s="417"/>
      <c r="AB74" s="402" t="s">
        <v>369</v>
      </c>
      <c r="AC74" s="417">
        <v>42</v>
      </c>
      <c r="AD74" s="418">
        <v>0</v>
      </c>
      <c r="AE74" s="419" t="s">
        <v>201</v>
      </c>
      <c r="AF74" s="410" t="s">
        <v>203</v>
      </c>
      <c r="AG74" s="411" t="s">
        <v>349</v>
      </c>
      <c r="AH74" s="412" t="s">
        <v>285</v>
      </c>
      <c r="AI74" s="445" t="s">
        <v>564</v>
      </c>
      <c r="AJ74" s="413">
        <v>0.01</v>
      </c>
      <c r="AK74" s="413" t="s">
        <v>370</v>
      </c>
      <c r="AL74" s="401" t="s">
        <v>393</v>
      </c>
      <c r="AM74" s="358"/>
      <c r="AN74" s="358"/>
      <c r="AO74" s="358"/>
    </row>
    <row r="75" spans="2:41" ht="63">
      <c r="B75" s="401"/>
      <c r="C75" s="402"/>
      <c r="D75" s="403" t="s">
        <v>564</v>
      </c>
      <c r="E75" s="421"/>
      <c r="F75" s="405"/>
      <c r="G75" s="406"/>
      <c r="H75" s="405"/>
      <c r="I75" s="402"/>
      <c r="J75" s="414"/>
      <c r="K75" s="405"/>
      <c r="L75" s="407"/>
      <c r="M75" s="404"/>
      <c r="N75" s="402"/>
      <c r="O75" s="404"/>
      <c r="P75" s="402"/>
      <c r="Q75" s="408"/>
      <c r="R75" s="405"/>
      <c r="S75" s="402"/>
      <c r="T75" s="409"/>
      <c r="U75" s="401">
        <v>43</v>
      </c>
      <c r="V75" s="402" t="s">
        <v>605</v>
      </c>
      <c r="W75" s="403" t="s">
        <v>564</v>
      </c>
      <c r="X75" s="402" t="s">
        <v>606</v>
      </c>
      <c r="Y75" s="405" t="s">
        <v>201</v>
      </c>
      <c r="Z75" s="406"/>
      <c r="AA75" s="405"/>
      <c r="AB75" s="402" t="s">
        <v>369</v>
      </c>
      <c r="AC75" s="408">
        <v>22</v>
      </c>
      <c r="AD75" s="405">
        <v>0</v>
      </c>
      <c r="AE75" s="406" t="s">
        <v>201</v>
      </c>
      <c r="AF75" s="410" t="s">
        <v>203</v>
      </c>
      <c r="AG75" s="411" t="s">
        <v>349</v>
      </c>
      <c r="AH75" s="412" t="s">
        <v>285</v>
      </c>
      <c r="AI75" s="445" t="s">
        <v>564</v>
      </c>
      <c r="AJ75" s="413">
        <v>0.01</v>
      </c>
      <c r="AK75" s="413" t="s">
        <v>370</v>
      </c>
      <c r="AL75" s="401" t="s">
        <v>393</v>
      </c>
      <c r="AM75" s="358"/>
      <c r="AN75" s="358"/>
      <c r="AO75" s="358"/>
    </row>
    <row r="76" spans="2:41" ht="63">
      <c r="B76" s="438"/>
      <c r="C76" s="438"/>
      <c r="D76" s="439" t="s">
        <v>564</v>
      </c>
      <c r="E76" s="438"/>
      <c r="F76" s="419"/>
      <c r="G76" s="419"/>
      <c r="H76" s="419"/>
      <c r="I76" s="438"/>
      <c r="J76" s="438"/>
      <c r="K76" s="419"/>
      <c r="L76" s="419"/>
      <c r="M76" s="438"/>
      <c r="N76" s="438"/>
      <c r="O76" s="438"/>
      <c r="P76" s="438"/>
      <c r="Q76" s="438"/>
      <c r="R76" s="438"/>
      <c r="S76" s="438"/>
      <c r="T76" s="440"/>
      <c r="U76" s="401">
        <v>48</v>
      </c>
      <c r="V76" s="402" t="s">
        <v>607</v>
      </c>
      <c r="W76" s="403" t="s">
        <v>564</v>
      </c>
      <c r="X76" s="402" t="s">
        <v>283</v>
      </c>
      <c r="Y76" s="405" t="s">
        <v>201</v>
      </c>
      <c r="Z76" s="406"/>
      <c r="AA76" s="405"/>
      <c r="AB76" s="402" t="s">
        <v>343</v>
      </c>
      <c r="AC76" s="402">
        <v>2</v>
      </c>
      <c r="AD76" s="405">
        <v>0</v>
      </c>
      <c r="AE76" s="419" t="s">
        <v>201</v>
      </c>
      <c r="AF76" s="444"/>
      <c r="AG76" s="411"/>
      <c r="AH76" s="412"/>
      <c r="AI76" s="442" t="s">
        <v>564</v>
      </c>
      <c r="AJ76" s="419"/>
      <c r="AK76" s="419"/>
      <c r="AL76" s="438"/>
      <c r="AM76" s="358"/>
      <c r="AN76" s="358"/>
      <c r="AO76" s="358"/>
    </row>
    <row r="77" spans="2:41" ht="63">
      <c r="B77" s="438"/>
      <c r="C77" s="438"/>
      <c r="D77" s="439" t="s">
        <v>564</v>
      </c>
      <c r="E77" s="438"/>
      <c r="F77" s="419"/>
      <c r="G77" s="419"/>
      <c r="H77" s="419"/>
      <c r="I77" s="438"/>
      <c r="J77" s="438"/>
      <c r="K77" s="419"/>
      <c r="L77" s="419"/>
      <c r="M77" s="438"/>
      <c r="N77" s="438"/>
      <c r="O77" s="438"/>
      <c r="P77" s="438"/>
      <c r="Q77" s="438"/>
      <c r="R77" s="438"/>
      <c r="S77" s="438"/>
      <c r="T77" s="440"/>
      <c r="U77" s="401">
        <v>49</v>
      </c>
      <c r="V77" s="402" t="s">
        <v>608</v>
      </c>
      <c r="W77" s="403" t="s">
        <v>564</v>
      </c>
      <c r="X77" s="402" t="s">
        <v>283</v>
      </c>
      <c r="Y77" s="405" t="s">
        <v>201</v>
      </c>
      <c r="Z77" s="406"/>
      <c r="AA77" s="405"/>
      <c r="AB77" s="402" t="s">
        <v>343</v>
      </c>
      <c r="AC77" s="402">
        <v>2</v>
      </c>
      <c r="AD77" s="405">
        <v>0</v>
      </c>
      <c r="AE77" s="419" t="s">
        <v>201</v>
      </c>
      <c r="AF77" s="444"/>
      <c r="AG77" s="411"/>
      <c r="AH77" s="412"/>
      <c r="AI77" s="442" t="s">
        <v>564</v>
      </c>
      <c r="AJ77" s="419"/>
      <c r="AK77" s="419"/>
      <c r="AL77" s="438"/>
      <c r="AM77" s="358"/>
      <c r="AN77" s="358"/>
      <c r="AO77" s="358"/>
    </row>
    <row r="78" spans="2:41" ht="63">
      <c r="B78" s="438"/>
      <c r="C78" s="438"/>
      <c r="D78" s="439" t="s">
        <v>564</v>
      </c>
      <c r="E78" s="438"/>
      <c r="F78" s="419"/>
      <c r="G78" s="419"/>
      <c r="H78" s="419"/>
      <c r="I78" s="438"/>
      <c r="J78" s="438"/>
      <c r="K78" s="419"/>
      <c r="L78" s="419"/>
      <c r="M78" s="438"/>
      <c r="N78" s="438"/>
      <c r="O78" s="438"/>
      <c r="P78" s="438"/>
      <c r="Q78" s="438"/>
      <c r="R78" s="438"/>
      <c r="S78" s="438"/>
      <c r="T78" s="440"/>
      <c r="U78" s="401">
        <v>51</v>
      </c>
      <c r="V78" s="402" t="s">
        <v>610</v>
      </c>
      <c r="W78" s="403" t="s">
        <v>227</v>
      </c>
      <c r="X78" s="402" t="s">
        <v>611</v>
      </c>
      <c r="Y78" s="405" t="s">
        <v>203</v>
      </c>
      <c r="Z78" s="406"/>
      <c r="AA78" s="405"/>
      <c r="AB78" s="402" t="s">
        <v>343</v>
      </c>
      <c r="AC78" s="408">
        <v>2</v>
      </c>
      <c r="AD78" s="405">
        <v>0</v>
      </c>
      <c r="AE78" s="406" t="s">
        <v>201</v>
      </c>
      <c r="AF78" s="410" t="s">
        <v>203</v>
      </c>
      <c r="AG78" s="411" t="s">
        <v>568</v>
      </c>
      <c r="AH78" s="412" t="s">
        <v>290</v>
      </c>
      <c r="AI78" s="442" t="s">
        <v>564</v>
      </c>
      <c r="AJ78" s="419"/>
      <c r="AK78" s="419"/>
      <c r="AL78" s="438"/>
      <c r="AM78" s="358"/>
      <c r="AN78" s="358"/>
      <c r="AO78" s="358"/>
    </row>
    <row r="79" spans="2:41" ht="110.25">
      <c r="B79" s="438"/>
      <c r="C79" s="438"/>
      <c r="D79" s="439" t="s">
        <v>564</v>
      </c>
      <c r="E79" s="438"/>
      <c r="F79" s="419"/>
      <c r="G79" s="419"/>
      <c r="H79" s="419"/>
      <c r="I79" s="438"/>
      <c r="J79" s="438"/>
      <c r="K79" s="419"/>
      <c r="L79" s="419"/>
      <c r="M79" s="438"/>
      <c r="N79" s="438"/>
      <c r="O79" s="438"/>
      <c r="P79" s="438"/>
      <c r="Q79" s="438"/>
      <c r="R79" s="438"/>
      <c r="S79" s="438"/>
      <c r="T79" s="431"/>
      <c r="U79" s="401">
        <v>54</v>
      </c>
      <c r="V79" s="402" t="s">
        <v>613</v>
      </c>
      <c r="W79" s="403" t="s">
        <v>227</v>
      </c>
      <c r="X79" s="402" t="s">
        <v>614</v>
      </c>
      <c r="Y79" s="405" t="s">
        <v>203</v>
      </c>
      <c r="Z79" s="406"/>
      <c r="AA79" s="405"/>
      <c r="AB79" s="402" t="s">
        <v>343</v>
      </c>
      <c r="AC79" s="408">
        <v>2</v>
      </c>
      <c r="AD79" s="405">
        <v>0</v>
      </c>
      <c r="AE79" s="406" t="s">
        <v>201</v>
      </c>
      <c r="AF79" s="410" t="s">
        <v>203</v>
      </c>
      <c r="AG79" s="411" t="s">
        <v>568</v>
      </c>
      <c r="AH79" s="412" t="s">
        <v>290</v>
      </c>
      <c r="AI79" s="431"/>
      <c r="AJ79" s="419"/>
      <c r="AK79" s="419"/>
      <c r="AL79" s="438"/>
      <c r="AM79" s="358"/>
      <c r="AN79" s="358"/>
      <c r="AO79" s="358"/>
    </row>
    <row r="80" spans="2:41" ht="63">
      <c r="B80" s="401"/>
      <c r="C80" s="402"/>
      <c r="D80" s="403" t="s">
        <v>564</v>
      </c>
      <c r="E80" s="404"/>
      <c r="F80" s="405"/>
      <c r="G80" s="406"/>
      <c r="H80" s="405"/>
      <c r="I80" s="402"/>
      <c r="J80" s="402"/>
      <c r="K80" s="405"/>
      <c r="L80" s="407"/>
      <c r="M80" s="404"/>
      <c r="N80" s="402"/>
      <c r="O80" s="404"/>
      <c r="P80" s="402"/>
      <c r="Q80" s="408"/>
      <c r="R80" s="405"/>
      <c r="S80" s="402"/>
      <c r="T80" s="409"/>
      <c r="U80" s="401">
        <v>60</v>
      </c>
      <c r="V80" s="402" t="s">
        <v>616</v>
      </c>
      <c r="W80" s="403" t="s">
        <v>564</v>
      </c>
      <c r="X80" s="402" t="s">
        <v>617</v>
      </c>
      <c r="Y80" s="405" t="s">
        <v>201</v>
      </c>
      <c r="Z80" s="406"/>
      <c r="AA80" s="405"/>
      <c r="AB80" s="402" t="s">
        <v>369</v>
      </c>
      <c r="AC80" s="408">
        <v>52</v>
      </c>
      <c r="AD80" s="405">
        <v>0</v>
      </c>
      <c r="AE80" s="406" t="s">
        <v>201</v>
      </c>
      <c r="AF80" s="410" t="s">
        <v>203</v>
      </c>
      <c r="AG80" s="411" t="s">
        <v>349</v>
      </c>
      <c r="AH80" s="412" t="s">
        <v>285</v>
      </c>
      <c r="AI80" s="445" t="s">
        <v>564</v>
      </c>
      <c r="AJ80" s="413">
        <v>0.01</v>
      </c>
      <c r="AK80" s="413" t="s">
        <v>370</v>
      </c>
      <c r="AL80" s="401" t="s">
        <v>393</v>
      </c>
      <c r="AM80" s="358"/>
      <c r="AN80" s="358"/>
      <c r="AO80" s="358"/>
    </row>
    <row r="81" spans="2:41" ht="63">
      <c r="B81" s="401"/>
      <c r="C81" s="402"/>
      <c r="D81" s="403" t="s">
        <v>564</v>
      </c>
      <c r="E81" s="404"/>
      <c r="F81" s="405"/>
      <c r="G81" s="406"/>
      <c r="H81" s="405"/>
      <c r="I81" s="402"/>
      <c r="J81" s="402"/>
      <c r="K81" s="405"/>
      <c r="L81" s="407"/>
      <c r="M81" s="404"/>
      <c r="N81" s="402"/>
      <c r="O81" s="404"/>
      <c r="P81" s="402"/>
      <c r="Q81" s="408"/>
      <c r="R81" s="405"/>
      <c r="S81" s="402"/>
      <c r="T81" s="409"/>
      <c r="U81" s="401">
        <v>61</v>
      </c>
      <c r="V81" s="402" t="s">
        <v>619</v>
      </c>
      <c r="W81" s="403" t="s">
        <v>564</v>
      </c>
      <c r="X81" s="402" t="s">
        <v>620</v>
      </c>
      <c r="Y81" s="405" t="s">
        <v>201</v>
      </c>
      <c r="Z81" s="406"/>
      <c r="AA81" s="405"/>
      <c r="AB81" s="402" t="s">
        <v>343</v>
      </c>
      <c r="AC81" s="408">
        <v>20</v>
      </c>
      <c r="AD81" s="405">
        <v>0</v>
      </c>
      <c r="AE81" s="406" t="s">
        <v>201</v>
      </c>
      <c r="AF81" s="410"/>
      <c r="AG81" s="411"/>
      <c r="AH81" s="411"/>
      <c r="AI81" s="409"/>
      <c r="AJ81" s="413"/>
      <c r="AK81" s="413"/>
      <c r="AL81" s="413"/>
      <c r="AM81" s="358"/>
      <c r="AN81" s="358"/>
      <c r="AO81" s="358"/>
    </row>
    <row r="82" spans="2:41" ht="63">
      <c r="B82" s="438"/>
      <c r="C82" s="438"/>
      <c r="D82" s="439" t="s">
        <v>564</v>
      </c>
      <c r="E82" s="438"/>
      <c r="F82" s="419"/>
      <c r="G82" s="419"/>
      <c r="H82" s="419"/>
      <c r="I82" s="438"/>
      <c r="J82" s="438"/>
      <c r="K82" s="419"/>
      <c r="L82" s="419"/>
      <c r="M82" s="438"/>
      <c r="N82" s="438"/>
      <c r="O82" s="438"/>
      <c r="P82" s="438"/>
      <c r="Q82" s="438"/>
      <c r="R82" s="438"/>
      <c r="S82" s="438"/>
      <c r="T82" s="431"/>
      <c r="U82" s="401">
        <v>65</v>
      </c>
      <c r="V82" s="402" t="s">
        <v>291</v>
      </c>
      <c r="W82" s="403" t="s">
        <v>221</v>
      </c>
      <c r="X82" s="402" t="s">
        <v>622</v>
      </c>
      <c r="Y82" s="405" t="s">
        <v>203</v>
      </c>
      <c r="Z82" s="406"/>
      <c r="AA82" s="405"/>
      <c r="AB82" s="402" t="s">
        <v>343</v>
      </c>
      <c r="AC82" s="402">
        <v>1</v>
      </c>
      <c r="AD82" s="405">
        <v>0</v>
      </c>
      <c r="AE82" s="406"/>
      <c r="AF82" s="410" t="s">
        <v>203</v>
      </c>
      <c r="AG82" s="411" t="s">
        <v>568</v>
      </c>
      <c r="AH82" s="411" t="s">
        <v>577</v>
      </c>
      <c r="AI82" s="431"/>
      <c r="AJ82" s="419"/>
      <c r="AK82" s="419"/>
      <c r="AL82" s="438"/>
      <c r="AM82" s="358"/>
      <c r="AN82" s="358"/>
      <c r="AO82" s="358"/>
    </row>
    <row r="83" spans="2:41" ht="63">
      <c r="B83" s="438"/>
      <c r="C83" s="438"/>
      <c r="D83" s="439" t="s">
        <v>564</v>
      </c>
      <c r="E83" s="438"/>
      <c r="F83" s="419"/>
      <c r="G83" s="419"/>
      <c r="H83" s="419"/>
      <c r="I83" s="438"/>
      <c r="J83" s="438"/>
      <c r="K83" s="419"/>
      <c r="L83" s="419"/>
      <c r="M83" s="438"/>
      <c r="N83" s="438"/>
      <c r="O83" s="438"/>
      <c r="P83" s="438"/>
      <c r="Q83" s="438"/>
      <c r="R83" s="438"/>
      <c r="S83" s="438"/>
      <c r="T83" s="431"/>
      <c r="U83" s="401">
        <v>73</v>
      </c>
      <c r="V83" s="402" t="s">
        <v>624</v>
      </c>
      <c r="W83" s="403" t="s">
        <v>564</v>
      </c>
      <c r="X83" s="402" t="s">
        <v>283</v>
      </c>
      <c r="Y83" s="405" t="s">
        <v>201</v>
      </c>
      <c r="Z83" s="406"/>
      <c r="AA83" s="405"/>
      <c r="AB83" s="402" t="s">
        <v>343</v>
      </c>
      <c r="AC83" s="402">
        <v>4</v>
      </c>
      <c r="AD83" s="405">
        <v>0</v>
      </c>
      <c r="AE83" s="419" t="s">
        <v>201</v>
      </c>
      <c r="AF83" s="444"/>
      <c r="AG83" s="411"/>
      <c r="AH83" s="412"/>
      <c r="AI83" s="431"/>
      <c r="AJ83" s="419"/>
      <c r="AK83" s="419"/>
      <c r="AL83" s="438"/>
      <c r="AM83" s="358"/>
      <c r="AN83" s="358"/>
      <c r="AO83" s="358"/>
    </row>
    <row r="84" spans="2:41" ht="63">
      <c r="B84" s="438"/>
      <c r="C84" s="438"/>
      <c r="D84" s="439" t="s">
        <v>564</v>
      </c>
      <c r="E84" s="438"/>
      <c r="F84" s="419"/>
      <c r="G84" s="419"/>
      <c r="H84" s="419"/>
      <c r="I84" s="438"/>
      <c r="J84" s="438"/>
      <c r="K84" s="419"/>
      <c r="L84" s="419"/>
      <c r="M84" s="438"/>
      <c r="N84" s="438"/>
      <c r="O84" s="438"/>
      <c r="P84" s="438"/>
      <c r="Q84" s="438"/>
      <c r="R84" s="438"/>
      <c r="S84" s="438"/>
      <c r="T84" s="431"/>
      <c r="U84" s="401">
        <v>74</v>
      </c>
      <c r="V84" s="402" t="s">
        <v>626</v>
      </c>
      <c r="W84" s="403" t="s">
        <v>564</v>
      </c>
      <c r="X84" s="402" t="s">
        <v>283</v>
      </c>
      <c r="Y84" s="405" t="s">
        <v>201</v>
      </c>
      <c r="Z84" s="406"/>
      <c r="AA84" s="405"/>
      <c r="AB84" s="402" t="s">
        <v>343</v>
      </c>
      <c r="AC84" s="402">
        <v>12</v>
      </c>
      <c r="AD84" s="405">
        <v>0</v>
      </c>
      <c r="AE84" s="419" t="s">
        <v>201</v>
      </c>
      <c r="AF84" s="444"/>
      <c r="AG84" s="411"/>
      <c r="AH84" s="412"/>
      <c r="AI84" s="431"/>
      <c r="AJ84" s="419"/>
      <c r="AK84" s="419"/>
      <c r="AL84" s="438"/>
      <c r="AM84" s="358"/>
      <c r="AN84" s="358"/>
      <c r="AO84" s="358"/>
    </row>
    <row r="85" spans="2:41" ht="63">
      <c r="B85" s="438"/>
      <c r="C85" s="438"/>
      <c r="D85" s="439" t="s">
        <v>564</v>
      </c>
      <c r="E85" s="438"/>
      <c r="F85" s="419"/>
      <c r="G85" s="419"/>
      <c r="H85" s="419"/>
      <c r="I85" s="438"/>
      <c r="J85" s="438"/>
      <c r="K85" s="419"/>
      <c r="L85" s="419"/>
      <c r="M85" s="438"/>
      <c r="N85" s="438"/>
      <c r="O85" s="438"/>
      <c r="P85" s="438"/>
      <c r="Q85" s="438"/>
      <c r="R85" s="438"/>
      <c r="S85" s="438"/>
      <c r="U85" s="401">
        <v>75</v>
      </c>
      <c r="V85" s="402" t="s">
        <v>628</v>
      </c>
      <c r="W85" s="403" t="s">
        <v>564</v>
      </c>
      <c r="X85" s="402" t="s">
        <v>283</v>
      </c>
      <c r="Y85" s="405" t="s">
        <v>201</v>
      </c>
      <c r="Z85" s="406"/>
      <c r="AA85" s="405"/>
      <c r="AB85" s="402" t="s">
        <v>343</v>
      </c>
      <c r="AC85" s="402">
        <v>5</v>
      </c>
      <c r="AD85" s="405">
        <v>0</v>
      </c>
      <c r="AE85" s="419" t="s">
        <v>201</v>
      </c>
      <c r="AF85" s="444"/>
      <c r="AG85" s="411"/>
      <c r="AH85" s="412"/>
      <c r="AJ85" s="419"/>
      <c r="AK85" s="419"/>
      <c r="AL85" s="438"/>
    </row>
    <row r="86" spans="2:41" ht="63">
      <c r="B86" s="438"/>
      <c r="C86" s="438"/>
      <c r="D86" s="439" t="s">
        <v>564</v>
      </c>
      <c r="E86" s="438"/>
      <c r="F86" s="419"/>
      <c r="G86" s="419"/>
      <c r="H86" s="419"/>
      <c r="I86" s="438"/>
      <c r="J86" s="438"/>
      <c r="K86" s="419"/>
      <c r="L86" s="419"/>
      <c r="M86" s="438"/>
      <c r="N86" s="438"/>
      <c r="O86" s="438"/>
      <c r="P86" s="438"/>
      <c r="Q86" s="438"/>
      <c r="R86" s="438"/>
      <c r="S86" s="438"/>
      <c r="U86" s="401">
        <v>78</v>
      </c>
      <c r="V86" s="401" t="s">
        <v>630</v>
      </c>
      <c r="W86" s="441" t="s">
        <v>564</v>
      </c>
      <c r="X86" s="401" t="s">
        <v>283</v>
      </c>
      <c r="Y86" s="406" t="s">
        <v>201</v>
      </c>
      <c r="Z86" s="406"/>
      <c r="AA86" s="447"/>
      <c r="AB86" s="401" t="s">
        <v>343</v>
      </c>
      <c r="AC86" s="448">
        <v>56</v>
      </c>
      <c r="AD86" s="406">
        <v>0</v>
      </c>
      <c r="AE86" s="419" t="s">
        <v>201</v>
      </c>
      <c r="AF86" s="444"/>
      <c r="AG86" s="411"/>
      <c r="AH86" s="412"/>
      <c r="AJ86" s="419"/>
      <c r="AK86" s="419"/>
      <c r="AL86" s="438"/>
    </row>
    <row r="87" spans="2:41">
      <c r="B87" s="433" t="s">
        <v>631</v>
      </c>
      <c r="C87" s="434"/>
      <c r="D87" s="434"/>
      <c r="E87" s="434"/>
      <c r="F87" s="434"/>
      <c r="G87" s="434"/>
      <c r="H87" s="434"/>
      <c r="I87" s="434"/>
      <c r="J87" s="434"/>
      <c r="K87" s="434"/>
      <c r="L87" s="434"/>
      <c r="M87" s="434"/>
      <c r="N87" s="434"/>
      <c r="O87" s="434"/>
      <c r="P87" s="434"/>
      <c r="Q87" s="434"/>
      <c r="R87" s="434"/>
      <c r="S87" s="435"/>
      <c r="T87" s="440"/>
      <c r="U87" s="433" t="s">
        <v>631</v>
      </c>
      <c r="V87" s="434"/>
      <c r="W87" s="434"/>
      <c r="X87" s="434"/>
      <c r="Y87" s="434"/>
      <c r="Z87" s="434"/>
      <c r="AA87" s="434"/>
      <c r="AB87" s="434"/>
      <c r="AC87" s="434"/>
      <c r="AD87" s="434"/>
      <c r="AE87" s="434"/>
      <c r="AF87" s="436"/>
      <c r="AG87" s="436"/>
      <c r="AH87" s="437"/>
      <c r="AI87" s="442" t="s">
        <v>564</v>
      </c>
      <c r="AJ87" s="419"/>
      <c r="AK87" s="419"/>
      <c r="AL87" s="438"/>
      <c r="AM87" s="358"/>
      <c r="AN87" s="358"/>
      <c r="AO87" s="358"/>
    </row>
  </sheetData>
  <autoFilter ref="A7:CQ87"/>
  <phoneticPr fontId="16"/>
  <conditionalFormatting sqref="A8:V8 I9:V16 A9:A74 I17:N19 I21:R22 I23:T23 I25:S25 T25:T78 W45:W47 A75:B75 H75 A76:A78 A87 T87">
    <cfRule type="expression" dxfId="93" priority="63">
      <formula>$A8="X"</formula>
    </cfRule>
  </conditionalFormatting>
  <conditionalFormatting sqref="B60:S60 U60:AE60">
    <cfRule type="expression" dxfId="92" priority="94">
      <formula>$A87="X"</formula>
    </cfRule>
  </conditionalFormatting>
  <conditionalFormatting sqref="B71:S71 Y73 AB73 AE73 AG73:AH73">
    <cfRule type="expression" dxfId="91" priority="61">
      <formula>#REF!="X"</formula>
    </cfRule>
  </conditionalFormatting>
  <conditionalFormatting sqref="B87:S87 U87:AH87">
    <cfRule type="expression" dxfId="90" priority="93">
      <formula>$A59="X"</formula>
    </cfRule>
  </conditionalFormatting>
  <conditionalFormatting sqref="C40 F40:G40 I40:S40 U40:AH40 D41 C42 E42:G42 I42:S42 U42:AH42 D43">
    <cfRule type="expression" dxfId="89" priority="90">
      <formula>#REF!="X"</formula>
    </cfRule>
  </conditionalFormatting>
  <conditionalFormatting sqref="C9:G19">
    <cfRule type="expression" dxfId="88" priority="62">
      <formula>$A9="X"</formula>
    </cfRule>
  </conditionalFormatting>
  <conditionalFormatting sqref="C35:G35 I35:S35 U35:AH35 D36">
    <cfRule type="expression" dxfId="87" priority="92">
      <formula>#REF!="X"</formula>
    </cfRule>
  </conditionalFormatting>
  <conditionalFormatting sqref="C47:S47 U47:V47 X47:AH47">
    <cfRule type="expression" dxfId="86" priority="91">
      <formula>#REF!="X"</formula>
    </cfRule>
  </conditionalFormatting>
  <conditionalFormatting sqref="D21:D25 B59:S59 U59:AH59 B61:S70">
    <cfRule type="expression" dxfId="85" priority="17">
      <formula>$A20="X"</formula>
    </cfRule>
  </conditionalFormatting>
  <conditionalFormatting sqref="D26:D34 D39 D44 B76:S76">
    <cfRule type="expression" dxfId="84" priority="81">
      <formula>$A24="X"</formula>
    </cfRule>
  </conditionalFormatting>
  <conditionalFormatting sqref="D49">
    <cfRule type="expression" dxfId="83" priority="80">
      <formula>$A47="X"</formula>
    </cfRule>
  </conditionalFormatting>
  <conditionalFormatting sqref="D20:E20 M20:N20 W20">
    <cfRule type="expression" dxfId="82" priority="74">
      <formula>#REF!="X"</formula>
    </cfRule>
  </conditionalFormatting>
  <conditionalFormatting sqref="D46:E46">
    <cfRule type="expression" dxfId="81" priority="77">
      <formula>$A44="X"</formula>
    </cfRule>
  </conditionalFormatting>
  <conditionalFormatting sqref="D75:E75">
    <cfRule type="expression" dxfId="80" priority="18">
      <formula>$A73="X"</formula>
    </cfRule>
  </conditionalFormatting>
  <conditionalFormatting sqref="E21:E22 E26:G26 I26:S26 AE26:AH32 C26:C34 U26:V34 X26:AD34 I27:L27 O27:R27 E27:E33 F27:G34 I28:S28 I29:R29 I30:S30 I31:R31 I32:S34 AE33:AE34 C36 E36 F36:G38 V36:AE38 I36:S39 U36:U39 C37:E38 C39 E39:G39 V39:AH39 D40:E40 C41 E41:G41 I41:S41 U41:AH41 D42 C43:C44 E43:G44 X43:AH45 I43:S46 U43:V46 C45:G45 C46 F46:G46 X46:AE46 C48:G48 O48:S48 I48:N49 X48:AC49 AD48:AH52 H48:H53 U48:V58 C49 O49:R49 Z50:AC52 C50:G53 I50:L53 X50:X56 AD53:AG53 O53:S55 Y53:AC56 C54:L55 AD54:AH58 C56:S56 C57:D58 F57:L58 O57:S58 X57:AC58 U61:AG63 X64:AH68 U64:V70 B72:S74 C75 F75:G75 I75:S75 U75:AE75 B77:S79 F80:S80 X80:AE80 C80:D81 U80:V81 F81:R81 X81:AH81 B83:S87">
    <cfRule type="expression" dxfId="79" priority="82">
      <formula>$A20="X"</formula>
    </cfRule>
  </conditionalFormatting>
  <conditionalFormatting sqref="E34">
    <cfRule type="expression" dxfId="78" priority="78">
      <formula>$A32="X"</formula>
    </cfRule>
  </conditionalFormatting>
  <conditionalFormatting sqref="E57">
    <cfRule type="expression" dxfId="77" priority="76">
      <formula>#REF!="X"</formula>
    </cfRule>
  </conditionalFormatting>
  <conditionalFormatting sqref="E58">
    <cfRule type="expression" dxfId="76" priority="75">
      <formula>$A57="X"</formula>
    </cfRule>
  </conditionalFormatting>
  <conditionalFormatting sqref="E80:E81">
    <cfRule type="expression" dxfId="75" priority="25">
      <formula>$A78="X"</formula>
    </cfRule>
  </conditionalFormatting>
  <conditionalFormatting sqref="E23:G25">
    <cfRule type="expression" dxfId="74" priority="53">
      <formula>$A23="X"</formula>
    </cfRule>
  </conditionalFormatting>
  <conditionalFormatting sqref="E49:G49">
    <cfRule type="expression" dxfId="73" priority="71">
      <formula>$A48="X"</formula>
    </cfRule>
  </conditionalFormatting>
  <conditionalFormatting sqref="H9:H46 B9:B58 A80:B81 T80:T81">
    <cfRule type="expression" dxfId="72" priority="24">
      <formula>$A9="X"</formula>
    </cfRule>
  </conditionalFormatting>
  <conditionalFormatting sqref="I20:L20 F20:G22 T21:T22 I24:L24 O24:T24">
    <cfRule type="expression" dxfId="71" priority="84">
      <formula>$A20="X"</formula>
    </cfRule>
  </conditionalFormatting>
  <conditionalFormatting sqref="M50:M52">
    <cfRule type="expression" dxfId="70" priority="68">
      <formula>$A50="X"</formula>
    </cfRule>
  </conditionalFormatting>
  <conditionalFormatting sqref="M54:M55">
    <cfRule type="expression" dxfId="69" priority="57">
      <formula>$A54="X"</formula>
    </cfRule>
  </conditionalFormatting>
  <conditionalFormatting sqref="M57:M58">
    <cfRule type="expression" dxfId="68" priority="64">
      <formula>$A57="X"</formula>
    </cfRule>
  </conditionalFormatting>
  <conditionalFormatting sqref="M24:N24">
    <cfRule type="expression" dxfId="67" priority="73">
      <formula>$A23="X"</formula>
    </cfRule>
  </conditionalFormatting>
  <conditionalFormatting sqref="M27:N27">
    <cfRule type="expression" dxfId="66" priority="72">
      <formula>$A25="X"</formula>
    </cfRule>
  </conditionalFormatting>
  <conditionalFormatting sqref="M53:N53">
    <cfRule type="expression" dxfId="65" priority="59">
      <formula>$A52="X"</formula>
    </cfRule>
  </conditionalFormatting>
  <conditionalFormatting sqref="N54:N55">
    <cfRule type="expression" dxfId="64" priority="58">
      <formula>$A53="X"</formula>
    </cfRule>
  </conditionalFormatting>
  <conditionalFormatting sqref="N57">
    <cfRule type="expression" dxfId="63" priority="66">
      <formula>#REF!="X"</formula>
    </cfRule>
  </conditionalFormatting>
  <conditionalFormatting sqref="N58">
    <cfRule type="expression" dxfId="62" priority="65">
      <formula>$A57="X"</formula>
    </cfRule>
  </conditionalFormatting>
  <conditionalFormatting sqref="N50:S52">
    <cfRule type="expression" dxfId="61" priority="67">
      <formula>$A49="X"</formula>
    </cfRule>
  </conditionalFormatting>
  <conditionalFormatting sqref="O17:T20 U20:V24 C20:C25">
    <cfRule type="expression" dxfId="60" priority="79">
      <formula>$A17="X"</formula>
    </cfRule>
  </conditionalFormatting>
  <conditionalFormatting sqref="S21:S22">
    <cfRule type="expression" dxfId="59" priority="21">
      <formula>$A20="X"</formula>
    </cfRule>
  </conditionalFormatting>
  <conditionalFormatting sqref="S27">
    <cfRule type="expression" dxfId="58" priority="35">
      <formula>$A27="X"</formula>
    </cfRule>
  </conditionalFormatting>
  <conditionalFormatting sqref="S29">
    <cfRule type="expression" dxfId="57" priority="34">
      <formula>$A29="X"</formula>
    </cfRule>
  </conditionalFormatting>
  <conditionalFormatting sqref="S31">
    <cfRule type="expression" dxfId="56" priority="33">
      <formula>$A31="X"</formula>
    </cfRule>
  </conditionalFormatting>
  <conditionalFormatting sqref="S49">
    <cfRule type="expression" dxfId="55" priority="32">
      <formula>$A49="X"</formula>
    </cfRule>
  </conditionalFormatting>
  <conditionalFormatting sqref="S81">
    <cfRule type="expression" dxfId="54" priority="22">
      <formula>$A81="X"</formula>
    </cfRule>
  </conditionalFormatting>
  <conditionalFormatting sqref="U83:V83 X83:AC83 AF83:AG87 U84:AC85 U86:V87 X86:AC87">
    <cfRule type="expression" dxfId="53" priority="87">
      <formula>$A71="X"</formula>
    </cfRule>
  </conditionalFormatting>
  <conditionalFormatting sqref="U82:AA82 AC82 AE82:AH82">
    <cfRule type="expression" dxfId="52" priority="69">
      <formula>$A73="X"</formula>
    </cfRule>
    <cfRule type="expression" dxfId="51" priority="70">
      <formula>#REF!="X"</formula>
    </cfRule>
  </conditionalFormatting>
  <conditionalFormatting sqref="U76:AC77 AF76:AG77">
    <cfRule type="expression" dxfId="50" priority="88">
      <formula>$A70="X"</formula>
    </cfRule>
  </conditionalFormatting>
  <conditionalFormatting sqref="U78:AF79">
    <cfRule type="expression" dxfId="49" priority="29">
      <formula>$A77="X"</formula>
    </cfRule>
  </conditionalFormatting>
  <conditionalFormatting sqref="U17:AH19">
    <cfRule type="expression" dxfId="48" priority="12">
      <formula>$A17="X"</formula>
    </cfRule>
  </conditionalFormatting>
  <conditionalFormatting sqref="U71:AH72">
    <cfRule type="expression" dxfId="47" priority="6">
      <formula>$A71="X"</formula>
    </cfRule>
  </conditionalFormatting>
  <conditionalFormatting sqref="W21:W34">
    <cfRule type="expression" dxfId="46" priority="16">
      <formula>$A20="X"</formula>
    </cfRule>
  </conditionalFormatting>
  <conditionalFormatting sqref="W43">
    <cfRule type="expression" dxfId="45" priority="52">
      <formula>$A43="X"</formula>
    </cfRule>
  </conditionalFormatting>
  <conditionalFormatting sqref="W44">
    <cfRule type="expression" dxfId="44" priority="51">
      <formula>$A43="X"</formula>
    </cfRule>
  </conditionalFormatting>
  <conditionalFormatting sqref="W48">
    <cfRule type="expression" dxfId="43" priority="50">
      <formula>$A47="X"</formula>
    </cfRule>
  </conditionalFormatting>
  <conditionalFormatting sqref="W49:W51">
    <cfRule type="expression" dxfId="42" priority="49">
      <formula>$A49="X"</formula>
    </cfRule>
  </conditionalFormatting>
  <conditionalFormatting sqref="W52 W54:W56">
    <cfRule type="expression" dxfId="41" priority="48">
      <formula>$A50="X"</formula>
    </cfRule>
  </conditionalFormatting>
  <conditionalFormatting sqref="W53">
    <cfRule type="expression" dxfId="40" priority="47">
      <formula>$A53="X"</formula>
    </cfRule>
  </conditionalFormatting>
  <conditionalFormatting sqref="W57">
    <cfRule type="expression" dxfId="39" priority="46">
      <formula>#REF!="X"</formula>
    </cfRule>
  </conditionalFormatting>
  <conditionalFormatting sqref="W58">
    <cfRule type="expression" dxfId="38" priority="45">
      <formula>$A58="X"</formula>
    </cfRule>
  </conditionalFormatting>
  <conditionalFormatting sqref="W64:W68">
    <cfRule type="expression" dxfId="37" priority="44">
      <formula>$A64="X"</formula>
    </cfRule>
  </conditionalFormatting>
  <conditionalFormatting sqref="W73">
    <cfRule type="expression" dxfId="36" priority="42">
      <formula>$A71="X"</formula>
    </cfRule>
  </conditionalFormatting>
  <conditionalFormatting sqref="W74 AB74 AE74 B82:S82">
    <cfRule type="expression" dxfId="35" priority="41">
      <formula>$A71="X"</formula>
    </cfRule>
  </conditionalFormatting>
  <conditionalFormatting sqref="W80:W81">
    <cfRule type="expression" dxfId="34" priority="23">
      <formula>$A80="X"</formula>
    </cfRule>
  </conditionalFormatting>
  <conditionalFormatting sqref="W83 AE83 AH83">
    <cfRule type="expression" dxfId="33" priority="40">
      <formula>$A74="X"</formula>
    </cfRule>
  </conditionalFormatting>
  <conditionalFormatting sqref="W69:AE70">
    <cfRule type="expression" dxfId="32" priority="43">
      <formula>$A68="X"</formula>
    </cfRule>
  </conditionalFormatting>
  <conditionalFormatting sqref="W8:AH16">
    <cfRule type="expression" dxfId="31" priority="15">
      <formula>$A8="X"</formula>
    </cfRule>
  </conditionalFormatting>
  <conditionalFormatting sqref="X20:AH24">
    <cfRule type="expression" dxfId="30" priority="11">
      <formula>$A20="X"</formula>
    </cfRule>
  </conditionalFormatting>
  <conditionalFormatting sqref="Y25">
    <cfRule type="expression" dxfId="29" priority="54">
      <formula>$A24="X"</formula>
    </cfRule>
  </conditionalFormatting>
  <conditionalFormatting sqref="Y50:Y52">
    <cfRule type="expression" dxfId="28" priority="85">
      <formula>$A50="X"</formula>
    </cfRule>
  </conditionalFormatting>
  <conditionalFormatting sqref="Y74">
    <cfRule type="expression" dxfId="27" priority="60">
      <formula>$A71="X"</formula>
    </cfRule>
  </conditionalFormatting>
  <conditionalFormatting sqref="AB25">
    <cfRule type="expression" dxfId="26" priority="56">
      <formula>$A24="X"</formula>
    </cfRule>
  </conditionalFormatting>
  <conditionalFormatting sqref="AB82">
    <cfRule type="expression" dxfId="25" priority="86">
      <formula>$A71="X"</formula>
    </cfRule>
  </conditionalFormatting>
  <conditionalFormatting sqref="AD82 AE84:AE87 AH84:AH87">
    <cfRule type="expression" dxfId="24" priority="83">
      <formula>$A74="X"</formula>
    </cfRule>
  </conditionalFormatting>
  <conditionalFormatting sqref="AD83:AD87">
    <cfRule type="expression" dxfId="23" priority="89">
      <formula>$A76="X"</formula>
    </cfRule>
  </conditionalFormatting>
  <conditionalFormatting sqref="AD76:AE77 AH76:AH77 W86:W87">
    <cfRule type="expression" dxfId="22" priority="39">
      <formula>$A72="X"</formula>
    </cfRule>
  </conditionalFormatting>
  <conditionalFormatting sqref="AE25 AG25:AH25">
    <cfRule type="expression" dxfId="21" priority="55">
      <formula>$A24="X"</formula>
    </cfRule>
  </conditionalFormatting>
  <conditionalFormatting sqref="AF33:AH34">
    <cfRule type="expression" dxfId="20" priority="10">
      <formula>$A33="X"</formula>
    </cfRule>
  </conditionalFormatting>
  <conditionalFormatting sqref="AF36:AH38">
    <cfRule type="expression" dxfId="19" priority="9">
      <formula>$A36="X"</formula>
    </cfRule>
  </conditionalFormatting>
  <conditionalFormatting sqref="AF46:AH46 AH53">
    <cfRule type="expression" dxfId="18" priority="14">
      <formula>$A46="X"</formula>
    </cfRule>
  </conditionalFormatting>
  <conditionalFormatting sqref="AF60:AH60">
    <cfRule type="expression" dxfId="17" priority="37">
      <formula>$A60="X"</formula>
    </cfRule>
  </conditionalFormatting>
  <conditionalFormatting sqref="AF69:AH70">
    <cfRule type="expression" dxfId="16" priority="31">
      <formula>$A69="X"</formula>
    </cfRule>
  </conditionalFormatting>
  <conditionalFormatting sqref="AF74:AH75">
    <cfRule type="expression" dxfId="15" priority="4">
      <formula>$A74="X"</formula>
    </cfRule>
  </conditionalFormatting>
  <conditionalFormatting sqref="AF80:AH80">
    <cfRule type="expression" dxfId="14" priority="2">
      <formula>$A80="X"</formula>
    </cfRule>
  </conditionalFormatting>
  <conditionalFormatting sqref="AG78:AG79">
    <cfRule type="expression" dxfId="13" priority="27">
      <formula>$A71="X"</formula>
    </cfRule>
    <cfRule type="expression" dxfId="12" priority="28">
      <formula>#REF!="X"</formula>
    </cfRule>
  </conditionalFormatting>
  <conditionalFormatting sqref="AG8:AH52">
    <cfRule type="expression" dxfId="11" priority="8">
      <formula>#REF!&lt;&gt;"X"</formula>
    </cfRule>
  </conditionalFormatting>
  <conditionalFormatting sqref="AG54:AH87">
    <cfRule type="expression" dxfId="10" priority="20">
      <formula>#REF!&lt;&gt;"X"</formula>
    </cfRule>
  </conditionalFormatting>
  <conditionalFormatting sqref="AH23">
    <cfRule type="expression" dxfId="9" priority="38">
      <formula>$A23="X"</formula>
    </cfRule>
  </conditionalFormatting>
  <conditionalFormatting sqref="AH51">
    <cfRule type="expression" dxfId="8" priority="19">
      <formula>$A51="X"</formula>
    </cfRule>
  </conditionalFormatting>
  <conditionalFormatting sqref="AH61:AH63">
    <cfRule type="expression" dxfId="7" priority="36">
      <formula>$A61="X"</formula>
    </cfRule>
  </conditionalFormatting>
  <conditionalFormatting sqref="AH78:AH79">
    <cfRule type="expression" dxfId="6" priority="30">
      <formula>$A77="X"</formula>
    </cfRule>
  </conditionalFormatting>
  <conditionalFormatting sqref="AJ69:AK70">
    <cfRule type="expression" dxfId="5" priority="7">
      <formula>#REF!&lt;&gt;"X"</formula>
    </cfRule>
  </conditionalFormatting>
  <conditionalFormatting sqref="AJ72:AK72">
    <cfRule type="expression" dxfId="4" priority="5">
      <formula>#REF!&lt;&gt;"X"</formula>
    </cfRule>
  </conditionalFormatting>
  <conditionalFormatting sqref="AJ74:AK75">
    <cfRule type="expression" dxfId="3" priority="3">
      <formula>#REF!&lt;&gt;"X"</formula>
    </cfRule>
  </conditionalFormatting>
  <conditionalFormatting sqref="AJ80:AK80">
    <cfRule type="expression" dxfId="2" priority="1">
      <formula>#REF!&lt;&gt;"X"</formula>
    </cfRule>
  </conditionalFormatting>
  <conditionalFormatting sqref="AJ8:AL58 AF53:AH53">
    <cfRule type="expression" dxfId="1" priority="13">
      <formula>#REF!&lt;&gt;"X"</formula>
    </cfRule>
  </conditionalFormatting>
  <conditionalFormatting sqref="AJ81:AL81">
    <cfRule type="expression" dxfId="0" priority="26">
      <formula>#REF!&lt;&gt;"X"</formula>
    </cfRule>
  </conditionalFormatting>
  <pageMargins left="0.23622047244094491" right="0.23622047244094491" top="0.15748031496062992" bottom="0.15748031496062992" header="0" footer="0"/>
  <pageSetup paperSize="9" scale="2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表紙 </vt:lpstr>
      <vt:lpstr>改定履歴</vt:lpstr>
      <vt:lpstr>テスト計画書兼結果報告書(共通)</vt:lpstr>
      <vt:lpstr>テスト計画書兼結果報告書(個別)</vt:lpstr>
      <vt:lpstr>テスト計画書兼結果報告書(マッピング)</vt:lpstr>
      <vt:lpstr>IFA_マッピング定義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2026-03-18T05:25:45Z</dcterms:created>
  <dcterms:modified xsi:type="dcterms:W3CDTF">2026-04-09T07:34:52Z</dcterms:modified>
</cp:coreProperties>
</file>